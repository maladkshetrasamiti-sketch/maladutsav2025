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F48A499F-93F6-4F21-BB26-D4AC36B2D28D}" xr6:coauthVersionLast="47" xr6:coauthVersionMax="47" xr10:uidLastSave="{00000000-0000-0000-0000-000000000000}"/>
  <bookViews>
    <workbookView xWindow="-120" yWindow="-120" windowWidth="29040" windowHeight="15720" tabRatio="694" activeTab="3" xr2:uid="{FB630033-7BA2-4C08-A2C1-ECEA018E9821}"/>
  </bookViews>
  <sheets>
    <sheet name="UpdateLogToUse" sheetId="11" r:id="rId1"/>
    <sheet name="UpdateLogForMErge" sheetId="10" r:id="rId2"/>
    <sheet name="OldLink_CallLog_Status" sheetId="9" r:id="rId3"/>
    <sheet name="DataPublished" sheetId="1" r:id="rId4"/>
    <sheet name="Karykarta List" sheetId="4" r:id="rId5"/>
    <sheet name="CallLog_Latest" sheetId="5" r:id="rId6"/>
    <sheet name="fromNewLinkREsponses" sheetId="8" r:id="rId7"/>
    <sheet name="Registration" sheetId="3" r:id="rId8"/>
  </sheets>
  <externalReferences>
    <externalReference r:id="rId9"/>
  </externalReferences>
  <definedNames>
    <definedName name="_xlnm._FilterDatabase" localSheetId="5" hidden="1">CallLog_Latest!$A$1:$I$136</definedName>
    <definedName name="_xlnm._FilterDatabase" localSheetId="3" hidden="1">DataPublished!$A$1:$H$967</definedName>
    <definedName name="_xlnm._FilterDatabase" localSheetId="6" hidden="1">fromNewLinkREsponses!$A$1:$G$268</definedName>
    <definedName name="_xlnm._FilterDatabase" localSheetId="2" hidden="1">OldLink_CallLog_Status!$A$1:$I$136</definedName>
    <definedName name="_xlnm._FilterDatabase" localSheetId="1" hidden="1">UpdateLogForMErge!$A$1:$G$268</definedName>
    <definedName name="_xlnm._FilterDatabase" localSheetId="0" hidden="1">UpdateLogToUse!$B$1:$J$378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J356" i="11"/>
  <c r="J355" i="11"/>
  <c r="J354" i="11"/>
  <c r="J353" i="11"/>
  <c r="J352" i="11"/>
  <c r="J351" i="11"/>
  <c r="J350" i="11"/>
  <c r="J349" i="11"/>
  <c r="J348" i="11"/>
  <c r="J347" i="11"/>
  <c r="J346" i="11"/>
  <c r="J345" i="11"/>
  <c r="J344" i="11"/>
  <c r="J343" i="11"/>
  <c r="J342" i="11"/>
  <c r="J341" i="11"/>
  <c r="J340" i="11"/>
  <c r="J339" i="11"/>
  <c r="J338" i="11"/>
  <c r="J337" i="11"/>
  <c r="J336" i="11"/>
  <c r="J335" i="11"/>
  <c r="J334" i="11"/>
  <c r="J333" i="11"/>
  <c r="J332" i="11"/>
  <c r="J331" i="11"/>
  <c r="J330" i="11"/>
  <c r="J329" i="11"/>
  <c r="J328" i="11"/>
  <c r="J327" i="11"/>
  <c r="J326" i="11"/>
  <c r="J325" i="11"/>
  <c r="J324" i="11"/>
  <c r="J323" i="11"/>
  <c r="J322" i="11"/>
  <c r="J321" i="11"/>
  <c r="J320" i="11"/>
  <c r="J319" i="11"/>
  <c r="J318" i="11"/>
  <c r="J317" i="11"/>
  <c r="J316" i="11"/>
  <c r="J315" i="11"/>
  <c r="J314" i="11"/>
  <c r="J313" i="11"/>
  <c r="J312" i="11"/>
  <c r="J311" i="11"/>
  <c r="J310" i="11"/>
  <c r="J309" i="11"/>
  <c r="J308" i="11"/>
  <c r="J307" i="11"/>
  <c r="J306" i="11"/>
  <c r="J305" i="11"/>
  <c r="J304" i="11"/>
  <c r="J303" i="11"/>
  <c r="J302" i="11"/>
  <c r="J301" i="11"/>
  <c r="J300" i="11"/>
  <c r="J299" i="11"/>
  <c r="J298" i="11"/>
  <c r="J297" i="11"/>
  <c r="J296" i="11"/>
  <c r="J295" i="11"/>
  <c r="J294" i="11"/>
  <c r="J293" i="11"/>
  <c r="J292" i="11"/>
  <c r="J291" i="11"/>
  <c r="J290" i="11"/>
  <c r="J289" i="11"/>
  <c r="J288" i="11"/>
  <c r="J287" i="11"/>
  <c r="J286" i="11"/>
  <c r="J285" i="11"/>
  <c r="J284" i="11"/>
  <c r="J283" i="11"/>
  <c r="J282" i="11"/>
  <c r="J281" i="11"/>
  <c r="J280" i="11"/>
  <c r="J279" i="11"/>
  <c r="J278" i="11"/>
  <c r="J277" i="11"/>
  <c r="J276" i="11"/>
  <c r="J275" i="11"/>
  <c r="J274" i="11"/>
  <c r="J273" i="11"/>
  <c r="J272" i="11"/>
  <c r="J271" i="11"/>
  <c r="J270" i="11"/>
  <c r="J269" i="11"/>
  <c r="J268" i="11"/>
  <c r="J267" i="11"/>
  <c r="J266" i="11"/>
  <c r="J265" i="11"/>
  <c r="J264" i="11"/>
  <c r="J263" i="11"/>
  <c r="J262" i="11"/>
  <c r="J261" i="11"/>
  <c r="J260" i="11"/>
  <c r="J259" i="11"/>
  <c r="J258" i="11"/>
  <c r="J257" i="11"/>
  <c r="J256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42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225" i="11"/>
  <c r="J224" i="11"/>
  <c r="J223" i="11"/>
  <c r="J222" i="11"/>
  <c r="J221" i="11"/>
  <c r="J220" i="11"/>
  <c r="J219" i="11"/>
  <c r="J218" i="11"/>
  <c r="J217" i="11"/>
  <c r="J216" i="11"/>
  <c r="J215" i="11"/>
  <c r="J214" i="11"/>
  <c r="J213" i="11"/>
  <c r="J212" i="11"/>
  <c r="J211" i="11"/>
  <c r="J210" i="11"/>
  <c r="J209" i="11"/>
  <c r="J208" i="11"/>
  <c r="J207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3" i="11"/>
  <c r="J192" i="11"/>
  <c r="J191" i="11"/>
  <c r="J190" i="11"/>
  <c r="J189" i="11"/>
  <c r="J188" i="11"/>
  <c r="J187" i="11"/>
  <c r="J186" i="11"/>
  <c r="J185" i="11"/>
  <c r="J184" i="11"/>
  <c r="J183" i="11"/>
  <c r="J182" i="11"/>
  <c r="J181" i="11"/>
  <c r="J180" i="11"/>
  <c r="J179" i="11"/>
  <c r="J178" i="11"/>
  <c r="J177" i="11"/>
  <c r="J176" i="11"/>
  <c r="J175" i="11"/>
  <c r="J174" i="11"/>
  <c r="J173" i="11"/>
  <c r="J172" i="11"/>
  <c r="J171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J158" i="11"/>
  <c r="J157" i="11"/>
  <c r="J156" i="11"/>
  <c r="J155" i="11"/>
  <c r="J154" i="11"/>
  <c r="J153" i="11"/>
  <c r="J152" i="11"/>
  <c r="J151" i="11"/>
  <c r="J150" i="11"/>
  <c r="J149" i="11"/>
  <c r="J148" i="11"/>
  <c r="J147" i="11"/>
  <c r="J146" i="11"/>
  <c r="J145" i="11"/>
  <c r="J144" i="11"/>
  <c r="J143" i="11"/>
  <c r="J142" i="11"/>
  <c r="J141" i="11"/>
  <c r="J140" i="11"/>
  <c r="J139" i="11"/>
  <c r="J138" i="11"/>
  <c r="J137" i="11"/>
  <c r="J136" i="11"/>
  <c r="J135" i="11"/>
  <c r="J134" i="11"/>
  <c r="J133" i="11"/>
  <c r="J132" i="11"/>
  <c r="J131" i="11"/>
  <c r="J130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I136" i="9"/>
  <c r="A136" i="9"/>
  <c r="I135" i="9"/>
  <c r="A135" i="9"/>
  <c r="I134" i="9"/>
  <c r="A134" i="9"/>
  <c r="I133" i="9"/>
  <c r="A133" i="9"/>
  <c r="I132" i="9"/>
  <c r="A132" i="9"/>
  <c r="I131" i="9"/>
  <c r="A131" i="9"/>
  <c r="I130" i="9"/>
  <c r="A130" i="9"/>
  <c r="I129" i="9"/>
  <c r="A129" i="9"/>
  <c r="I128" i="9"/>
  <c r="A128" i="9"/>
  <c r="I127" i="9"/>
  <c r="A127" i="9"/>
  <c r="I126" i="9"/>
  <c r="A126" i="9"/>
  <c r="I125" i="9"/>
  <c r="A125" i="9"/>
  <c r="I124" i="9"/>
  <c r="A124" i="9"/>
  <c r="I123" i="9"/>
  <c r="A123" i="9"/>
  <c r="I122" i="9"/>
  <c r="A122" i="9"/>
  <c r="I121" i="9"/>
  <c r="A121" i="9"/>
  <c r="I120" i="9"/>
  <c r="A120" i="9"/>
  <c r="I119" i="9"/>
  <c r="A119" i="9"/>
  <c r="I118" i="9"/>
  <c r="A118" i="9"/>
  <c r="I117" i="9"/>
  <c r="A117" i="9"/>
  <c r="I116" i="9"/>
  <c r="A116" i="9"/>
  <c r="I115" i="9"/>
  <c r="A115" i="9"/>
  <c r="I114" i="9"/>
  <c r="A114" i="9"/>
  <c r="I113" i="9"/>
  <c r="A113" i="9"/>
  <c r="I112" i="9"/>
  <c r="A112" i="9"/>
  <c r="I111" i="9"/>
  <c r="A111" i="9"/>
  <c r="I110" i="9"/>
  <c r="A110" i="9"/>
  <c r="I109" i="9"/>
  <c r="A109" i="9"/>
  <c r="I108" i="9"/>
  <c r="A108" i="9"/>
  <c r="I107" i="9"/>
  <c r="A107" i="9"/>
  <c r="I106" i="9"/>
  <c r="A106" i="9"/>
  <c r="I105" i="9"/>
  <c r="A105" i="9"/>
  <c r="I104" i="9"/>
  <c r="A104" i="9"/>
  <c r="I103" i="9"/>
  <c r="A103" i="9"/>
  <c r="I102" i="9"/>
  <c r="A102" i="9"/>
  <c r="I101" i="9"/>
  <c r="A101" i="9"/>
  <c r="I100" i="9"/>
  <c r="A100" i="9"/>
  <c r="I99" i="9"/>
  <c r="A99" i="9"/>
  <c r="I98" i="9"/>
  <c r="A98" i="9"/>
  <c r="I97" i="9"/>
  <c r="A97" i="9"/>
  <c r="I96" i="9"/>
  <c r="A96" i="9"/>
  <c r="I95" i="9"/>
  <c r="A95" i="9"/>
  <c r="I94" i="9"/>
  <c r="A94" i="9"/>
  <c r="I93" i="9"/>
  <c r="A93" i="9"/>
  <c r="I92" i="9"/>
  <c r="A92" i="9"/>
  <c r="I91" i="9"/>
  <c r="A91" i="9"/>
  <c r="I90" i="9"/>
  <c r="A90" i="9"/>
  <c r="I89" i="9"/>
  <c r="A89" i="9"/>
  <c r="I88" i="9"/>
  <c r="A88" i="9"/>
  <c r="I87" i="9"/>
  <c r="A87" i="9"/>
  <c r="I86" i="9"/>
  <c r="A86" i="9"/>
  <c r="I85" i="9"/>
  <c r="A85" i="9"/>
  <c r="I84" i="9"/>
  <c r="A84" i="9"/>
  <c r="I83" i="9"/>
  <c r="A83" i="9"/>
  <c r="I82" i="9"/>
  <c r="A82" i="9"/>
  <c r="I81" i="9"/>
  <c r="A81" i="9"/>
  <c r="I80" i="9"/>
  <c r="A80" i="9"/>
  <c r="I79" i="9"/>
  <c r="A79" i="9"/>
  <c r="I78" i="9"/>
  <c r="A78" i="9"/>
  <c r="I77" i="9"/>
  <c r="A77" i="9"/>
  <c r="I76" i="9"/>
  <c r="A76" i="9"/>
  <c r="I75" i="9"/>
  <c r="A75" i="9"/>
  <c r="I74" i="9"/>
  <c r="A74" i="9"/>
  <c r="I73" i="9"/>
  <c r="A73" i="9"/>
  <c r="I72" i="9"/>
  <c r="A72" i="9"/>
  <c r="I71" i="9"/>
  <c r="A71" i="9"/>
  <c r="I70" i="9"/>
  <c r="A70" i="9"/>
  <c r="I69" i="9"/>
  <c r="A69" i="9"/>
  <c r="I68" i="9"/>
  <c r="A68" i="9"/>
  <c r="I67" i="9"/>
  <c r="A67" i="9"/>
  <c r="I66" i="9"/>
  <c r="A66" i="9"/>
  <c r="I65" i="9"/>
  <c r="A65" i="9"/>
  <c r="I64" i="9"/>
  <c r="A64" i="9"/>
  <c r="I63" i="9"/>
  <c r="A63" i="9"/>
  <c r="I62" i="9"/>
  <c r="A62" i="9"/>
  <c r="I61" i="9"/>
  <c r="A61" i="9"/>
  <c r="I60" i="9"/>
  <c r="A60" i="9"/>
  <c r="I59" i="9"/>
  <c r="A59" i="9"/>
  <c r="I58" i="9"/>
  <c r="A58" i="9"/>
  <c r="I57" i="9"/>
  <c r="A57" i="9"/>
  <c r="I56" i="9"/>
  <c r="A56" i="9"/>
  <c r="I55" i="9"/>
  <c r="A55" i="9"/>
  <c r="I54" i="9"/>
  <c r="A54" i="9"/>
  <c r="I53" i="9"/>
  <c r="A53" i="9"/>
  <c r="I52" i="9"/>
  <c r="A52" i="9"/>
  <c r="I51" i="9"/>
  <c r="A51" i="9"/>
  <c r="I50" i="9"/>
  <c r="A50" i="9"/>
  <c r="I49" i="9"/>
  <c r="A49" i="9"/>
  <c r="I48" i="9"/>
  <c r="A48" i="9"/>
  <c r="I47" i="9"/>
  <c r="A47" i="9"/>
  <c r="I46" i="9"/>
  <c r="A46" i="9"/>
  <c r="I45" i="9"/>
  <c r="A45" i="9"/>
  <c r="I44" i="9"/>
  <c r="A44" i="9"/>
  <c r="I43" i="9"/>
  <c r="A43" i="9"/>
  <c r="I42" i="9"/>
  <c r="A42" i="9"/>
  <c r="I41" i="9"/>
  <c r="A41" i="9"/>
  <c r="I40" i="9"/>
  <c r="A40" i="9"/>
  <c r="I39" i="9"/>
  <c r="A39" i="9"/>
  <c r="I38" i="9"/>
  <c r="A38" i="9"/>
  <c r="I37" i="9"/>
  <c r="A37" i="9"/>
  <c r="I36" i="9"/>
  <c r="A36" i="9"/>
  <c r="I35" i="9"/>
  <c r="A35" i="9"/>
  <c r="I34" i="9"/>
  <c r="A34" i="9"/>
  <c r="I33" i="9"/>
  <c r="A33" i="9"/>
  <c r="I32" i="9"/>
  <c r="A32" i="9"/>
  <c r="I31" i="9"/>
  <c r="A31" i="9"/>
  <c r="I30" i="9"/>
  <c r="A30" i="9"/>
  <c r="I29" i="9"/>
  <c r="A29" i="9"/>
  <c r="I28" i="9"/>
  <c r="A28" i="9"/>
  <c r="I27" i="9"/>
  <c r="A27" i="9"/>
  <c r="I26" i="9"/>
  <c r="A26" i="9"/>
  <c r="I25" i="9"/>
  <c r="A25" i="9"/>
  <c r="I24" i="9"/>
  <c r="A24" i="9"/>
  <c r="I23" i="9"/>
  <c r="A23" i="9"/>
  <c r="I22" i="9"/>
  <c r="A22" i="9"/>
  <c r="I21" i="9"/>
  <c r="A21" i="9"/>
  <c r="I20" i="9"/>
  <c r="A20" i="9"/>
  <c r="I19" i="9"/>
  <c r="A19" i="9"/>
  <c r="I18" i="9"/>
  <c r="A18" i="9"/>
  <c r="I17" i="9"/>
  <c r="A17" i="9"/>
  <c r="I16" i="9"/>
  <c r="A16" i="9"/>
  <c r="I15" i="9"/>
  <c r="A15" i="9"/>
  <c r="I14" i="9"/>
  <c r="A14" i="9"/>
  <c r="I13" i="9"/>
  <c r="A13" i="9"/>
  <c r="I12" i="9"/>
  <c r="A12" i="9"/>
  <c r="I11" i="9"/>
  <c r="A11" i="9"/>
  <c r="I10" i="9"/>
  <c r="A10" i="9"/>
  <c r="I9" i="9"/>
  <c r="A9" i="9"/>
  <c r="I8" i="9"/>
  <c r="A8" i="9"/>
  <c r="I7" i="9"/>
  <c r="A7" i="9"/>
  <c r="I6" i="9"/>
  <c r="A6" i="9"/>
  <c r="I5" i="9"/>
  <c r="A5" i="9"/>
  <c r="I4" i="9"/>
  <c r="A4" i="9"/>
  <c r="I3" i="9"/>
  <c r="A3" i="9"/>
  <c r="I2" i="9"/>
  <c r="A2" i="9"/>
  <c r="I136" i="5"/>
  <c r="I109" i="5"/>
  <c r="A135" i="5"/>
  <c r="A4" i="5"/>
  <c r="A132" i="5"/>
  <c r="A110" i="5"/>
  <c r="I95" i="5"/>
  <c r="A21" i="5"/>
  <c r="I25" i="5"/>
  <c r="A118" i="5"/>
  <c r="A28" i="5"/>
  <c r="A51" i="5"/>
  <c r="A57" i="5"/>
  <c r="I67" i="5"/>
  <c r="A66" i="5"/>
  <c r="I29" i="5"/>
  <c r="A13" i="5"/>
  <c r="A96" i="5"/>
  <c r="A104" i="5"/>
  <c r="A123" i="5"/>
  <c r="A62" i="5"/>
  <c r="I41" i="5"/>
  <c r="A37" i="5"/>
  <c r="A33" i="5"/>
  <c r="A42" i="5"/>
  <c r="A50" i="5"/>
  <c r="A61" i="5"/>
  <c r="A55" i="5"/>
  <c r="A98" i="5"/>
  <c r="A3" i="5"/>
  <c r="A131" i="5"/>
  <c r="A79" i="5"/>
  <c r="A12" i="5"/>
  <c r="A128" i="5"/>
  <c r="A60" i="5"/>
  <c r="A5" i="5"/>
  <c r="A92" i="5"/>
  <c r="A10" i="5"/>
  <c r="I113" i="5"/>
  <c r="A129" i="5"/>
  <c r="A63" i="5"/>
  <c r="A32" i="5"/>
  <c r="A35" i="5"/>
  <c r="A19" i="5"/>
  <c r="A75" i="5"/>
  <c r="A116" i="5"/>
  <c r="A6" i="5"/>
  <c r="I71" i="5"/>
  <c r="A26" i="5"/>
  <c r="A87" i="5"/>
  <c r="A22" i="5"/>
  <c r="I47" i="5"/>
  <c r="I15" i="5"/>
  <c r="A105" i="5"/>
  <c r="A114" i="5"/>
  <c r="A100" i="5"/>
  <c r="A107" i="5"/>
  <c r="A54" i="5"/>
  <c r="A18" i="5"/>
  <c r="A24" i="5"/>
  <c r="A112" i="5"/>
  <c r="A127" i="5"/>
  <c r="A45" i="5"/>
  <c r="A7" i="5"/>
  <c r="A89" i="5"/>
  <c r="A93" i="5"/>
  <c r="A103" i="5"/>
  <c r="A70" i="5"/>
  <c r="A38" i="5"/>
  <c r="A64" i="5"/>
  <c r="I39" i="5"/>
  <c r="A36" i="5"/>
  <c r="A125" i="5"/>
  <c r="A78" i="5"/>
  <c r="A44" i="5"/>
  <c r="I45" i="5"/>
  <c r="I107" i="5"/>
  <c r="I114" i="5"/>
  <c r="A134" i="5"/>
  <c r="A2" i="5"/>
  <c r="A30" i="5"/>
  <c r="A136" i="5"/>
  <c r="A121" i="5"/>
  <c r="A106" i="5"/>
  <c r="A85" i="5"/>
  <c r="A76" i="5"/>
  <c r="A31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A25" i="5" l="1"/>
  <c r="I34" i="5"/>
  <c r="I30" i="5"/>
  <c r="I133" i="5"/>
  <c r="I56" i="5"/>
  <c r="A15" i="5"/>
  <c r="I106" i="5"/>
  <c r="I9" i="5"/>
  <c r="I84" i="5"/>
  <c r="I69" i="5"/>
  <c r="I52" i="5"/>
  <c r="I88" i="5"/>
  <c r="I82" i="5"/>
  <c r="I119" i="5"/>
  <c r="I4" i="5"/>
  <c r="I75" i="5"/>
  <c r="A101" i="5"/>
  <c r="A56" i="5"/>
  <c r="A108" i="5"/>
  <c r="I61" i="5"/>
  <c r="I51" i="5"/>
  <c r="I12" i="5"/>
  <c r="A46" i="5"/>
  <c r="A52" i="5"/>
  <c r="A16" i="5"/>
  <c r="A59" i="5"/>
  <c r="I46" i="5"/>
  <c r="A133" i="5"/>
  <c r="I120" i="5"/>
  <c r="I128" i="5"/>
  <c r="I7" i="5"/>
  <c r="I127" i="5"/>
  <c r="I130" i="5"/>
  <c r="A94" i="5"/>
  <c r="I32" i="5"/>
  <c r="I19" i="5"/>
  <c r="A120" i="5"/>
  <c r="A39" i="5"/>
  <c r="I92" i="5"/>
  <c r="A80" i="5"/>
  <c r="I38" i="5"/>
  <c r="I40" i="5"/>
  <c r="I21" i="5"/>
  <c r="I126" i="5"/>
  <c r="I63" i="5"/>
  <c r="I86" i="5"/>
  <c r="I13" i="5"/>
  <c r="I76" i="5"/>
  <c r="A9" i="5"/>
  <c r="A84" i="5"/>
  <c r="I42" i="5"/>
  <c r="I108" i="5"/>
  <c r="I132" i="5"/>
  <c r="I122" i="5"/>
  <c r="A48" i="5"/>
  <c r="I23" i="5"/>
  <c r="A67" i="5"/>
  <c r="A23" i="5"/>
  <c r="I93" i="5"/>
  <c r="I97" i="5"/>
  <c r="A130" i="5"/>
  <c r="I57" i="5"/>
  <c r="A97" i="5"/>
  <c r="I94" i="5"/>
  <c r="A74" i="5"/>
  <c r="I2" i="5"/>
  <c r="I16" i="5"/>
  <c r="I44" i="5"/>
  <c r="I87" i="5"/>
  <c r="I117" i="5"/>
  <c r="I123" i="5"/>
  <c r="A88" i="5"/>
  <c r="A47" i="5"/>
  <c r="I49" i="5"/>
  <c r="I62" i="5"/>
  <c r="A65" i="5"/>
  <c r="I134" i="5"/>
  <c r="I66" i="5"/>
  <c r="I59" i="5"/>
  <c r="A29" i="5"/>
  <c r="A109" i="5"/>
  <c r="A83" i="5"/>
  <c r="A124" i="5"/>
  <c r="A71" i="5"/>
  <c r="I18" i="5"/>
  <c r="A34" i="5"/>
  <c r="I100" i="5"/>
  <c r="A77" i="5"/>
  <c r="I35" i="5"/>
  <c r="I24" i="5"/>
  <c r="I48" i="5"/>
  <c r="I37" i="5"/>
  <c r="A82" i="5"/>
  <c r="I3" i="5"/>
  <c r="I116" i="5"/>
  <c r="I89" i="5"/>
  <c r="A111" i="5"/>
  <c r="A43" i="5"/>
  <c r="I98" i="5"/>
  <c r="A91" i="5"/>
  <c r="A119" i="5"/>
  <c r="I103" i="5"/>
  <c r="I53" i="5"/>
  <c r="I79" i="5"/>
  <c r="I124" i="5"/>
  <c r="A11" i="5"/>
  <c r="I11" i="5"/>
  <c r="I20" i="5"/>
  <c r="I77" i="5"/>
  <c r="I99" i="5"/>
  <c r="I65" i="5"/>
  <c r="I70" i="5"/>
  <c r="A20" i="5"/>
  <c r="I26" i="5"/>
  <c r="I96" i="5"/>
  <c r="I131" i="5"/>
  <c r="I129" i="5"/>
  <c r="A27" i="5"/>
  <c r="I91" i="5"/>
  <c r="I121" i="5"/>
  <c r="I104" i="5"/>
  <c r="I135" i="5"/>
  <c r="I43" i="5"/>
  <c r="I22" i="5"/>
  <c r="I54" i="5"/>
  <c r="A95" i="5"/>
  <c r="A17" i="5"/>
  <c r="A69" i="5"/>
  <c r="I31" i="5"/>
  <c r="A81" i="5"/>
  <c r="A14" i="5"/>
  <c r="A72" i="5"/>
  <c r="A73" i="5"/>
  <c r="I111" i="5"/>
  <c r="I112" i="5"/>
  <c r="I64" i="5"/>
  <c r="A90" i="5"/>
  <c r="A41" i="5"/>
  <c r="I27" i="5"/>
  <c r="I60" i="5"/>
  <c r="A86" i="5"/>
  <c r="A102" i="5"/>
  <c r="A126" i="5"/>
  <c r="A68" i="5"/>
  <c r="A115" i="5"/>
  <c r="A49" i="5"/>
  <c r="A99" i="5"/>
  <c r="A58" i="5"/>
  <c r="I74" i="5"/>
  <c r="I55" i="5"/>
  <c r="I105" i="5"/>
  <c r="I36" i="5"/>
  <c r="I118" i="5"/>
  <c r="I5" i="5"/>
  <c r="I80" i="5"/>
  <c r="A122" i="5"/>
  <c r="I28" i="5"/>
  <c r="I110" i="5"/>
  <c r="I17" i="5"/>
  <c r="I81" i="5"/>
  <c r="I14" i="5"/>
  <c r="I72" i="5"/>
  <c r="I73" i="5"/>
  <c r="I125" i="5"/>
  <c r="I90" i="5"/>
  <c r="I33" i="5"/>
  <c r="I85" i="5"/>
  <c r="I78" i="5"/>
  <c r="I83" i="5"/>
  <c r="I6" i="5"/>
  <c r="I50" i="5"/>
  <c r="A117" i="5"/>
  <c r="A113" i="5"/>
  <c r="I10" i="5"/>
  <c r="I8" i="5"/>
  <c r="I101" i="5"/>
  <c r="A53" i="5"/>
  <c r="A40" i="5"/>
  <c r="A8" i="5"/>
  <c r="I102" i="5"/>
  <c r="I68" i="5"/>
  <c r="I115" i="5"/>
  <c r="I58" i="5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G378" i="1" l="1"/>
  <c r="G511" i="1"/>
  <c r="G193" i="1"/>
  <c r="G138" i="1"/>
  <c r="G132" i="1"/>
  <c r="G568" i="1"/>
  <c r="G938" i="1"/>
  <c r="G356" i="1"/>
  <c r="G364" i="1"/>
  <c r="G372" i="1"/>
  <c r="G453" i="1"/>
  <c r="G693" i="1"/>
  <c r="G797" i="1"/>
  <c r="G933" i="1"/>
  <c r="G551" i="1"/>
  <c r="G667" i="1"/>
  <c r="G269" i="1"/>
  <c r="G409" i="1"/>
  <c r="G261" i="1"/>
  <c r="G417" i="1"/>
  <c r="G425" i="1"/>
  <c r="G441" i="1"/>
  <c r="G719" i="1"/>
  <c r="G396" i="1"/>
  <c r="G348" i="1"/>
  <c r="G414" i="1"/>
  <c r="G26" i="1"/>
  <c r="G446" i="1"/>
  <c r="G449" i="1"/>
  <c r="G322" i="1"/>
  <c r="G625" i="1"/>
  <c r="G481" i="1"/>
  <c r="G268" i="1"/>
  <c r="G422" i="1"/>
  <c r="G340" i="1"/>
  <c r="G494" i="1"/>
  <c r="G617" i="1"/>
  <c r="G462" i="1"/>
  <c r="G465" i="1"/>
  <c r="G404" i="1"/>
  <c r="G18" i="1"/>
  <c r="G394" i="1"/>
  <c r="G473" i="1"/>
  <c r="G470" i="1"/>
  <c r="G454" i="1"/>
  <c r="G743" i="1"/>
  <c r="G619" i="1"/>
  <c r="G433" i="1"/>
  <c r="G627" i="1"/>
  <c r="G651" i="1"/>
  <c r="G659" i="1"/>
  <c r="G795" i="1"/>
  <c r="G195" i="1"/>
  <c r="G87" i="1"/>
  <c r="G701" i="1"/>
  <c r="G709" i="1"/>
  <c r="G717" i="1"/>
  <c r="G229" i="1"/>
  <c r="G73" i="1"/>
  <c r="G951" i="1"/>
  <c r="G201" i="1"/>
  <c r="G959" i="1"/>
  <c r="G209" i="1"/>
  <c r="G967" i="1"/>
  <c r="G217" i="1"/>
  <c r="G241" i="1"/>
  <c r="G172" i="1"/>
  <c r="G204" i="1"/>
  <c r="G840" i="1"/>
  <c r="G236" i="1"/>
  <c r="G848" i="1"/>
  <c r="G34" i="1"/>
  <c r="G641" i="1"/>
  <c r="G564" i="1"/>
  <c r="G953" i="1"/>
  <c r="G160" i="1"/>
  <c r="G854" i="1"/>
  <c r="G210" i="1"/>
  <c r="G230" i="1"/>
  <c r="G900" i="1"/>
  <c r="G894" i="1"/>
  <c r="G770" i="1"/>
  <c r="G376" i="1"/>
  <c r="G100" i="1"/>
  <c r="G7" i="1"/>
  <c r="G392" i="1"/>
  <c r="G810" i="1"/>
  <c r="G565" i="1"/>
  <c r="G15" i="1"/>
  <c r="G416" i="1"/>
  <c r="G834" i="1"/>
  <c r="G573" i="1"/>
  <c r="G575" i="1"/>
  <c r="G16" i="1"/>
  <c r="G460" i="1"/>
  <c r="G80" i="1"/>
  <c r="G838" i="1"/>
  <c r="G152" i="1"/>
  <c r="G428" i="1"/>
  <c r="G171" i="1"/>
  <c r="G66" i="1"/>
  <c r="G56" i="1"/>
  <c r="G913" i="1"/>
  <c r="G652" i="1"/>
  <c r="G94" i="1"/>
  <c r="G828" i="1"/>
  <c r="G168" i="1"/>
  <c r="G862" i="1"/>
  <c r="G234" i="1"/>
  <c r="G762" i="1"/>
  <c r="G916" i="1"/>
  <c r="G92" i="1"/>
  <c r="G8" i="1"/>
  <c r="G436" i="1"/>
  <c r="G794" i="1"/>
  <c r="G47" i="1"/>
  <c r="G882" i="1"/>
  <c r="G189" i="1"/>
  <c r="G63" i="1"/>
  <c r="G41" i="1"/>
  <c r="G672" i="1"/>
  <c r="G890" i="1"/>
  <c r="G597" i="1"/>
  <c r="G703" i="1"/>
  <c r="G75" i="1"/>
  <c r="G633" i="1"/>
  <c r="G758" i="1"/>
  <c r="G38" i="1"/>
  <c r="G814" i="1"/>
  <c r="G186" i="1"/>
  <c r="G194" i="1"/>
  <c r="G202" i="1"/>
  <c r="G222" i="1"/>
  <c r="G570" i="1"/>
  <c r="G28" i="1"/>
  <c r="G578" i="1"/>
  <c r="G330" i="1"/>
  <c r="G908" i="1"/>
  <c r="G902" i="1"/>
  <c r="G910" i="1"/>
  <c r="G802" i="1"/>
  <c r="G164" i="1"/>
  <c r="G581" i="1"/>
  <c r="G252" i="1"/>
  <c r="G228" i="1"/>
  <c r="G711" i="1"/>
  <c r="G686" i="1"/>
  <c r="G30" i="1"/>
  <c r="G889" i="1"/>
  <c r="G78" i="1"/>
  <c r="G86" i="1"/>
  <c r="G846" i="1"/>
  <c r="G961" i="1"/>
  <c r="G836" i="1"/>
  <c r="G176" i="1"/>
  <c r="G886" i="1"/>
  <c r="G242" i="1"/>
  <c r="G258" i="1"/>
  <c r="G357" i="1"/>
  <c r="G384" i="1"/>
  <c r="G39" i="1"/>
  <c r="G842" i="1"/>
  <c r="G639" i="1"/>
  <c r="G141" i="1"/>
  <c r="G664" i="1"/>
  <c r="G589" i="1"/>
  <c r="G647" i="1"/>
  <c r="G260" i="1"/>
  <c r="G197" i="1"/>
  <c r="G71" i="1"/>
  <c r="G57" i="1"/>
  <c r="G712" i="1"/>
  <c r="G621" i="1"/>
  <c r="G221" i="1"/>
  <c r="G79" i="1"/>
  <c r="G65" i="1"/>
  <c r="G816" i="1"/>
  <c r="G339" i="1"/>
  <c r="G629" i="1"/>
  <c r="G267" i="1"/>
  <c r="G157" i="1"/>
  <c r="G46" i="1"/>
  <c r="G680" i="1"/>
  <c r="G921" i="1"/>
  <c r="G635" i="1"/>
  <c r="G884" i="1"/>
  <c r="G430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G233" i="1"/>
  <c r="G72" i="1"/>
  <c r="G199" i="1"/>
  <c r="G62" i="1"/>
  <c r="G3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G225" i="1"/>
  <c r="G64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G81" i="1"/>
  <c r="G192" i="1"/>
  <c r="G55" i="1"/>
  <c r="G206" i="1"/>
  <c r="G117" i="1"/>
  <c r="G59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G248" i="1"/>
  <c r="G31" i="1"/>
  <c r="G166" i="1"/>
  <c r="G362" i="1"/>
  <c r="G29" i="1"/>
  <c r="G243" i="1"/>
  <c r="G44" i="1"/>
  <c r="G227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G185" i="1"/>
  <c r="G240" i="1"/>
  <c r="G23" i="1"/>
  <c r="G142" i="1"/>
  <c r="G327" i="1"/>
  <c r="G21" i="1"/>
  <c r="G211" i="1"/>
  <c r="G12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G25" i="1"/>
  <c r="G96" i="1"/>
  <c r="G167" i="1"/>
  <c r="G303" i="1"/>
  <c r="G173" i="1"/>
  <c r="G298" i="1"/>
  <c r="G123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G17" i="1"/>
  <c r="G88" i="1"/>
  <c r="G159" i="1"/>
  <c r="G286" i="1"/>
  <c r="G165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G280" i="1"/>
  <c r="G279" i="1"/>
  <c r="G22" i="1"/>
  <c r="G101" i="1"/>
  <c r="G35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G272" i="1"/>
  <c r="G271" i="1"/>
  <c r="G93" i="1"/>
  <c r="G263" i="1"/>
  <c r="G815" i="1"/>
  <c r="G350" i="1"/>
  <c r="G612" i="1"/>
  <c r="G858" i="1"/>
  <c r="G313" i="1"/>
  <c r="G256" i="1"/>
  <c r="G283" i="1"/>
  <c r="G294" i="1"/>
  <c r="G628" i="1"/>
  <c r="G290" i="1"/>
  <c r="G14" i="1"/>
  <c r="G6" i="1"/>
  <c r="G726" i="1"/>
  <c r="G923" i="1"/>
  <c r="G482" i="1"/>
  <c r="G600" i="1"/>
  <c r="G273" i="1"/>
  <c r="G77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G281" i="1"/>
  <c r="G264" i="1"/>
  <c r="G85" i="1"/>
  <c r="G471" i="1"/>
  <c r="G293" i="1"/>
  <c r="G531" i="1"/>
  <c r="G673" i="1"/>
  <c r="G314" i="1"/>
  <c r="G255" i="1"/>
  <c r="G645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G153" i="1"/>
  <c r="G128" i="1"/>
  <c r="G111" i="1"/>
  <c r="G214" i="1"/>
  <c r="G116" i="1"/>
  <c r="G235" i="1"/>
  <c r="G124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G145" i="1"/>
  <c r="G120" i="1"/>
  <c r="G103" i="1"/>
  <c r="G198" i="1"/>
  <c r="G84" i="1"/>
  <c r="G203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G177" i="1"/>
  <c r="G191" i="1"/>
  <c r="G190" i="1"/>
  <c r="G133" i="1"/>
  <c r="G179" i="1"/>
  <c r="G140" i="1"/>
  <c r="G284" i="1"/>
  <c r="G155" i="1"/>
  <c r="G871" i="1"/>
  <c r="G956" i="1"/>
  <c r="G434" i="1"/>
  <c r="G752" i="1"/>
  <c r="G105" i="1"/>
  <c r="G37" i="1"/>
  <c r="G19" i="1"/>
  <c r="G863" i="1"/>
  <c r="G733" i="1"/>
  <c r="G683" i="1"/>
  <c r="G497" i="1"/>
  <c r="G296" i="1"/>
  <c r="G110" i="1"/>
  <c r="G52" i="1"/>
  <c r="G295" i="1"/>
  <c r="G359" i="1"/>
  <c r="G940" i="1"/>
  <c r="G898" i="1"/>
  <c r="G736" i="1"/>
  <c r="G89" i="1"/>
  <c r="G95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G169" i="1"/>
  <c r="G183" i="1"/>
  <c r="G182" i="1"/>
  <c r="G125" i="1"/>
  <c r="G354" i="1"/>
  <c r="G147" i="1"/>
  <c r="G108" i="1"/>
  <c r="G251" i="1"/>
  <c r="G895" i="1"/>
  <c r="G558" i="1"/>
  <c r="G508" i="1"/>
  <c r="G962" i="1"/>
  <c r="G577" i="1"/>
  <c r="G312" i="1"/>
  <c r="G113" i="1"/>
  <c r="G126" i="1"/>
  <c r="G212" i="1"/>
  <c r="G51" i="1"/>
  <c r="G550" i="1"/>
  <c r="G500" i="1"/>
  <c r="G118" i="1"/>
  <c r="G383" i="1"/>
  <c r="G948" i="1"/>
  <c r="G906" i="1"/>
  <c r="G744" i="1"/>
  <c r="G97" i="1"/>
  <c r="G119" i="1"/>
  <c r="G13" i="1"/>
  <c r="G27" i="1"/>
  <c r="G799" i="1"/>
  <c r="G725" i="1"/>
  <c r="G675" i="1"/>
  <c r="G489" i="1"/>
  <c r="G911" i="1"/>
  <c r="G415" i="1"/>
  <c r="G590" i="1"/>
  <c r="G524" i="1"/>
  <c r="G731" i="1"/>
  <c r="G299" i="1"/>
  <c r="G530" i="1"/>
  <c r="G593" i="1"/>
  <c r="G792" i="1"/>
  <c r="G328" i="1"/>
  <c r="G161" i="1"/>
  <c r="G175" i="1"/>
  <c r="G174" i="1"/>
  <c r="G109" i="1"/>
  <c r="G276" i="1"/>
  <c r="G115" i="1"/>
  <c r="G76" i="1"/>
  <c r="G219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G121" i="1"/>
  <c r="G143" i="1"/>
  <c r="G134" i="1"/>
  <c r="G53" i="1"/>
  <c r="G244" i="1"/>
  <c r="G83" i="1"/>
  <c r="G187" i="1"/>
  <c r="G399" i="1"/>
  <c r="G781" i="1"/>
  <c r="G341" i="1"/>
  <c r="G715" i="1"/>
  <c r="G442" i="1"/>
  <c r="G760" i="1"/>
  <c r="G135" i="1"/>
  <c r="G45" i="1"/>
  <c r="G391" i="1"/>
  <c r="G741" i="1"/>
  <c r="G691" i="1"/>
  <c r="G569" i="1"/>
  <c r="G304" i="1"/>
  <c r="G127" i="1"/>
  <c r="G148" i="1"/>
  <c r="G91" i="1"/>
  <c r="G542" i="1"/>
  <c r="G492" i="1"/>
  <c r="G426" i="1"/>
  <c r="G526" i="1"/>
  <c r="G484" i="1"/>
  <c r="G418" i="1"/>
  <c r="G266" i="1"/>
  <c r="G102" i="1"/>
  <c r="G5" i="1"/>
  <c r="G2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G144" i="1"/>
  <c r="G60" i="1"/>
  <c r="G623" i="1"/>
  <c r="G957" i="1"/>
  <c r="G549" i="1"/>
  <c r="G764" i="1"/>
  <c r="G292" i="1"/>
  <c r="G475" i="1"/>
  <c r="G698" i="1"/>
  <c r="G785" i="1"/>
  <c r="G345" i="1"/>
  <c r="G520" i="1"/>
  <c r="G98" i="1"/>
  <c r="G136" i="1"/>
  <c r="G253" i="1"/>
  <c r="G156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G112" i="1"/>
  <c r="G245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G104" i="1"/>
  <c r="G370" i="1"/>
  <c r="G237" i="1"/>
  <c r="G319" i="1"/>
  <c r="G583" i="1"/>
  <c r="G766" i="1"/>
  <c r="G461" i="1"/>
  <c r="G740" i="1"/>
  <c r="G891" i="1"/>
  <c r="G451" i="1"/>
  <c r="G650" i="1"/>
  <c r="G761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G32" i="1"/>
  <c r="G270" i="1"/>
  <c r="G213" i="1"/>
  <c r="G139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G24" i="1"/>
  <c r="G335" i="1"/>
  <c r="G262" i="1"/>
  <c r="G205" i="1"/>
  <c r="G107" i="1"/>
  <c r="G694" i="1"/>
  <c r="G901" i="1"/>
  <c r="G429" i="1"/>
  <c r="G660" i="1"/>
  <c r="G859" i="1"/>
  <c r="G371" i="1"/>
  <c r="G618" i="1"/>
  <c r="G729" i="1"/>
  <c r="G888" i="1"/>
  <c r="G424" i="1"/>
  <c r="G42" i="1"/>
  <c r="G196" i="1"/>
  <c r="G181" i="1"/>
  <c r="G54" i="1"/>
  <c r="G10" i="1"/>
  <c r="G688" i="1"/>
  <c r="G929" i="1"/>
  <c r="G643" i="1"/>
  <c r="G892" i="1"/>
  <c r="G438" i="1"/>
  <c r="G695" i="1"/>
  <c r="G74" i="1"/>
  <c r="G880" i="1"/>
  <c r="G586" i="1"/>
  <c r="G803" i="1"/>
  <c r="G389" i="1"/>
  <c r="G751" i="1"/>
  <c r="G238" i="1"/>
  <c r="G928" i="1"/>
  <c r="G594" i="1"/>
  <c r="G811" i="1"/>
  <c r="G397" i="1"/>
  <c r="G518" i="1"/>
  <c r="G759" i="1"/>
  <c r="G351" i="1"/>
  <c r="G277" i="1"/>
  <c r="G246" i="1"/>
  <c r="G146" i="1"/>
  <c r="G936" i="1"/>
  <c r="G642" i="1"/>
  <c r="G819" i="1"/>
  <c r="G405" i="1"/>
  <c r="G630" i="1"/>
  <c r="G783" i="1"/>
  <c r="G285" i="1"/>
  <c r="G254" i="1"/>
  <c r="G9" i="1"/>
  <c r="G170" i="1"/>
  <c r="G393" i="1"/>
  <c r="G730" i="1"/>
  <c r="G883" i="1"/>
  <c r="G413" i="1"/>
  <c r="G638" i="1"/>
  <c r="G791" i="1"/>
  <c r="G302" i="1"/>
  <c r="G278" i="1"/>
  <c r="G33" i="1"/>
  <c r="G178" i="1"/>
  <c r="G401" i="1"/>
  <c r="G738" i="1"/>
  <c r="G324" i="1"/>
  <c r="G646" i="1"/>
  <c r="G935" i="1"/>
  <c r="G184" i="1"/>
  <c r="G918" i="1"/>
  <c r="G207" i="1"/>
  <c r="G488" i="1"/>
  <c r="G355" i="1"/>
  <c r="G958" i="1"/>
  <c r="G215" i="1"/>
  <c r="G536" i="1"/>
  <c r="G363" i="1"/>
  <c r="G845" i="1"/>
  <c r="G223" i="1"/>
  <c r="G224" i="1"/>
  <c r="G560" i="1"/>
  <c r="G833" i="1"/>
  <c r="G443" i="1"/>
  <c r="G700" i="1"/>
  <c r="G853" i="1"/>
  <c r="G503" i="1"/>
  <c r="G67" i="1"/>
  <c r="G287" i="1"/>
  <c r="G289" i="1"/>
  <c r="G841" i="1"/>
  <c r="G491" i="1"/>
  <c r="G780" i="1"/>
  <c r="G861" i="1"/>
  <c r="G188" i="1"/>
  <c r="G99" i="1"/>
  <c r="G4" i="1"/>
  <c r="G306" i="1"/>
  <c r="G386" i="1"/>
  <c r="G576" i="1"/>
  <c r="G865" i="1"/>
  <c r="G507" i="1"/>
  <c r="G788" i="1"/>
  <c r="G925" i="1"/>
  <c r="G535" i="1"/>
  <c r="G347" i="1"/>
  <c r="G200" i="1"/>
  <c r="G821" i="1"/>
  <c r="G36" i="1"/>
  <c r="G584" i="1"/>
  <c r="G873" i="1"/>
  <c r="G515" i="1"/>
  <c r="G796" i="1"/>
  <c r="G543" i="1"/>
  <c r="G464" i="1"/>
  <c r="G572" i="1"/>
  <c r="G644" i="1"/>
  <c r="G208" i="1"/>
  <c r="G753" i="1"/>
  <c r="G966" i="1"/>
  <c r="G131" i="1"/>
  <c r="G163" i="1"/>
  <c r="G68" i="1"/>
  <c r="G11" i="1"/>
  <c r="G656" i="1"/>
  <c r="G881" i="1"/>
  <c r="G611" i="1"/>
  <c r="G804" i="1"/>
  <c r="G318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G137" i="1"/>
  <c r="G338" i="1"/>
  <c r="G48" i="1"/>
  <c r="G239" i="1"/>
  <c r="G158" i="1"/>
  <c r="G149" i="1"/>
  <c r="G180" i="1"/>
  <c r="G275" i="1"/>
  <c r="G43" i="1"/>
  <c r="G259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G310" i="1"/>
  <c r="G40" i="1"/>
  <c r="G150" i="1"/>
  <c r="G220" i="1"/>
  <c r="G767" i="1"/>
  <c r="G614" i="1"/>
  <c r="G924" i="1"/>
  <c r="G746" i="1"/>
  <c r="G440" i="1"/>
  <c r="G129" i="1"/>
  <c r="G231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G343" i="1"/>
  <c r="G49" i="1"/>
  <c r="G216" i="1"/>
  <c r="G151" i="1"/>
  <c r="G70" i="1"/>
  <c r="G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<sst xmlns="http://schemas.openxmlformats.org/spreadsheetml/2006/main" count="7750" uniqueCount="1338">
  <si>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</si>
  <si>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</si>
  <si>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</si>
  <si>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</si>
  <si>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</si>
  <si>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</si>
  <si>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</si>
  <si>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</si>
  <si>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</si>
  <si>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</si>
  <si>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</si>
  <si>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</si>
  <si>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</si>
  <si>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</si>
  <si>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</si>
  <si>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</si>
  <si>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</si>
  <si>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</si>
  <si>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</si>
  <si>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</si>
  <si>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</si>
  <si>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</si>
  <si>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</si>
  <si>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</si>
  <si>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</si>
  <si>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</si>
  <si>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</si>
  <si>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</si>
  <si>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</si>
  <si>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</si>
  <si>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</si>
  <si>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</si>
  <si>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</si>
  <si>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</si>
  <si>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</si>
  <si>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</si>
  <si>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</si>
  <si>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</si>
  <si>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</si>
  <si>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</si>
  <si>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</si>
  <si>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</si>
  <si>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</si>
  <si>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</si>
  <si>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</si>
  <si>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</si>
  <si>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</si>
  <si>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</si>
  <si>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</si>
  <si>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</si>
  <si>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</si>
  <si>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</si>
  <si>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</si>
  <si>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</si>
  <si>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</si>
  <si>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</si>
  <si>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</si>
  <si>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</si>
  <si>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</si>
  <si>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</si>
  <si>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</si>
  <si>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</si>
  <si>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</si>
  <si>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</si>
  <si>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</si>
  <si>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</si>
  <si>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</si>
  <si>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</si>
  <si>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</si>
  <si>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</si>
  <si>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</si>
  <si>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</si>
  <si>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</si>
  <si>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</si>
  <si>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</si>
  <si>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</si>
  <si>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</si>
  <si>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</si>
  <si>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</si>
  <si>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</si>
  <si>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</si>
  <si>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</si>
  <si>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</si>
  <si>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</si>
  <si>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</si>
  <si>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</si>
  <si>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</si>
  <si>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</si>
  <si>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</si>
  <si>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</si>
  <si>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</si>
  <si>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</si>
  <si>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</si>
  <si>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</si>
  <si>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</si>
  <si>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</si>
  <si>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</si>
  <si>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</si>
  <si>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</si>
  <si>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</si>
  <si>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</si>
  <si>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</si>
  <si>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</si>
  <si>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</si>
  <si>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</si>
  <si>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</si>
  <si>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</si>
  <si>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</si>
  <si>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</si>
  <si>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</si>
  <si>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</si>
  <si>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</si>
  <si>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</si>
  <si>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</si>
  <si>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</si>
  <si>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</si>
  <si>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</si>
  <si>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</si>
  <si>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</si>
  <si>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</si>
  <si>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</si>
  <si>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</si>
  <si>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</si>
  <si>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</si>
  <si>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</si>
  <si>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</si>
  <si>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</si>
  <si>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</si>
  <si>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</si>
  <si>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</si>
  <si>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</si>
  <si>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</si>
  <si>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</si>
  <si>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</si>
  <si>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</si>
  <si>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</si>
  <si>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</si>
  <si>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</si>
  <si>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</si>
  <si>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</si>
  <si>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</si>
  <si>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</si>
  <si>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</si>
  <si>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</si>
  <si>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</si>
  <si>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</si>
  <si>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</si>
  <si>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</si>
  <si>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</si>
  <si>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</si>
  <si>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</si>
  <si>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</si>
  <si>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</si>
  <si>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</si>
  <si>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</si>
  <si>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</si>
  <si>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</si>
  <si>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</si>
  <si>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</si>
  <si>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</si>
  <si>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</si>
  <si>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</si>
  <si>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</si>
  <si>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</si>
  <si>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</si>
  <si>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</si>
  <si>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</si>
  <si>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</si>
  <si>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</si>
  <si>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</si>
  <si>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</si>
  <si>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</si>
  <si>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</si>
  <si>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</si>
  <si>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</si>
  <si>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</si>
  <si>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</si>
  <si>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</si>
  <si>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</si>
  <si>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</si>
  <si>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</si>
  <si>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</si>
  <si>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</si>
  <si>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</si>
  <si>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</si>
  <si>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</si>
  <si>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</si>
  <si>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</si>
  <si>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</si>
  <si>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</si>
  <si>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</si>
  <si>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</si>
  <si>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</si>
  <si>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</si>
  <si>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</si>
  <si>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</si>
  <si>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</si>
  <si>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</si>
  <si>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</si>
  <si>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</si>
  <si>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</si>
  <si>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</si>
  <si>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</si>
  <si>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</si>
  <si>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</si>
  <si>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</si>
  <si>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</si>
  <si>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</si>
  <si>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</si>
  <si>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</si>
  <si>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</si>
  <si>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</si>
  <si>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</si>
  <si>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</si>
  <si>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</si>
  <si>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</si>
  <si>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</si>
  <si>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</si>
  <si>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</si>
  <si>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</si>
  <si>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</si>
  <si>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</si>
  <si>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</si>
  <si>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</si>
  <si>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</si>
  <si>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</si>
  <si>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</si>
  <si>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</si>
  <si>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</si>
  <si>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</si>
  <si>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</si>
  <si>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</si>
  <si>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</si>
  <si>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</si>
  <si>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</si>
  <si>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</si>
  <si>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</si>
  <si>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</si>
  <si>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</si>
  <si>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</si>
  <si>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</si>
  <si>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</si>
  <si>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</si>
  <si>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</si>
  <si>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</si>
  <si>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</si>
  <si>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</si>
  <si>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</si>
  <si>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</si>
  <si>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</si>
  <si>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</si>
  <si>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</si>
  <si>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</si>
  <si>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</si>
  <si>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</si>
  <si>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</si>
  <si>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</si>
  <si>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</si>
  <si>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</si>
  <si>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</si>
  <si>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</si>
  <si>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</si>
  <si>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</si>
  <si>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</si>
  <si>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</si>
  <si>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</si>
  <si>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</si>
  <si>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</si>
  <si>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</si>
  <si>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</si>
  <si>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</si>
  <si>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</si>
  <si>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</si>
  <si>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</si>
  <si>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</si>
  <si>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</si>
  <si>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</si>
  <si>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</si>
  <si>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</si>
  <si>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</si>
  <si>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</si>
  <si>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</si>
  <si>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</si>
  <si>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</si>
  <si>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</si>
  <si>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</si>
  <si>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</si>
  <si>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</si>
  <si>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</si>
  <si>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</si>
  <si>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</si>
  <si>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</si>
  <si>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</si>
  <si>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</si>
  <si>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</si>
  <si>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</si>
  <si>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</si>
  <si>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</si>
  <si>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</si>
  <si>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</si>
  <si>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</si>
  <si>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</si>
  <si>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</si>
  <si>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</si>
  <si>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</si>
  <si>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</si>
  <si>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</si>
  <si>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</si>
  <si>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</si>
  <si>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</si>
  <si>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</si>
  <si>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</si>
  <si>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</si>
  <si>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</si>
  <si>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</si>
  <si>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</si>
  <si>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</si>
  <si>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</si>
  <si>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</si>
  <si>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</si>
  <si>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</si>
  <si>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</si>
  <si>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</si>
  <si>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</si>
  <si>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</si>
  <si>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</si>
  <si>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</si>
  <si>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</si>
  <si>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</si>
  <si>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</si>
  <si>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</si>
  <si>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</si>
  <si>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</si>
  <si>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</si>
  <si>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</si>
  <si>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</si>
  <si>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</si>
  <si>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</si>
  <si>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</si>
  <si>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</si>
  <si>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</si>
  <si>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</si>
  <si>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</si>
  <si>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</si>
  <si>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</si>
  <si>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</si>
  <si>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</si>
  <si>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</si>
  <si>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</si>
  <si>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</si>
  <si>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</si>
  <si>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</si>
  <si>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</si>
  <si>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</si>
  <si>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</si>
  <si>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</si>
  <si>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</si>
  <si>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</si>
  <si>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</si>
  <si>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</si>
  <si>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</si>
  <si>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</si>
  <si>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</si>
  <si>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</si>
  <si>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</si>
  <si>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</si>
  <si>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</si>
  <si>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</si>
  <si>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</si>
  <si>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</si>
  <si>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</si>
  <si>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</si>
  <si>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</si>
  <si>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</si>
  <si>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</si>
  <si>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</si>
  <si>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</si>
  <si>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</si>
  <si>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</si>
  <si>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</si>
  <si>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</si>
  <si>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</si>
  <si>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</si>
  <si>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</si>
  <si>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</si>
  <si>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</si>
  <si>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</si>
  <si>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</si>
  <si>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</si>
  <si>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</si>
  <si>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</si>
  <si>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</si>
  <si>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</si>
  <si>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</si>
  <si>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</si>
  <si>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</si>
  <si>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</si>
  <si>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</si>
  <si>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</si>
  <si>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</si>
  <si>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</si>
  <si>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</si>
  <si>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</si>
  <si>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</si>
  <si>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</si>
  <si>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</si>
  <si>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</si>
  <si>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</si>
  <si>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</si>
  <si>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</si>
  <si>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</si>
  <si>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</si>
  <si>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</si>
  <si>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</si>
  <si>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</si>
  <si>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</si>
  <si>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</si>
  <si>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</si>
  <si>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</si>
  <si>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</si>
  <si>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</si>
  <si>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</si>
  <si>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</si>
  <si>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</si>
  <si>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</si>
  <si>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</si>
  <si>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</si>
  <si>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</si>
  <si>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</si>
  <si>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</si>
  <si>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</si>
  <si>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</si>
  <si>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</si>
  <si>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</si>
  <si>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</si>
  <si>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</si>
  <si>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</si>
  <si>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</si>
  <si>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</si>
  <si>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</si>
  <si>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</si>
  <si>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</si>
  <si>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</si>
  <si>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</si>
  <si>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</si>
  <si>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</si>
  <si>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</si>
  <si>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</si>
  <si>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</si>
  <si>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</si>
  <si>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</si>
  <si>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</si>
  <si>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</si>
  <si>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</si>
  <si>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</si>
  <si>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</si>
  <si>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</si>
  <si>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</si>
  <si>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</si>
  <si>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</si>
  <si>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</si>
  <si>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</si>
  <si>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</si>
  <si>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</si>
  <si>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</si>
  <si>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</si>
  <si>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</si>
  <si>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</si>
  <si>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</si>
  <si>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</si>
  <si>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</si>
  <si>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</si>
  <si>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</si>
  <si>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</si>
  <si>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</si>
  <si>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</si>
  <si>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</si>
  <si>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</si>
  <si>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</si>
  <si>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</si>
  <si>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</si>
  <si>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</si>
  <si>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</si>
  <si>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</si>
  <si>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</si>
  <si>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</si>
  <si>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</si>
  <si>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</si>
  <si>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</si>
  <si>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</si>
  <si>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</si>
  <si>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</si>
  <si>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</si>
  <si>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</si>
  <si>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</si>
  <si>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</si>
  <si>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</si>
  <si>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</si>
  <si>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</si>
  <si>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</si>
  <si>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</si>
  <si>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</si>
  <si>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</si>
  <si>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</si>
  <si>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</si>
  <si>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</si>
  <si>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</si>
  <si>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</si>
  <si>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</si>
  <si>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</si>
  <si>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</si>
  <si>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</si>
  <si>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</si>
  <si>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</si>
  <si>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</si>
  <si>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</si>
  <si>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</si>
  <si>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</si>
  <si>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</si>
  <si>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</si>
  <si>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</si>
  <si>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</si>
  <si>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</si>
  <si>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</si>
  <si>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</si>
  <si>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</si>
  <si>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</si>
  <si>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</si>
  <si>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</si>
  <si>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</si>
  <si>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</si>
  <si>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</si>
  <si>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</si>
  <si>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</si>
  <si>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</si>
  <si>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</si>
  <si>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</si>
  <si>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</si>
  <si>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</si>
  <si>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</si>
  <si>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</si>
  <si>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</si>
  <si>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</si>
  <si>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</si>
  <si>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</si>
  <si>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</si>
  <si>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</si>
  <si>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</si>
  <si>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</si>
  <si>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</si>
  <si>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</si>
  <si>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</si>
  <si>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</si>
  <si>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</si>
  <si>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</si>
  <si>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</si>
  <si>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</si>
  <si>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</si>
  <si>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</si>
  <si>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</si>
  <si>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</si>
  <si>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</si>
  <si>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</si>
  <si>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</si>
  <si>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</si>
  <si>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</si>
  <si>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</si>
  <si>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</si>
  <si>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</si>
  <si>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</si>
  <si>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</si>
  <si>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</si>
  <si>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</si>
  <si>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</si>
  <si>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</si>
  <si>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</si>
  <si>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</si>
  <si>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</si>
  <si>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</si>
  <si>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</si>
  <si>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</si>
  <si>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</si>
  <si>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</si>
  <si>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</si>
  <si>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</si>
  <si>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</si>
  <si>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</si>
  <si>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</si>
  <si>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</si>
  <si>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</si>
  <si>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</si>
  <si>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</si>
  <si>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</si>
  <si>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</si>
  <si>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</si>
  <si>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</si>
  <si>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</si>
  <si>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</si>
  <si>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</si>
  <si>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</si>
  <si>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</si>
  <si>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</si>
  <si>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</si>
  <si>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</si>
  <si>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</si>
  <si>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</si>
  <si>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</si>
  <si>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</si>
  <si>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</si>
  <si>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</si>
  <si>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</si>
  <si>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</si>
  <si>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</si>
  <si>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</si>
  <si>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</si>
  <si>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</si>
  <si>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</si>
  <si>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</si>
  <si>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</si>
  <si>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</si>
  <si>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</si>
  <si>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</si>
  <si>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</si>
  <si>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</si>
  <si>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</si>
  <si>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</si>
  <si>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</si>
  <si>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</si>
  <si>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</si>
  <si>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</si>
  <si>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</si>
  <si>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</si>
  <si>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</si>
  <si>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</si>
  <si>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</si>
  <si>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</si>
  <si>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</si>
  <si>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</si>
  <si>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</si>
  <si>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</si>
  <si>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</si>
  <si>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</si>
  <si>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</si>
  <si>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</si>
  <si>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</si>
  <si>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</si>
  <si>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</si>
  <si>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</si>
  <si>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</si>
  <si>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</si>
  <si>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</si>
  <si>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</si>
  <si>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</si>
  <si>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</si>
  <si>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</si>
  <si>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</si>
  <si>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</si>
  <si>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</si>
  <si>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</si>
  <si>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</si>
  <si>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</si>
  <si>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</si>
  <si>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</si>
  <si>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</si>
  <si>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</si>
  <si>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</si>
  <si>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</si>
  <si>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</si>
  <si>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</si>
  <si>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</si>
  <si>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</si>
  <si>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</si>
  <si>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</si>
  <si>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</si>
  <si>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</si>
  <si>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</si>
  <si>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</si>
  <si>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</si>
  <si>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</si>
  <si>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</si>
  <si>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</si>
  <si>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</si>
  <si>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</si>
  <si>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</si>
  <si>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</si>
  <si>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</si>
  <si>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</si>
  <si>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</si>
  <si>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</si>
  <si>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</si>
  <si>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</si>
  <si>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</si>
  <si>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</si>
  <si>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</si>
  <si>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</si>
  <si>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</si>
  <si>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</si>
  <si>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</si>
  <si>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</si>
  <si>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</si>
  <si>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</si>
  <si>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</si>
  <si>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</si>
  <si>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</si>
  <si>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</si>
  <si>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</si>
  <si>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</si>
  <si>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</si>
  <si>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</si>
  <si>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</si>
  <si>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</si>
  <si>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</si>
  <si>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</si>
  <si>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</si>
  <si>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</si>
  <si>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</si>
  <si>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</si>
  <si>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</si>
  <si>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</si>
  <si>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</si>
  <si>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</si>
  <si>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</si>
  <si>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</si>
  <si>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</si>
  <si>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</si>
  <si>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</si>
  <si>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</si>
  <si>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</si>
  <si>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</si>
  <si>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</si>
  <si>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</si>
  <si>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</si>
  <si>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</si>
  <si>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</si>
  <si>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</si>
  <si>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</si>
  <si>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</si>
  <si>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</si>
  <si>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</si>
  <si>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</si>
  <si>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</si>
  <si>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</si>
  <si>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</si>
  <si>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</si>
  <si>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</si>
  <si>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</si>
  <si>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</si>
  <si>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</si>
  <si>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</si>
  <si>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</si>
  <si>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</si>
  <si>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</si>
  <si>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</si>
  <si>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</si>
  <si>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</si>
  <si>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</si>
  <si>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</si>
  <si>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</si>
  <si>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</si>
  <si>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</si>
  <si>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</si>
  <si>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</si>
  <si>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</si>
  <si>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</si>
  <si>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</si>
  <si>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</si>
  <si>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</si>
  <si>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</si>
  <si>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</si>
  <si>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</si>
  <si>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</si>
  <si>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</si>
  <si>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</si>
  <si>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</si>
  <si>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</si>
  <si>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</si>
  <si>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</si>
  <si>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</si>
  <si>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</si>
  <si>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</si>
  <si>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</si>
  <si>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</si>
  <si>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</si>
  <si>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</si>
  <si>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</si>
  <si>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</si>
  <si>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</si>
  <si>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</si>
  <si>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</si>
  <si>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</si>
  <si>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</si>
  <si>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</si>
  <si>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</si>
  <si>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</si>
  <si>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</si>
  <si>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</si>
  <si>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</si>
  <si>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</si>
  <si>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</si>
  <si>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</si>
  <si>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</si>
  <si>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</si>
  <si>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</si>
  <si>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</si>
  <si>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</si>
  <si>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</si>
  <si>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</si>
  <si>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</si>
  <si>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</si>
  <si>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</si>
  <si>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</si>
  <si>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</si>
  <si>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</si>
  <si>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</si>
  <si>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</si>
  <si>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</si>
  <si>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</si>
  <si>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</si>
  <si>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</si>
  <si>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</si>
  <si>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</si>
  <si>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</si>
  <si>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</si>
  <si>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</si>
  <si>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</si>
  <si>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</si>
  <si>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</si>
  <si>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</si>
  <si>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</si>
  <si>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</si>
  <si>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</si>
  <si>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</si>
  <si>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</si>
  <si>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</si>
  <si>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</si>
  <si>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</si>
  <si>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</si>
  <si>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</si>
  <si>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</si>
  <si>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</si>
  <si>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</si>
  <si>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</si>
  <si>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</si>
  <si>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</si>
  <si>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</si>
  <si>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</si>
  <si>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</si>
  <si>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</si>
  <si>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</si>
  <si>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</si>
  <si>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</si>
  <si>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</si>
  <si>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</si>
  <si>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</si>
  <si>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</si>
  <si>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</si>
  <si>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</si>
  <si>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</si>
  <si>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</si>
  <si>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</si>
  <si>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</si>
  <si>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</si>
  <si>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</si>
  <si>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</si>
  <si>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</si>
  <si>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</si>
  <si>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</si>
  <si>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</si>
  <si>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</si>
  <si>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</si>
  <si>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</si>
  <si>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</si>
  <si>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</si>
  <si>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</si>
  <si>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</si>
  <si>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</si>
  <si>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</si>
  <si>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</si>
  <si>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</si>
  <si>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</si>
  <si>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</si>
  <si>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</si>
  <si>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</si>
  <si>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</si>
  <si>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</si>
  <si>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</si>
  <si>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</si>
  <si>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</si>
  <si>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</si>
  <si>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</si>
  <si>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</si>
  <si>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</si>
  <si>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</si>
  <si>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</si>
  <si>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</si>
  <si>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</si>
  <si>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</si>
  <si>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</si>
  <si>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</si>
  <si>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</si>
  <si>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</si>
  <si>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</si>
  <si>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</si>
  <si>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</si>
  <si>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</si>
  <si>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</si>
  <si>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</si>
  <si>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</si>
  <si>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</si>
  <si>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</si>
  <si>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</si>
  <si>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</si>
  <si>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</si>
  <si>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</si>
  <si>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</si>
  <si>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</si>
  <si>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</si>
  <si>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</si>
  <si>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</si>
  <si>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</si>
  <si>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</si>
  <si>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</si>
  <si>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</si>
  <si>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</si>
  <si>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</si>
  <si>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</si>
  <si>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</si>
  <si>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</si>
  <si>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</si>
  <si>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</si>
  <si>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</si>
  <si>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</si>
  <si>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</si>
  <si>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</si>
  <si>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</si>
  <si>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</si>
  <si>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</si>
  <si>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</si>
  <si>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</si>
  <si>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</si>
  <si>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</si>
  <si>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</si>
  <si>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</si>
  <si>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</si>
  <si>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</si>
  <si>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</si>
  <si>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</si>
  <si>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</si>
  <si>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</si>
  <si>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</si>
  <si>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</si>
  <si>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</si>
  <si>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</si>
  <si>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</si>
  <si>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</si>
  <si>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</si>
  <si>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</si>
  <si>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</si>
  <si>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</si>
  <si>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</si>
  <si>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</si>
  <si>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</si>
  <si>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</si>
  <si>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</si>
  <si>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</si>
  <si>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</si>
  <si>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</si>
  <si>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</si>
  <si>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</si>
  <si>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</si>
  <si>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</si>
  <si>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</si>
  <si>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</si>
  <si>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</si>
  <si>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</si>
  <si>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</si>
  <si>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</si>
  <si>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</si>
  <si>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</si>
  <si>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</si>
  <si>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</si>
  <si>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</si>
  <si>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</si>
  <si>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</si>
  <si>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</si>
  <si>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</si>
  <si>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</si>
  <si>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</si>
  <si>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</si>
  <si>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</si>
  <si>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</si>
  <si>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</si>
  <si>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</si>
  <si>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</si>
  <si>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</si>
  <si>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</si>
  <si>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</si>
  <si>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</si>
  <si>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</si>
  <si>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</si>
  <si>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</si>
  <si>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</si>
  <si>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</si>
  <si>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</si>
  <si>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</si>
  <si>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</si>
  <si>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</si>
  <si>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</si>
  <si>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</si>
  <si>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</si>
  <si>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</si>
  <si>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</si>
  <si>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</si>
  <si>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</si>
  <si>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</si>
  <si>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</si>
  <si>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</si>
  <si>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</si>
  <si>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</si>
  <si>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</si>
  <si>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</si>
  <si>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</si>
  <si>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</si>
  <si>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</si>
  <si>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</si>
  <si>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</si>
  <si>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</si>
  <si>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</si>
  <si>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</si>
  <si>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</si>
  <si>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</si>
  <si>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</si>
  <si>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</si>
  <si>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</si>
  <si>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</si>
  <si>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</si>
  <si>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</si>
  <si>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</si>
  <si>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</si>
  <si>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</si>
  <si>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</si>
  <si>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</si>
  <si>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</si>
  <si>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</si>
  <si>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</si>
  <si>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</si>
  <si>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</si>
  <si>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</si>
  <si>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</si>
  <si>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</si>
  <si>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</si>
  <si>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</si>
  <si>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</si>
  <si>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</si>
  <si>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</si>
  <si>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</si>
  <si>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</si>
  <si>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</si>
  <si>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</si>
  <si>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</si>
  <si>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</si>
  <si>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</si>
  <si>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</si>
  <si>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</si>
  <si>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</si>
  <si>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</si>
  <si>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</si>
  <si>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</si>
  <si>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</si>
  <si>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</si>
  <si>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</si>
  <si>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</si>
  <si>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</si>
  <si>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</si>
  <si>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</si>
  <si>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</si>
  <si>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</si>
  <si>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</si>
  <si>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</si>
  <si>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</si>
  <si>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</si>
  <si>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</si>
  <si>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</si>
  <si>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</si>
  <si>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</si>
  <si>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</si>
  <si>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</si>
  <si>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</si>
  <si>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</si>
  <si>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</si>
  <si>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</si>
  <si>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</si>
  <si>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</si>
  <si>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</si>
  <si>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</si>
  <si>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</si>
  <si>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</si>
  <si>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</si>
  <si>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</si>
  <si>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</si>
  <si>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</si>
  <si>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</si>
  <si>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</si>
  <si>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</si>
  <si>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</si>
  <si>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</si>
  <si>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</si>
  <si>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</si>
  <si>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</si>
  <si>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</si>
  <si>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</si>
  <si>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</si>
  <si>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</si>
  <si>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</si>
  <si>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</si>
  <si>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</si>
  <si>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</si>
  <si>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</si>
  <si>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</si>
  <si>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</si>
  <si>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</si>
  <si>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</si>
  <si>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</si>
  <si>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</si>
  <si>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</si>
  <si>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</si>
  <si>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</si>
  <si>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</si>
  <si>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</si>
  <si>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</si>
  <si>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</si>
  <si>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</si>
  <si>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</si>
  <si>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</si>
  <si>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</si>
  <si>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</si>
  <si>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</si>
  <si>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</si>
  <si>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</si>
  <si>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</si>
  <si>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</si>
  <si>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</si>
  <si>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</si>
  <si>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</si>
  <si>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</si>
  <si>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</si>
  <si>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</si>
  <si>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</si>
  <si>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</si>
  <si>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</si>
  <si>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</si>
  <si>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</si>
  <si>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</si>
  <si>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</si>
  <si>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</si>
  <si>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</si>
  <si>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</si>
  <si>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</si>
  <si>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</si>
  <si>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</si>
  <si>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</si>
  <si>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</si>
  <si>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</si>
  <si>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</si>
  <si>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</si>
  <si>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</si>
  <si>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</si>
  <si>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</si>
  <si>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</si>
  <si>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</si>
  <si>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</si>
  <si>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</si>
  <si>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</si>
  <si>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</si>
  <si>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</si>
  <si>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</si>
  <si>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</si>
  <si>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</si>
  <si>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</si>
  <si>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</si>
  <si>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</si>
  <si>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</si>
  <si>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</si>
  <si>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</si>
  <si>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</si>
  <si>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</si>
  <si>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</si>
  <si>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</si>
  <si>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</si>
  <si>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</si>
  <si>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</si>
  <si>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</si>
  <si>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</si>
  <si>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</si>
  <si>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</si>
  <si>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</si>
  <si>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</si>
  <si>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</si>
  <si>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</si>
  <si>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</si>
  <si>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</si>
  <si>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</si>
  <si>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</si>
  <si>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</si>
  <si>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</si>
  <si>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</si>
  <si>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</si>
  <si>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ratishmoondra@gmail.com</t>
  </si>
  <si>
    <t>Not on whatsapp</t>
  </si>
  <si>
    <t>ratishmoondra2025@gmail.com</t>
  </si>
  <si>
    <t>nikechandak@gmail.com</t>
  </si>
  <si>
    <t>Confirmed Presence</t>
  </si>
  <si>
    <t>2 member ll join</t>
  </si>
  <si>
    <t>3 member ll join</t>
  </si>
  <si>
    <t>No is not taking incoming calls</t>
  </si>
  <si>
    <t>3 people have confirmed</t>
  </si>
  <si>
    <t>4 people have confirmed</t>
  </si>
  <si>
    <t>Not Coming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</si>
  <si>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</si>
  <si>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</si>
  <si>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</si>
  <si>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</si>
  <si>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</si>
  <si>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</si>
  <si>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</si>
  <si>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</si>
  <si>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</si>
  <si>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</si>
  <si>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</si>
  <si>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</si>
  <si>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</si>
  <si>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</si>
  <si>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</si>
  <si>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</si>
  <si>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</si>
  <si>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</si>
  <si>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</si>
  <si>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</si>
  <si>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</si>
  <si>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</si>
  <si>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</si>
  <si>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</si>
  <si>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</si>
  <si>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</si>
  <si>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</si>
  <si>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</si>
  <si>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</si>
  <si>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</si>
  <si>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</si>
  <si>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</si>
  <si>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</si>
  <si>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</si>
  <si>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</si>
  <si>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</si>
  <si>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</si>
  <si>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</si>
  <si>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</si>
  <si>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</si>
  <si>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</si>
  <si>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</si>
  <si>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</si>
  <si>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</si>
  <si>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</si>
  <si>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</si>
  <si>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</si>
  <si>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</si>
  <si>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</si>
  <si>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</si>
  <si>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</si>
  <si>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</si>
  <si>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</si>
  <si>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</si>
  <si>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</si>
  <si>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</si>
  <si>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</si>
  <si>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</si>
  <si>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</si>
  <si>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</si>
  <si>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</si>
  <si>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</si>
  <si>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</si>
  <si>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</si>
  <si>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</si>
  <si>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</si>
  <si>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</si>
  <si>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</si>
  <si>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</si>
  <si>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</si>
  <si>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</si>
  <si>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</si>
  <si>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</si>
  <si>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</si>
  <si>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</si>
  <si>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</si>
  <si>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</si>
  <si>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</si>
  <si>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</si>
  <si>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</si>
  <si>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</si>
  <si>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</si>
  <si>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</si>
  <si>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</si>
  <si>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</si>
  <si>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</si>
  <si>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</si>
  <si>
    <t>Aditya Daga</t>
  </si>
  <si>
    <t>Shashi Jhawar</t>
  </si>
  <si>
    <t>Suman Kothari</t>
  </si>
  <si>
    <t>Krishna Kabra</t>
  </si>
  <si>
    <t>Jyoti Malpani</t>
  </si>
  <si>
    <t>Number not valid</t>
  </si>
  <si>
    <t>3 persons</t>
  </si>
  <si>
    <t>2 persons</t>
  </si>
  <si>
    <t>Not valid no</t>
  </si>
  <si>
    <t>Not in town due to marriage</t>
  </si>
  <si>
    <t>2 to 4 persons</t>
  </si>
  <si>
    <t>Busy in marriage</t>
  </si>
  <si>
    <t>Out of service</t>
  </si>
  <si>
    <t>Due to marriage programme</t>
  </si>
  <si>
    <t>1 or 2 persons</t>
  </si>
  <si>
    <t>Number is incorrect</t>
  </si>
  <si>
    <t>Phone is switched off</t>
  </si>
  <si>
    <t>Family function</t>
  </si>
  <si>
    <t>2 person will attend</t>
  </si>
  <si>
    <t>Invalid number</t>
  </si>
  <si>
    <t>1/2 person will come</t>
  </si>
  <si>
    <t>5/6 person</t>
  </si>
  <si>
    <t>2 person</t>
  </si>
  <si>
    <t>4 persona</t>
  </si>
  <si>
    <t>Out of mumbai</t>
  </si>
  <si>
    <t>Not exist number</t>
  </si>
  <si>
    <t>3/4 persons</t>
  </si>
  <si>
    <t>Shifted to banglore</t>
  </si>
  <si>
    <t>Going in a marriage</t>
  </si>
  <si>
    <t>Not registered</t>
  </si>
  <si>
    <t>2 people</t>
  </si>
  <si>
    <t>Date</t>
  </si>
  <si>
    <t>Gopal Rathi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</si>
</sst>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\ hh:mm:ss"/>
    <numFmt numFmtId="165" formatCode="dd\-mmm\-yy\ hh:m\i:ss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2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1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22" fontId="3" fillId="4" borderId="14" xfId="0" applyNumberFormat="1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3" fillId="3" borderId="13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3" fillId="4" borderId="15" xfId="0" applyNumberFormat="1" applyFont="1" applyFill="1" applyBorder="1" applyAlignment="1">
      <alignment horizontal="right" vertical="center" wrapText="1"/>
    </xf>
    <xf numFmtId="164" fontId="3" fillId="4" borderId="12" xfId="0" applyNumberFormat="1" applyFont="1" applyFill="1" applyBorder="1" applyAlignment="1">
      <alignment horizontal="right" vertical="center" wrapText="1"/>
    </xf>
    <xf numFmtId="164" fontId="3" fillId="4" borderId="10" xfId="0" applyNumberFormat="1" applyFont="1" applyFill="1" applyBorder="1" applyAlignment="1">
      <alignment horizontal="right" vertical="center" wrapText="1"/>
    </xf>
    <xf numFmtId="164" fontId="3" fillId="3" borderId="12" xfId="0" applyNumberFormat="1" applyFont="1" applyFill="1" applyBorder="1" applyAlignment="1">
      <alignment horizontal="right" vertical="center" wrapText="1"/>
    </xf>
    <xf numFmtId="164" fontId="3" fillId="3" borderId="10" xfId="0" applyNumberFormat="1" applyFont="1" applyFill="1" applyBorder="1" applyAlignment="1">
      <alignment horizontal="right" vertical="center" wrapText="1"/>
    </xf>
    <xf numFmtId="164" fontId="3" fillId="3" borderId="15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5" fontId="0" fillId="0" borderId="0" xfId="0" applyNumberFormat="1"/>
    <xf numFmtId="0" fontId="6" fillId="6" borderId="17" xfId="0" applyFont="1" applyFill="1" applyBorder="1" applyAlignment="1">
      <alignment vertical="center" wrapText="1"/>
    </xf>
    <xf numFmtId="165" fontId="0" fillId="0" borderId="10" xfId="0" applyNumberFormat="1" applyBorder="1"/>
    <xf numFmtId="165" fontId="0" fillId="0" borderId="12" xfId="0" applyNumberFormat="1" applyBorder="1"/>
    <xf numFmtId="0" fontId="0" fillId="0" borderId="2" xfId="0" applyBorder="1"/>
    <xf numFmtId="0" fontId="0" fillId="0" borderId="5" xfId="0" applyBorder="1"/>
    <xf numFmtId="0" fontId="3" fillId="4" borderId="6" xfId="0" applyFont="1" applyFill="1" applyBorder="1" applyAlignment="1">
      <alignment horizontal="right" vertical="center" wrapText="1"/>
    </xf>
    <xf numFmtId="0" fontId="0" fillId="0" borderId="11" xfId="0" applyBorder="1"/>
    <xf numFmtId="0" fontId="5" fillId="4" borderId="13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DB35F-50CA-4339-9286-940B6E0466B6}">
  <sheetPr filterMode="1"/>
  <dimension ref="A1:J378"/>
  <sheetViews>
    <sheetView workbookViewId="0">
      <selection activeCell="D1" sqref="D1"/>
    </sheetView>
  </sheetViews>
  <sheetFormatPr defaultColWidth="25.42578125" defaultRowHeight="15" x14ac:dyDescent="0.25"/>
  <cols>
    <col min="2" max="2" width="15.42578125" style="82" bestFit="1" customWidth="1"/>
    <col min="3" max="3" width="25.28515625" bestFit="1" customWidth="1"/>
    <col min="4" max="4" width="22.85546875" bestFit="1" customWidth="1"/>
    <col min="5" max="6" width="25.5703125" bestFit="1" customWidth="1"/>
    <col min="7" max="7" width="15.5703125" bestFit="1" customWidth="1"/>
    <col min="8" max="8" width="25.5703125" bestFit="1" customWidth="1"/>
    <col min="9" max="9" width="17.7109375" bestFit="1" customWidth="1"/>
  </cols>
  <sheetData>
    <row r="1" spans="1:10" ht="15.75" thickBot="1" x14ac:dyDescent="0.3">
      <c r="B1" s="71" t="s">
        <v>1018</v>
      </c>
      <c r="C1" s="72" t="s">
        <v>1304</v>
      </c>
      <c r="D1" s="72" t="s">
        <v>1021</v>
      </c>
      <c r="E1" s="72" t="s">
        <v>1013</v>
      </c>
      <c r="F1" s="72" t="s">
        <v>1014</v>
      </c>
      <c r="G1" s="72" t="s">
        <v>1020</v>
      </c>
      <c r="H1" s="73" t="s">
        <v>1022</v>
      </c>
      <c r="I1" s="83" t="s">
        <v>1336</v>
      </c>
    </row>
    <row r="2" spans="1:10" ht="15.75" thickBot="1" x14ac:dyDescent="0.3">
      <c r="A2">
        <v>7045652750</v>
      </c>
      <c r="B2" s="30">
        <v>45963.872141203705</v>
      </c>
      <c r="C2" s="19"/>
      <c r="D2" s="21" t="s">
        <v>1217</v>
      </c>
      <c r="E2" s="21" t="s">
        <v>23</v>
      </c>
      <c r="F2" s="21" t="s">
        <v>723</v>
      </c>
      <c r="G2" s="23">
        <v>7045652750</v>
      </c>
      <c r="H2" s="17" t="s">
        <v>1314</v>
      </c>
      <c r="I2" s="81">
        <v>45963.872141203705</v>
      </c>
    </row>
    <row r="3" spans="1:10" ht="26.25" hidden="1" thickBot="1" x14ac:dyDescent="0.3">
      <c r="A3">
        <v>7045887557</v>
      </c>
      <c r="B3" s="31">
        <v>45962.69971064815</v>
      </c>
      <c r="C3" s="22" t="s">
        <v>1257</v>
      </c>
      <c r="D3" s="22" t="s">
        <v>1225</v>
      </c>
      <c r="E3" s="22" t="s">
        <v>60</v>
      </c>
      <c r="F3" s="22" t="s">
        <v>551</v>
      </c>
      <c r="G3" s="24">
        <v>7045887557</v>
      </c>
      <c r="H3" s="18" t="s">
        <v>1258</v>
      </c>
      <c r="I3" s="81">
        <v>45962.69971064815</v>
      </c>
      <c r="J3" t="b">
        <f>G2=G3</f>
        <v>0</v>
      </c>
    </row>
    <row r="4" spans="1:10" ht="15.75" hidden="1" thickBot="1" x14ac:dyDescent="0.3">
      <c r="A4">
        <v>7045991852</v>
      </c>
      <c r="B4" s="84"/>
      <c r="C4" s="86"/>
      <c r="D4" s="22" t="s">
        <v>1225</v>
      </c>
      <c r="E4" s="86" t="s">
        <v>81</v>
      </c>
      <c r="F4" s="86" t="s">
        <v>420</v>
      </c>
      <c r="G4" s="86">
        <v>7045991852</v>
      </c>
      <c r="H4" s="89">
        <v>0</v>
      </c>
      <c r="I4" s="81">
        <v>45957.860567129632</v>
      </c>
      <c r="J4" t="b">
        <f t="shared" ref="J4:J67" si="0">G3=G4</f>
        <v>0</v>
      </c>
    </row>
    <row r="5" spans="1:10" ht="15.75" hidden="1" thickBot="1" x14ac:dyDescent="0.3">
      <c r="A5">
        <v>7208855720</v>
      </c>
      <c r="B5" s="31">
        <v>45964.524421296293</v>
      </c>
      <c r="C5" s="20"/>
      <c r="D5" s="22" t="s">
        <v>1024</v>
      </c>
      <c r="E5" s="22" t="s">
        <v>11</v>
      </c>
      <c r="F5" s="22" t="s">
        <v>669</v>
      </c>
      <c r="G5" s="24">
        <v>7208855720</v>
      </c>
      <c r="H5" s="18" t="s">
        <v>1330</v>
      </c>
      <c r="I5" s="81">
        <v>45964.524421296293</v>
      </c>
      <c r="J5" t="b">
        <f t="shared" si="0"/>
        <v>0</v>
      </c>
    </row>
    <row r="6" spans="1:10" ht="15.75" hidden="1" thickBot="1" x14ac:dyDescent="0.3">
      <c r="A6">
        <v>7303221249</v>
      </c>
      <c r="B6" s="30">
        <v>45962.702372685184</v>
      </c>
      <c r="C6" s="21" t="s">
        <v>1256</v>
      </c>
      <c r="D6" s="21" t="s">
        <v>1211</v>
      </c>
      <c r="E6" s="21" t="s">
        <v>77</v>
      </c>
      <c r="F6" s="21" t="s">
        <v>608</v>
      </c>
      <c r="G6" s="23">
        <v>7303221249</v>
      </c>
      <c r="H6" s="16"/>
      <c r="I6" s="81">
        <v>45962.702372685184</v>
      </c>
      <c r="J6" t="b">
        <f t="shared" si="0"/>
        <v>0</v>
      </c>
    </row>
    <row r="7" spans="1:10" ht="26.25" hidden="1" thickBot="1" x14ac:dyDescent="0.3">
      <c r="A7">
        <v>7387113012</v>
      </c>
      <c r="B7" s="26">
        <v>45962.660810185182</v>
      </c>
      <c r="C7" s="6" t="s">
        <v>1241</v>
      </c>
      <c r="D7" s="21" t="s">
        <v>1211</v>
      </c>
      <c r="E7" s="6" t="s">
        <v>95</v>
      </c>
      <c r="F7" s="6" t="s">
        <v>237</v>
      </c>
      <c r="G7" s="7">
        <v>7387113012</v>
      </c>
      <c r="H7" s="17" t="s">
        <v>1242</v>
      </c>
      <c r="I7" s="81">
        <v>45962.660810185182</v>
      </c>
      <c r="J7" t="b">
        <f t="shared" si="0"/>
        <v>0</v>
      </c>
    </row>
    <row r="8" spans="1:10" ht="15.75" hidden="1" thickBot="1" x14ac:dyDescent="0.3">
      <c r="A8">
        <v>7506055680</v>
      </c>
      <c r="B8" s="84"/>
      <c r="C8" s="86"/>
      <c r="D8" s="22" t="s">
        <v>1225</v>
      </c>
      <c r="E8" s="86" t="s">
        <v>45</v>
      </c>
      <c r="F8" s="86" t="s">
        <v>591</v>
      </c>
      <c r="G8" s="86">
        <v>7506055680</v>
      </c>
      <c r="H8" s="89">
        <v>0</v>
      </c>
      <c r="I8" s="81">
        <v>45944.770543981482</v>
      </c>
      <c r="J8" t="b">
        <f t="shared" si="0"/>
        <v>0</v>
      </c>
    </row>
    <row r="9" spans="1:10" ht="15.75" hidden="1" thickBot="1" x14ac:dyDescent="0.3">
      <c r="A9">
        <v>7506371178</v>
      </c>
      <c r="B9" s="85"/>
      <c r="C9" s="87"/>
      <c r="D9" s="22" t="s">
        <v>1225</v>
      </c>
      <c r="E9" s="87" t="s">
        <v>789</v>
      </c>
      <c r="F9" s="87" t="s">
        <v>849</v>
      </c>
      <c r="G9" s="87">
        <v>7506371178</v>
      </c>
      <c r="H9" s="89">
        <v>0</v>
      </c>
      <c r="I9" s="81">
        <v>45957.918749999997</v>
      </c>
      <c r="J9" t="b">
        <f t="shared" si="0"/>
        <v>0</v>
      </c>
    </row>
    <row r="10" spans="1:10" ht="15.75" hidden="1" thickBot="1" x14ac:dyDescent="0.3">
      <c r="A10">
        <v>7506747155</v>
      </c>
      <c r="B10" s="30">
        <v>45962.573888888888</v>
      </c>
      <c r="C10" s="21" t="s">
        <v>1222</v>
      </c>
      <c r="D10" s="21" t="s">
        <v>1010</v>
      </c>
      <c r="E10" s="21" t="s">
        <v>41</v>
      </c>
      <c r="F10" s="21" t="s">
        <v>732</v>
      </c>
      <c r="G10" s="23">
        <v>7506747155</v>
      </c>
      <c r="H10" s="16"/>
      <c r="I10" s="81">
        <v>45962.573888888888</v>
      </c>
      <c r="J10" t="b">
        <f t="shared" si="0"/>
        <v>0</v>
      </c>
    </row>
    <row r="11" spans="1:10" ht="15.75" hidden="1" thickBot="1" x14ac:dyDescent="0.3">
      <c r="A11">
        <v>7506809269</v>
      </c>
      <c r="B11" s="31">
        <v>45962.576944444445</v>
      </c>
      <c r="C11" s="22" t="s">
        <v>1222</v>
      </c>
      <c r="D11" s="21" t="s">
        <v>1211</v>
      </c>
      <c r="E11" s="22" t="s">
        <v>41</v>
      </c>
      <c r="F11" s="22" t="s">
        <v>493</v>
      </c>
      <c r="G11" s="24">
        <v>7506809269</v>
      </c>
      <c r="H11" s="14"/>
      <c r="I11" s="81">
        <v>45962.576944444445</v>
      </c>
      <c r="J11" t="b">
        <f t="shared" si="0"/>
        <v>0</v>
      </c>
    </row>
    <row r="12" spans="1:10" ht="15.75" hidden="1" thickBot="1" x14ac:dyDescent="0.3">
      <c r="A12">
        <v>7738385694</v>
      </c>
      <c r="B12" s="30">
        <v>45963.528865740744</v>
      </c>
      <c r="C12" s="21" t="s">
        <v>1281</v>
      </c>
      <c r="D12" s="21" t="s">
        <v>1010</v>
      </c>
      <c r="E12" s="21" t="s">
        <v>70</v>
      </c>
      <c r="F12" s="21" t="s">
        <v>176</v>
      </c>
      <c r="G12" s="23">
        <v>7738385694</v>
      </c>
      <c r="H12" s="17" t="s">
        <v>1283</v>
      </c>
      <c r="I12" s="81">
        <v>45963.528865740744</v>
      </c>
      <c r="J12" t="b">
        <f t="shared" si="0"/>
        <v>0</v>
      </c>
    </row>
    <row r="13" spans="1:10" ht="15.75" hidden="1" thickBot="1" x14ac:dyDescent="0.3">
      <c r="A13">
        <v>7738388091</v>
      </c>
      <c r="B13" s="26">
        <v>45963.53707175926</v>
      </c>
      <c r="C13" s="6" t="s">
        <v>1281</v>
      </c>
      <c r="D13" s="22" t="s">
        <v>1225</v>
      </c>
      <c r="E13" s="6" t="s">
        <v>70</v>
      </c>
      <c r="F13" s="6" t="s">
        <v>414</v>
      </c>
      <c r="G13" s="7">
        <v>7738388091</v>
      </c>
      <c r="H13" s="17" t="s">
        <v>1286</v>
      </c>
      <c r="I13" s="81">
        <v>45963.53707175926</v>
      </c>
      <c r="J13" t="b">
        <f t="shared" si="0"/>
        <v>0</v>
      </c>
    </row>
    <row r="14" spans="1:10" ht="26.25" hidden="1" thickBot="1" x14ac:dyDescent="0.3">
      <c r="A14">
        <v>7798729876</v>
      </c>
      <c r="B14" s="26">
        <v>45963.584548611114</v>
      </c>
      <c r="C14" s="6" t="s">
        <v>1290</v>
      </c>
      <c r="D14" s="6" t="s">
        <v>1010</v>
      </c>
      <c r="E14" s="6" t="s">
        <v>55</v>
      </c>
      <c r="F14" s="6" t="s">
        <v>406</v>
      </c>
      <c r="G14" s="7">
        <v>7798729876</v>
      </c>
      <c r="H14" s="17" t="s">
        <v>1292</v>
      </c>
      <c r="I14" s="81">
        <v>45963.584548611114</v>
      </c>
      <c r="J14" t="b">
        <f t="shared" si="0"/>
        <v>0</v>
      </c>
    </row>
    <row r="15" spans="1:10" ht="15.75" hidden="1" thickBot="1" x14ac:dyDescent="0.3">
      <c r="A15">
        <v>7874999912</v>
      </c>
      <c r="B15" s="84"/>
      <c r="C15" s="86"/>
      <c r="D15" s="21" t="s">
        <v>1211</v>
      </c>
      <c r="E15" s="86" t="s">
        <v>81</v>
      </c>
      <c r="F15" s="86" t="s">
        <v>182</v>
      </c>
      <c r="G15" s="86">
        <v>7874999912</v>
      </c>
      <c r="H15" s="89">
        <v>0</v>
      </c>
      <c r="I15" s="81">
        <v>45957.862534722219</v>
      </c>
      <c r="J15" t="b">
        <f t="shared" si="0"/>
        <v>0</v>
      </c>
    </row>
    <row r="16" spans="1:10" ht="26.25" hidden="1" thickBot="1" x14ac:dyDescent="0.3">
      <c r="A16">
        <v>7977105715</v>
      </c>
      <c r="B16" s="26">
        <v>45964.522291666668</v>
      </c>
      <c r="C16" s="15"/>
      <c r="D16" s="21" t="s">
        <v>1211</v>
      </c>
      <c r="E16" s="6" t="s">
        <v>11</v>
      </c>
      <c r="F16" s="6" t="s">
        <v>526</v>
      </c>
      <c r="G16" s="7">
        <v>7977105715</v>
      </c>
      <c r="H16" s="17" t="s">
        <v>1328</v>
      </c>
      <c r="I16" s="81">
        <v>45964.522291666668</v>
      </c>
      <c r="J16" t="b">
        <f t="shared" si="0"/>
        <v>0</v>
      </c>
    </row>
    <row r="17" spans="1:10" ht="15.75" hidden="1" thickBot="1" x14ac:dyDescent="0.3">
      <c r="A17">
        <v>7977214168</v>
      </c>
      <c r="B17" s="84"/>
      <c r="C17" s="86"/>
      <c r="D17" s="21" t="s">
        <v>1211</v>
      </c>
      <c r="E17" s="86" t="s">
        <v>799</v>
      </c>
      <c r="F17" s="86" t="s">
        <v>976</v>
      </c>
      <c r="G17" s="86">
        <v>7977214168</v>
      </c>
      <c r="H17" s="89">
        <v>0</v>
      </c>
      <c r="I17" s="81">
        <v>45943.492407407408</v>
      </c>
      <c r="J17" t="b">
        <f t="shared" si="0"/>
        <v>0</v>
      </c>
    </row>
    <row r="18" spans="1:10" ht="26.25" hidden="1" thickBot="1" x14ac:dyDescent="0.3">
      <c r="A18">
        <v>7977439717</v>
      </c>
      <c r="B18" s="26">
        <v>45962.653749999998</v>
      </c>
      <c r="C18" s="6" t="s">
        <v>1223</v>
      </c>
      <c r="D18" s="21" t="s">
        <v>1211</v>
      </c>
      <c r="E18" s="6" t="s">
        <v>1125</v>
      </c>
      <c r="F18" s="6" t="s">
        <v>398</v>
      </c>
      <c r="G18" s="7">
        <v>7977439717</v>
      </c>
      <c r="H18" s="17" t="s">
        <v>1227</v>
      </c>
      <c r="I18" s="81">
        <v>45962.653749999998</v>
      </c>
      <c r="J18" t="b">
        <f t="shared" si="0"/>
        <v>0</v>
      </c>
    </row>
    <row r="19" spans="1:10" ht="15.75" hidden="1" thickBot="1" x14ac:dyDescent="0.3">
      <c r="A19">
        <v>8058973809</v>
      </c>
      <c r="B19" s="25">
        <v>45963.870613425926</v>
      </c>
      <c r="C19" s="13"/>
      <c r="D19" s="1" t="s">
        <v>1010</v>
      </c>
      <c r="E19" s="1" t="s">
        <v>23</v>
      </c>
      <c r="F19" s="1" t="s">
        <v>41</v>
      </c>
      <c r="G19" s="2">
        <v>8058973809</v>
      </c>
      <c r="H19" s="18" t="s">
        <v>1030</v>
      </c>
      <c r="I19" s="81">
        <v>45963.870613425926</v>
      </c>
      <c r="J19" t="b">
        <f t="shared" si="0"/>
        <v>0</v>
      </c>
    </row>
    <row r="20" spans="1:10" ht="15.75" hidden="1" thickBot="1" x14ac:dyDescent="0.3">
      <c r="A20">
        <v>8097078048</v>
      </c>
      <c r="B20" s="85"/>
      <c r="C20" s="87"/>
      <c r="D20" s="22" t="s">
        <v>1225</v>
      </c>
      <c r="E20" s="87" t="s">
        <v>789</v>
      </c>
      <c r="F20" s="87" t="s">
        <v>971</v>
      </c>
      <c r="G20" s="87">
        <v>8097078048</v>
      </c>
      <c r="H20" s="89">
        <v>0</v>
      </c>
      <c r="I20" s="81">
        <v>45957.923900462964</v>
      </c>
      <c r="J20" t="b">
        <f t="shared" si="0"/>
        <v>0</v>
      </c>
    </row>
    <row r="21" spans="1:10" ht="15.75" hidden="1" thickBot="1" x14ac:dyDescent="0.3">
      <c r="A21">
        <v>8097914000</v>
      </c>
      <c r="B21" s="30">
        <v>45964.011956018519</v>
      </c>
      <c r="C21" s="19"/>
      <c r="D21" s="22" t="s">
        <v>1225</v>
      </c>
      <c r="E21" s="21" t="s">
        <v>1306</v>
      </c>
      <c r="F21" s="21" t="s">
        <v>956</v>
      </c>
      <c r="G21" s="23">
        <v>8097914000</v>
      </c>
      <c r="H21" s="16"/>
      <c r="I21" s="81">
        <v>45964.011956018519</v>
      </c>
      <c r="J21" t="b">
        <f t="shared" si="0"/>
        <v>0</v>
      </c>
    </row>
    <row r="22" spans="1:10" ht="15.75" hidden="1" thickBot="1" x14ac:dyDescent="0.3">
      <c r="A22">
        <v>8291612305</v>
      </c>
      <c r="B22" s="31">
        <v>45963.438472222224</v>
      </c>
      <c r="C22" s="22" t="s">
        <v>1220</v>
      </c>
      <c r="D22" s="22" t="s">
        <v>1024</v>
      </c>
      <c r="E22" s="22" t="s">
        <v>57</v>
      </c>
      <c r="F22" s="22" t="s">
        <v>264</v>
      </c>
      <c r="G22" s="24">
        <v>8291612305</v>
      </c>
      <c r="H22" s="14"/>
      <c r="I22" s="81">
        <v>45963.438472222224</v>
      </c>
      <c r="J22" t="b">
        <f t="shared" si="0"/>
        <v>0</v>
      </c>
    </row>
    <row r="23" spans="1:10" ht="26.25" thickBot="1" x14ac:dyDescent="0.3">
      <c r="A23">
        <v>8368650140</v>
      </c>
      <c r="B23" s="25">
        <v>45964.718148148146</v>
      </c>
      <c r="C23" s="13"/>
      <c r="D23" s="21" t="s">
        <v>1217</v>
      </c>
      <c r="E23" s="1" t="s">
        <v>805</v>
      </c>
      <c r="F23" s="1" t="s">
        <v>871</v>
      </c>
      <c r="G23" s="2">
        <v>8368650140</v>
      </c>
      <c r="H23" s="14"/>
      <c r="I23" s="81">
        <v>45964.718148148146</v>
      </c>
      <c r="J23" t="b">
        <f t="shared" si="0"/>
        <v>0</v>
      </c>
    </row>
    <row r="24" spans="1:10" ht="15.75" hidden="1" thickBot="1" x14ac:dyDescent="0.3">
      <c r="A24">
        <v>8425048184</v>
      </c>
      <c r="B24" s="25">
        <v>45963.58390046296</v>
      </c>
      <c r="C24" s="1" t="s">
        <v>1290</v>
      </c>
      <c r="D24" s="21" t="s">
        <v>1211</v>
      </c>
      <c r="E24" s="1" t="s">
        <v>55</v>
      </c>
      <c r="F24" s="1" t="s">
        <v>691</v>
      </c>
      <c r="G24" s="2">
        <v>8425048184</v>
      </c>
      <c r="H24" s="18" t="s">
        <v>1291</v>
      </c>
      <c r="I24" s="81">
        <v>45963.58390046296</v>
      </c>
      <c r="J24" t="b">
        <f t="shared" si="0"/>
        <v>0</v>
      </c>
    </row>
    <row r="25" spans="1:10" ht="15.75" hidden="1" thickBot="1" x14ac:dyDescent="0.3">
      <c r="A25">
        <v>8446381106</v>
      </c>
      <c r="B25" s="85"/>
      <c r="C25" s="87"/>
      <c r="D25" s="22" t="s">
        <v>1225</v>
      </c>
      <c r="E25" s="87" t="s">
        <v>789</v>
      </c>
      <c r="F25" s="87" t="s">
        <v>864</v>
      </c>
      <c r="G25" s="87">
        <v>8446381106</v>
      </c>
      <c r="H25" s="89">
        <v>0</v>
      </c>
      <c r="I25" s="81">
        <v>45957.908807870372</v>
      </c>
      <c r="J25" t="b">
        <f t="shared" si="0"/>
        <v>0</v>
      </c>
    </row>
    <row r="26" spans="1:10" ht="15.75" hidden="1" thickBot="1" x14ac:dyDescent="0.3">
      <c r="A26">
        <v>8600106060</v>
      </c>
      <c r="B26" s="84"/>
      <c r="C26" s="86"/>
      <c r="D26" s="21" t="s">
        <v>1211</v>
      </c>
      <c r="E26" s="86" t="s">
        <v>17</v>
      </c>
      <c r="F26" s="86" t="s">
        <v>482</v>
      </c>
      <c r="G26" s="86">
        <v>8600106060</v>
      </c>
      <c r="H26" s="89">
        <v>0</v>
      </c>
      <c r="I26" s="81">
        <v>45942.663368055553</v>
      </c>
      <c r="J26" t="b">
        <f t="shared" si="0"/>
        <v>0</v>
      </c>
    </row>
    <row r="27" spans="1:10" ht="15.75" hidden="1" thickBot="1" x14ac:dyDescent="0.3">
      <c r="A27">
        <v>8652071304</v>
      </c>
      <c r="B27" s="85"/>
      <c r="C27" s="87"/>
      <c r="D27" s="87" t="s">
        <v>1010</v>
      </c>
      <c r="E27" s="87" t="s">
        <v>789</v>
      </c>
      <c r="F27" s="87" t="s">
        <v>924</v>
      </c>
      <c r="G27" s="87">
        <v>8652071304</v>
      </c>
      <c r="H27" s="89">
        <v>0</v>
      </c>
      <c r="I27" s="81">
        <v>45957.903668981482</v>
      </c>
      <c r="J27" t="b">
        <f t="shared" si="0"/>
        <v>0</v>
      </c>
    </row>
    <row r="28" spans="1:10" ht="26.25" hidden="1" thickBot="1" x14ac:dyDescent="0.3">
      <c r="A28">
        <v>8777740593</v>
      </c>
      <c r="B28" s="25">
        <v>45962.573009259257</v>
      </c>
      <c r="C28" s="1" t="s">
        <v>1222</v>
      </c>
      <c r="D28" s="1" t="s">
        <v>1010</v>
      </c>
      <c r="E28" s="1" t="s">
        <v>41</v>
      </c>
      <c r="F28" s="1" t="s">
        <v>304</v>
      </c>
      <c r="G28" s="2">
        <v>8777740593</v>
      </c>
      <c r="H28" s="14"/>
      <c r="I28" s="81">
        <v>45962.573009259257</v>
      </c>
      <c r="J28" t="b">
        <f t="shared" si="0"/>
        <v>0</v>
      </c>
    </row>
    <row r="29" spans="1:10" ht="15.75" hidden="1" thickBot="1" x14ac:dyDescent="0.3">
      <c r="A29">
        <v>8779689904</v>
      </c>
      <c r="B29" s="26">
        <v>45963.438668981478</v>
      </c>
      <c r="C29" s="6" t="s">
        <v>1266</v>
      </c>
      <c r="D29" s="6" t="s">
        <v>1010</v>
      </c>
      <c r="E29" s="6" t="s">
        <v>12</v>
      </c>
      <c r="F29" s="6" t="s">
        <v>750</v>
      </c>
      <c r="G29" s="7">
        <v>8779689904</v>
      </c>
      <c r="H29" s="17" t="s">
        <v>1271</v>
      </c>
      <c r="I29" s="81">
        <v>45963.438668981478</v>
      </c>
      <c r="J29" t="b">
        <f t="shared" si="0"/>
        <v>0</v>
      </c>
    </row>
    <row r="30" spans="1:10" ht="15.75" hidden="1" thickBot="1" x14ac:dyDescent="0.3">
      <c r="A30">
        <v>8779756681</v>
      </c>
      <c r="B30" s="25">
        <v>45962.579456018517</v>
      </c>
      <c r="C30" s="1" t="s">
        <v>1222</v>
      </c>
      <c r="D30" s="1" t="s">
        <v>1010</v>
      </c>
      <c r="E30" s="1" t="s">
        <v>41</v>
      </c>
      <c r="F30" s="1" t="s">
        <v>399</v>
      </c>
      <c r="G30" s="2">
        <v>8779756681</v>
      </c>
      <c r="H30" s="14"/>
      <c r="I30" s="81">
        <v>45962.579456018517</v>
      </c>
      <c r="J30" t="b">
        <f t="shared" si="0"/>
        <v>0</v>
      </c>
    </row>
    <row r="31" spans="1:10" ht="39" hidden="1" thickBot="1" x14ac:dyDescent="0.3">
      <c r="A31">
        <v>8823915926</v>
      </c>
      <c r="B31" s="31">
        <v>45963.439849537041</v>
      </c>
      <c r="C31" s="22" t="s">
        <v>1220</v>
      </c>
      <c r="D31" s="22" t="s">
        <v>1010</v>
      </c>
      <c r="E31" s="22" t="s">
        <v>57</v>
      </c>
      <c r="F31" s="22" t="s">
        <v>312</v>
      </c>
      <c r="G31" s="24">
        <v>8823915926</v>
      </c>
      <c r="H31" s="18" t="s">
        <v>1272</v>
      </c>
      <c r="I31" s="81">
        <v>45963.439849537041</v>
      </c>
      <c r="J31" t="b">
        <f t="shared" si="0"/>
        <v>0</v>
      </c>
    </row>
    <row r="32" spans="1:10" ht="26.25" hidden="1" thickBot="1" x14ac:dyDescent="0.3">
      <c r="A32">
        <v>8871984007</v>
      </c>
      <c r="B32" s="30">
        <v>45963.538761574076</v>
      </c>
      <c r="C32" s="21" t="s">
        <v>1288</v>
      </c>
      <c r="D32" s="21" t="s">
        <v>1211</v>
      </c>
      <c r="E32" s="21" t="s">
        <v>785</v>
      </c>
      <c r="F32" s="21" t="s">
        <v>95</v>
      </c>
      <c r="G32" s="23">
        <v>8871984007</v>
      </c>
      <c r="H32" s="16"/>
      <c r="I32" s="81">
        <v>45963.538761574076</v>
      </c>
      <c r="J32" t="b">
        <f t="shared" si="0"/>
        <v>0</v>
      </c>
    </row>
    <row r="33" spans="1:10" ht="15.75" hidden="1" thickBot="1" x14ac:dyDescent="0.3">
      <c r="A33">
        <v>8879097778</v>
      </c>
      <c r="B33" s="31">
        <v>45963.440983796296</v>
      </c>
      <c r="C33" s="22" t="s">
        <v>1266</v>
      </c>
      <c r="D33" s="22" t="s">
        <v>1024</v>
      </c>
      <c r="E33" s="22" t="s">
        <v>12</v>
      </c>
      <c r="F33" s="22" t="s">
        <v>559</v>
      </c>
      <c r="G33" s="24">
        <v>8879097778</v>
      </c>
      <c r="H33" s="18" t="s">
        <v>1273</v>
      </c>
      <c r="I33" s="81">
        <v>45963.440983796296</v>
      </c>
      <c r="J33" t="b">
        <f t="shared" si="0"/>
        <v>0</v>
      </c>
    </row>
    <row r="34" spans="1:10" ht="15.75" hidden="1" thickBot="1" x14ac:dyDescent="0.3">
      <c r="A34">
        <v>8879380701</v>
      </c>
      <c r="B34" s="84"/>
      <c r="C34" s="86"/>
      <c r="D34" s="21" t="s">
        <v>1211</v>
      </c>
      <c r="E34" s="86" t="s">
        <v>81</v>
      </c>
      <c r="F34" s="86" t="s">
        <v>514</v>
      </c>
      <c r="G34" s="86">
        <v>8879380701</v>
      </c>
      <c r="H34" s="89">
        <v>0</v>
      </c>
      <c r="I34" s="81">
        <v>45957.861388888887</v>
      </c>
      <c r="J34" t="b">
        <f t="shared" si="0"/>
        <v>0</v>
      </c>
    </row>
    <row r="35" spans="1:10" ht="26.25" thickBot="1" x14ac:dyDescent="0.3">
      <c r="A35">
        <v>8919841473</v>
      </c>
      <c r="B35" s="31">
        <v>45963.422418981485</v>
      </c>
      <c r="C35" s="22" t="s">
        <v>1220</v>
      </c>
      <c r="D35" s="21" t="s">
        <v>1217</v>
      </c>
      <c r="E35" s="22" t="s">
        <v>57</v>
      </c>
      <c r="F35" s="22" t="s">
        <v>407</v>
      </c>
      <c r="G35" s="24">
        <v>8919841473</v>
      </c>
      <c r="H35" s="18" t="s">
        <v>1263</v>
      </c>
      <c r="I35" s="81">
        <v>45963.422418981485</v>
      </c>
      <c r="J35" t="b">
        <f t="shared" si="0"/>
        <v>0</v>
      </c>
    </row>
    <row r="36" spans="1:10" ht="15.75" hidden="1" thickBot="1" x14ac:dyDescent="0.3">
      <c r="A36">
        <v>8999747002</v>
      </c>
      <c r="B36" s="30">
        <v>45962.767384259256</v>
      </c>
      <c r="C36" s="21" t="s">
        <v>1259</v>
      </c>
      <c r="D36" s="21" t="s">
        <v>1211</v>
      </c>
      <c r="E36" s="21" t="s">
        <v>797</v>
      </c>
      <c r="F36" s="21" t="s">
        <v>881</v>
      </c>
      <c r="G36" s="23">
        <v>8999747002</v>
      </c>
      <c r="H36" s="17" t="s">
        <v>1262</v>
      </c>
      <c r="I36" s="81">
        <v>45962.767384259256</v>
      </c>
      <c r="J36" t="b">
        <f t="shared" si="0"/>
        <v>0</v>
      </c>
    </row>
    <row r="37" spans="1:10" ht="15.75" hidden="1" thickBot="1" x14ac:dyDescent="0.3">
      <c r="A37">
        <v>9000438763</v>
      </c>
      <c r="B37" s="85"/>
      <c r="C37" s="87"/>
      <c r="D37" s="87" t="s">
        <v>1010</v>
      </c>
      <c r="E37" s="87" t="s">
        <v>799</v>
      </c>
      <c r="F37" s="87" t="s">
        <v>993</v>
      </c>
      <c r="G37" s="87">
        <v>9000438763</v>
      </c>
      <c r="H37" s="89" t="s">
        <v>1028</v>
      </c>
      <c r="I37" s="81">
        <v>45943.491724537038</v>
      </c>
      <c r="J37" t="b">
        <f t="shared" si="0"/>
        <v>0</v>
      </c>
    </row>
    <row r="38" spans="1:10" ht="26.25" hidden="1" thickBot="1" x14ac:dyDescent="0.3">
      <c r="A38">
        <v>9004063131</v>
      </c>
      <c r="B38" s="30">
        <v>45964.726400462961</v>
      </c>
      <c r="C38" s="19"/>
      <c r="D38" s="21" t="s">
        <v>1010</v>
      </c>
      <c r="E38" s="21" t="s">
        <v>805</v>
      </c>
      <c r="F38" s="21" t="s">
        <v>825</v>
      </c>
      <c r="G38" s="23">
        <v>9004063131</v>
      </c>
      <c r="H38" s="16"/>
      <c r="I38" s="81">
        <v>45964.726400462961</v>
      </c>
      <c r="J38" t="b">
        <f t="shared" si="0"/>
        <v>0</v>
      </c>
    </row>
    <row r="39" spans="1:10" ht="15.75" hidden="1" thickBot="1" x14ac:dyDescent="0.3">
      <c r="A39">
        <v>9004255553</v>
      </c>
      <c r="B39" s="84"/>
      <c r="C39" s="86"/>
      <c r="D39" s="21" t="s">
        <v>1211</v>
      </c>
      <c r="E39" s="86" t="s">
        <v>47</v>
      </c>
      <c r="F39" s="86" t="s">
        <v>307</v>
      </c>
      <c r="G39" s="86">
        <v>9004255553</v>
      </c>
      <c r="H39" s="89">
        <v>0</v>
      </c>
      <c r="I39" s="81">
        <v>45941.612662037034</v>
      </c>
      <c r="J39" t="b">
        <f t="shared" si="0"/>
        <v>0</v>
      </c>
    </row>
    <row r="40" spans="1:10" ht="15.75" hidden="1" thickBot="1" x14ac:dyDescent="0.3">
      <c r="A40">
        <v>9004259412</v>
      </c>
      <c r="B40" s="85"/>
      <c r="C40" s="87"/>
      <c r="D40" s="21" t="s">
        <v>1211</v>
      </c>
      <c r="E40" s="87" t="s">
        <v>49</v>
      </c>
      <c r="F40" s="87" t="s">
        <v>117</v>
      </c>
      <c r="G40" s="87">
        <v>9004259412</v>
      </c>
      <c r="H40" s="89">
        <v>0</v>
      </c>
      <c r="I40" s="81">
        <v>45942.449340277781</v>
      </c>
      <c r="J40" t="b">
        <f t="shared" si="0"/>
        <v>0</v>
      </c>
    </row>
    <row r="41" spans="1:10" ht="15.75" hidden="1" thickBot="1" x14ac:dyDescent="0.3">
      <c r="A41">
        <v>9004351568</v>
      </c>
      <c r="B41" s="84"/>
      <c r="C41" s="86"/>
      <c r="D41" s="21" t="s">
        <v>1211</v>
      </c>
      <c r="E41" s="86" t="s">
        <v>45</v>
      </c>
      <c r="F41" s="86" t="s">
        <v>163</v>
      </c>
      <c r="G41" s="86">
        <v>9004351568</v>
      </c>
      <c r="H41" s="89">
        <v>0</v>
      </c>
      <c r="I41" s="81">
        <v>45943.52002314815</v>
      </c>
      <c r="J41" t="b">
        <f t="shared" si="0"/>
        <v>0</v>
      </c>
    </row>
    <row r="42" spans="1:10" ht="15.75" hidden="1" thickBot="1" x14ac:dyDescent="0.3">
      <c r="A42">
        <v>9004481082</v>
      </c>
      <c r="B42" s="31">
        <v>45962.583078703705</v>
      </c>
      <c r="C42" s="22" t="s">
        <v>1163</v>
      </c>
      <c r="D42" s="21" t="s">
        <v>1211</v>
      </c>
      <c r="E42" s="22" t="s">
        <v>31</v>
      </c>
      <c r="F42" s="22" t="s">
        <v>394</v>
      </c>
      <c r="G42" s="24">
        <v>9004481082</v>
      </c>
      <c r="H42" s="14"/>
      <c r="I42" s="81">
        <v>45962.583078703705</v>
      </c>
      <c r="J42" t="b">
        <f t="shared" si="0"/>
        <v>0</v>
      </c>
    </row>
    <row r="43" spans="1:10" ht="15.75" hidden="1" thickBot="1" x14ac:dyDescent="0.3">
      <c r="A43">
        <v>9004547878</v>
      </c>
      <c r="B43" s="84"/>
      <c r="C43" s="86"/>
      <c r="D43" s="21" t="s">
        <v>1211</v>
      </c>
      <c r="E43" s="86" t="s">
        <v>43</v>
      </c>
      <c r="F43" s="86" t="s">
        <v>542</v>
      </c>
      <c r="G43" s="86">
        <v>9004547878</v>
      </c>
      <c r="H43" s="89" t="s">
        <v>1112</v>
      </c>
      <c r="I43" s="81">
        <v>45958.875358796293</v>
      </c>
      <c r="J43" t="b">
        <f t="shared" si="0"/>
        <v>0</v>
      </c>
    </row>
    <row r="44" spans="1:10" ht="15.75" hidden="1" thickBot="1" x14ac:dyDescent="0.3">
      <c r="A44">
        <v>9004677979</v>
      </c>
      <c r="B44" s="85"/>
      <c r="C44" s="87"/>
      <c r="D44" s="22" t="s">
        <v>1225</v>
      </c>
      <c r="E44" s="87" t="s">
        <v>60</v>
      </c>
      <c r="F44" s="87" t="s">
        <v>219</v>
      </c>
      <c r="G44" s="87">
        <v>9004677979</v>
      </c>
      <c r="H44" s="89" t="s">
        <v>1120</v>
      </c>
      <c r="I44" s="81">
        <v>45959.382337962961</v>
      </c>
      <c r="J44" t="b">
        <f t="shared" si="0"/>
        <v>0</v>
      </c>
    </row>
    <row r="45" spans="1:10" ht="15.75" hidden="1" thickBot="1" x14ac:dyDescent="0.3">
      <c r="A45">
        <v>9022963335</v>
      </c>
      <c r="B45" s="84"/>
      <c r="C45" s="86"/>
      <c r="D45" s="86" t="s">
        <v>1024</v>
      </c>
      <c r="E45" s="86" t="s">
        <v>35</v>
      </c>
      <c r="F45" s="86" t="s">
        <v>586</v>
      </c>
      <c r="G45" s="86">
        <v>9022963335</v>
      </c>
      <c r="H45" s="89" t="s">
        <v>1035</v>
      </c>
      <c r="I45" s="81">
        <v>45949.476840277777</v>
      </c>
      <c r="J45" t="b">
        <f t="shared" si="0"/>
        <v>0</v>
      </c>
    </row>
    <row r="46" spans="1:10" ht="15.75" hidden="1" thickBot="1" x14ac:dyDescent="0.3">
      <c r="A46">
        <v>9028711211</v>
      </c>
      <c r="B46" s="85"/>
      <c r="C46" s="87"/>
      <c r="D46" s="21" t="s">
        <v>1211</v>
      </c>
      <c r="E46" s="87" t="s">
        <v>17</v>
      </c>
      <c r="F46" s="87" t="s">
        <v>625</v>
      </c>
      <c r="G46" s="87">
        <v>9028711211</v>
      </c>
      <c r="H46" s="89">
        <v>0</v>
      </c>
      <c r="I46" s="81">
        <v>45942.648310185185</v>
      </c>
      <c r="J46" t="b">
        <f t="shared" si="0"/>
        <v>0</v>
      </c>
    </row>
    <row r="47" spans="1:10" ht="26.25" hidden="1" thickBot="1" x14ac:dyDescent="0.3">
      <c r="A47">
        <v>9029021191</v>
      </c>
      <c r="B47" s="30">
        <v>45964.428969907407</v>
      </c>
      <c r="C47" s="19"/>
      <c r="D47" s="21" t="s">
        <v>1211</v>
      </c>
      <c r="E47" s="21" t="s">
        <v>1305</v>
      </c>
      <c r="F47" s="21" t="s">
        <v>408</v>
      </c>
      <c r="G47" s="23">
        <v>9029021191</v>
      </c>
      <c r="H47" s="16"/>
      <c r="I47" s="81">
        <v>45964.428969907407</v>
      </c>
      <c r="J47" t="b">
        <f t="shared" si="0"/>
        <v>0</v>
      </c>
    </row>
    <row r="48" spans="1:10" ht="15.75" thickBot="1" x14ac:dyDescent="0.3">
      <c r="A48">
        <v>9029355691</v>
      </c>
      <c r="B48" s="85"/>
      <c r="C48" s="87"/>
      <c r="D48" s="21" t="s">
        <v>1217</v>
      </c>
      <c r="E48" s="87" t="s">
        <v>81</v>
      </c>
      <c r="F48" s="87" t="s">
        <v>134</v>
      </c>
      <c r="G48" s="87">
        <v>9029355691</v>
      </c>
      <c r="H48" s="89" t="s">
        <v>1040</v>
      </c>
      <c r="I48" s="81">
        <v>45957.857928240737</v>
      </c>
      <c r="J48" t="b">
        <f t="shared" si="0"/>
        <v>0</v>
      </c>
    </row>
    <row r="49" spans="1:10" ht="26.25" hidden="1" thickBot="1" x14ac:dyDescent="0.3">
      <c r="A49">
        <v>9029687624</v>
      </c>
      <c r="B49" s="30">
        <v>45964.523576388892</v>
      </c>
      <c r="C49" s="19"/>
      <c r="D49" s="21" t="s">
        <v>1211</v>
      </c>
      <c r="E49" s="21" t="s">
        <v>11</v>
      </c>
      <c r="F49" s="21" t="s">
        <v>384</v>
      </c>
      <c r="G49" s="23">
        <v>9029687624</v>
      </c>
      <c r="H49" s="16"/>
      <c r="I49" s="81">
        <v>45964.523576388892</v>
      </c>
      <c r="J49" t="b">
        <f t="shared" si="0"/>
        <v>0</v>
      </c>
    </row>
    <row r="50" spans="1:10" ht="15.75" hidden="1" thickBot="1" x14ac:dyDescent="0.3">
      <c r="A50">
        <v>9029889349</v>
      </c>
      <c r="B50" s="26">
        <v>45962.686840277776</v>
      </c>
      <c r="C50" s="6" t="s">
        <v>1256</v>
      </c>
      <c r="D50" s="6" t="s">
        <v>1024</v>
      </c>
      <c r="E50" s="6" t="s">
        <v>77</v>
      </c>
      <c r="F50" s="6" t="s">
        <v>465</v>
      </c>
      <c r="G50" s="7">
        <v>9029889349</v>
      </c>
      <c r="H50" s="16"/>
      <c r="I50" s="81">
        <v>45962.686840277776</v>
      </c>
      <c r="J50" t="b">
        <f t="shared" si="0"/>
        <v>0</v>
      </c>
    </row>
    <row r="51" spans="1:10" ht="15.75" hidden="1" thickBot="1" x14ac:dyDescent="0.3">
      <c r="A51">
        <v>9033322444</v>
      </c>
      <c r="B51" s="30">
        <v>45964.410624999997</v>
      </c>
      <c r="C51" s="19"/>
      <c r="D51" s="21" t="s">
        <v>1211</v>
      </c>
      <c r="E51" s="21" t="s">
        <v>1305</v>
      </c>
      <c r="F51" s="21" t="s">
        <v>218</v>
      </c>
      <c r="G51" s="23">
        <v>9033322444</v>
      </c>
      <c r="H51" s="16"/>
      <c r="I51" s="81">
        <v>45964.410624999997</v>
      </c>
      <c r="J51" t="b">
        <f t="shared" si="0"/>
        <v>0</v>
      </c>
    </row>
    <row r="52" spans="1:10" ht="15.75" hidden="1" thickBot="1" x14ac:dyDescent="0.3">
      <c r="A52">
        <v>9076054588</v>
      </c>
      <c r="B52" s="30">
        <v>45962.587592592594</v>
      </c>
      <c r="C52" s="21" t="s">
        <v>1223</v>
      </c>
      <c r="D52" s="21" t="s">
        <v>1211</v>
      </c>
      <c r="E52" s="21" t="s">
        <v>1125</v>
      </c>
      <c r="F52" s="21" t="s">
        <v>208</v>
      </c>
      <c r="G52" s="23">
        <v>9076054588</v>
      </c>
      <c r="H52" s="17" t="s">
        <v>1227</v>
      </c>
      <c r="I52" s="81">
        <v>45962.587592592594</v>
      </c>
      <c r="J52" t="b">
        <f t="shared" si="0"/>
        <v>0</v>
      </c>
    </row>
    <row r="53" spans="1:10" ht="15.75" hidden="1" thickBot="1" x14ac:dyDescent="0.3">
      <c r="A53">
        <v>9082360561</v>
      </c>
      <c r="B53" s="85"/>
      <c r="C53" s="87"/>
      <c r="D53" s="21" t="s">
        <v>1211</v>
      </c>
      <c r="E53" s="87" t="s">
        <v>17</v>
      </c>
      <c r="F53" s="87" t="s">
        <v>768</v>
      </c>
      <c r="G53" s="87">
        <v>9082360561</v>
      </c>
      <c r="H53" s="89">
        <v>0</v>
      </c>
      <c r="I53" s="81">
        <v>45942.668842592589</v>
      </c>
      <c r="J53" t="b">
        <f t="shared" si="0"/>
        <v>0</v>
      </c>
    </row>
    <row r="54" spans="1:10" ht="15.75" hidden="1" thickBot="1" x14ac:dyDescent="0.3">
      <c r="A54">
        <v>9167234508</v>
      </c>
      <c r="B54" s="25">
        <v>45963.42659722222</v>
      </c>
      <c r="C54" s="1" t="s">
        <v>1220</v>
      </c>
      <c r="D54" s="1" t="s">
        <v>1010</v>
      </c>
      <c r="E54" s="1" t="s">
        <v>57</v>
      </c>
      <c r="F54" s="1" t="s">
        <v>549</v>
      </c>
      <c r="G54" s="2">
        <v>9167234508</v>
      </c>
      <c r="H54" s="14"/>
      <c r="I54" s="81">
        <v>45963.42659722222</v>
      </c>
      <c r="J54" t="b">
        <f t="shared" si="0"/>
        <v>0</v>
      </c>
    </row>
    <row r="55" spans="1:10" ht="15.75" hidden="1" thickBot="1" x14ac:dyDescent="0.3">
      <c r="A55">
        <v>9167598389</v>
      </c>
      <c r="B55" s="85"/>
      <c r="C55" s="87"/>
      <c r="D55" s="87" t="s">
        <v>1010</v>
      </c>
      <c r="E55" s="87" t="s">
        <v>45</v>
      </c>
      <c r="F55" s="87" t="s">
        <v>211</v>
      </c>
      <c r="G55" s="87">
        <v>9167598389</v>
      </c>
      <c r="H55" s="89" t="s">
        <v>1030</v>
      </c>
      <c r="I55" s="81">
        <v>45943.705960648149</v>
      </c>
      <c r="J55" t="b">
        <f t="shared" si="0"/>
        <v>0</v>
      </c>
    </row>
    <row r="56" spans="1:10" ht="15.75" hidden="1" thickBot="1" x14ac:dyDescent="0.3">
      <c r="A56">
        <v>9167730854</v>
      </c>
      <c r="B56" s="84"/>
      <c r="C56" s="86"/>
      <c r="D56" s="86" t="s">
        <v>1010</v>
      </c>
      <c r="E56" s="86" t="s">
        <v>81</v>
      </c>
      <c r="F56" s="86" t="s">
        <v>325</v>
      </c>
      <c r="G56" s="86">
        <v>9167730854</v>
      </c>
      <c r="H56" s="89" t="s">
        <v>1039</v>
      </c>
      <c r="I56" s="81">
        <v>45957.855532407404</v>
      </c>
      <c r="J56" t="b">
        <f t="shared" si="0"/>
        <v>0</v>
      </c>
    </row>
    <row r="57" spans="1:10" ht="15.75" hidden="1" thickBot="1" x14ac:dyDescent="0.3">
      <c r="A57">
        <v>9167900897</v>
      </c>
      <c r="B57" s="85"/>
      <c r="C57" s="87"/>
      <c r="D57" s="21" t="s">
        <v>1211</v>
      </c>
      <c r="E57" s="87" t="s">
        <v>49</v>
      </c>
      <c r="F57" s="87" t="s">
        <v>403</v>
      </c>
      <c r="G57" s="87">
        <v>9167900897</v>
      </c>
      <c r="H57" s="89">
        <v>0</v>
      </c>
      <c r="I57" s="81">
        <v>45942.452905092592</v>
      </c>
      <c r="J57" t="b">
        <f t="shared" si="0"/>
        <v>0</v>
      </c>
    </row>
    <row r="58" spans="1:10" ht="15.75" hidden="1" thickBot="1" x14ac:dyDescent="0.3">
      <c r="A58">
        <v>9223388791</v>
      </c>
      <c r="B58" s="30">
        <v>45964.520451388889</v>
      </c>
      <c r="C58" s="19"/>
      <c r="D58" s="21" t="s">
        <v>1010</v>
      </c>
      <c r="E58" s="21" t="s">
        <v>11</v>
      </c>
      <c r="F58" s="21" t="s">
        <v>717</v>
      </c>
      <c r="G58" s="23">
        <v>9223388791</v>
      </c>
      <c r="H58" s="17" t="s">
        <v>1324</v>
      </c>
      <c r="I58" s="81">
        <v>45964.520451388889</v>
      </c>
      <c r="J58" t="b">
        <f t="shared" si="0"/>
        <v>0</v>
      </c>
    </row>
    <row r="59" spans="1:10" ht="26.25" hidden="1" thickBot="1" x14ac:dyDescent="0.3">
      <c r="A59">
        <v>9223411117</v>
      </c>
      <c r="B59" s="31">
        <v>45963.871458333335</v>
      </c>
      <c r="C59" s="20"/>
      <c r="D59" s="22" t="s">
        <v>1010</v>
      </c>
      <c r="E59" s="22" t="s">
        <v>23</v>
      </c>
      <c r="F59" s="22" t="s">
        <v>675</v>
      </c>
      <c r="G59" s="24">
        <v>9223411117</v>
      </c>
      <c r="H59" s="18" t="s">
        <v>1313</v>
      </c>
      <c r="I59" s="81">
        <v>45963.871458333335</v>
      </c>
      <c r="J59" t="b">
        <f t="shared" si="0"/>
        <v>0</v>
      </c>
    </row>
    <row r="60" spans="1:10" ht="15.75" hidden="1" thickBot="1" x14ac:dyDescent="0.3">
      <c r="A60">
        <v>9223427892</v>
      </c>
      <c r="B60" s="84"/>
      <c r="C60" s="86"/>
      <c r="D60" s="86" t="s">
        <v>1010</v>
      </c>
      <c r="E60" s="86" t="s">
        <v>33</v>
      </c>
      <c r="F60" s="86" t="s">
        <v>776</v>
      </c>
      <c r="G60" s="86">
        <v>9223427892</v>
      </c>
      <c r="H60" s="89" t="s">
        <v>1045</v>
      </c>
      <c r="I60" s="81">
        <v>45957.894594907404</v>
      </c>
      <c r="J60" t="b">
        <f t="shared" si="0"/>
        <v>0</v>
      </c>
    </row>
    <row r="61" spans="1:10" ht="15.75" hidden="1" thickBot="1" x14ac:dyDescent="0.3">
      <c r="A61">
        <v>9223464075</v>
      </c>
      <c r="B61" s="85"/>
      <c r="C61" s="87"/>
      <c r="D61" s="22" t="s">
        <v>1225</v>
      </c>
      <c r="E61" s="87" t="s">
        <v>47</v>
      </c>
      <c r="F61" s="87" t="s">
        <v>496</v>
      </c>
      <c r="G61" s="87">
        <v>9223464075</v>
      </c>
      <c r="H61" s="89">
        <v>0</v>
      </c>
      <c r="I61" s="81">
        <v>45941.574652777781</v>
      </c>
      <c r="J61" t="b">
        <f t="shared" si="0"/>
        <v>0</v>
      </c>
    </row>
    <row r="62" spans="1:10" ht="15.75" hidden="1" thickBot="1" x14ac:dyDescent="0.3">
      <c r="A62">
        <v>9224198417</v>
      </c>
      <c r="B62" s="84"/>
      <c r="C62" s="86"/>
      <c r="D62" s="21" t="s">
        <v>1211</v>
      </c>
      <c r="E62" s="86" t="s">
        <v>17</v>
      </c>
      <c r="F62" s="86" t="s">
        <v>102</v>
      </c>
      <c r="G62" s="86">
        <v>9224198417</v>
      </c>
      <c r="H62" s="89">
        <v>0</v>
      </c>
      <c r="I62" s="81">
        <v>45942.660370370373</v>
      </c>
      <c r="J62" t="b">
        <f t="shared" si="0"/>
        <v>0</v>
      </c>
    </row>
    <row r="63" spans="1:10" ht="15.75" hidden="1" thickBot="1" x14ac:dyDescent="0.3">
      <c r="A63">
        <v>9225211083</v>
      </c>
      <c r="B63" s="85"/>
      <c r="C63" s="87"/>
      <c r="D63" s="21" t="s">
        <v>1211</v>
      </c>
      <c r="E63" s="87" t="s">
        <v>799</v>
      </c>
      <c r="F63" s="87" t="s">
        <v>83</v>
      </c>
      <c r="G63" s="87">
        <v>9225211083</v>
      </c>
      <c r="H63" s="89">
        <v>0</v>
      </c>
      <c r="I63" s="81">
        <v>45943.492662037039</v>
      </c>
      <c r="J63" t="b">
        <f t="shared" si="0"/>
        <v>0</v>
      </c>
    </row>
    <row r="64" spans="1:10" ht="15.75" hidden="1" thickBot="1" x14ac:dyDescent="0.3">
      <c r="A64">
        <v>9320035084</v>
      </c>
      <c r="B64" s="84"/>
      <c r="C64" s="86"/>
      <c r="D64" s="21" t="s">
        <v>1211</v>
      </c>
      <c r="E64" s="86" t="s">
        <v>49</v>
      </c>
      <c r="F64" s="86" t="s">
        <v>497</v>
      </c>
      <c r="G64" s="86">
        <v>9320035084</v>
      </c>
      <c r="H64" s="89">
        <v>0</v>
      </c>
      <c r="I64" s="81">
        <v>45942.460833333331</v>
      </c>
      <c r="J64" t="b">
        <f t="shared" si="0"/>
        <v>0</v>
      </c>
    </row>
    <row r="65" spans="1:10" ht="26.25" hidden="1" thickBot="1" x14ac:dyDescent="0.3">
      <c r="A65">
        <v>9320102206</v>
      </c>
      <c r="B65" s="31">
        <v>45962.691712962966</v>
      </c>
      <c r="C65" s="22" t="s">
        <v>1256</v>
      </c>
      <c r="D65" s="22" t="s">
        <v>1225</v>
      </c>
      <c r="E65" s="22" t="s">
        <v>77</v>
      </c>
      <c r="F65" s="22" t="s">
        <v>275</v>
      </c>
      <c r="G65" s="24">
        <v>9320102206</v>
      </c>
      <c r="H65" s="14"/>
      <c r="I65" s="81">
        <v>45962.691712962966</v>
      </c>
      <c r="J65" t="b">
        <f t="shared" si="0"/>
        <v>0</v>
      </c>
    </row>
    <row r="66" spans="1:10" ht="26.25" thickBot="1" x14ac:dyDescent="0.3">
      <c r="A66">
        <v>9320105607</v>
      </c>
      <c r="B66" s="30">
        <v>45963.589675925927</v>
      </c>
      <c r="C66" s="21" t="s">
        <v>1290</v>
      </c>
      <c r="D66" s="21" t="s">
        <v>1217</v>
      </c>
      <c r="E66" s="21" t="s">
        <v>55</v>
      </c>
      <c r="F66" s="21" t="s">
        <v>263</v>
      </c>
      <c r="G66" s="23">
        <v>9320105607</v>
      </c>
      <c r="H66" s="17" t="s">
        <v>1296</v>
      </c>
      <c r="I66" s="81">
        <v>45963.589675925927</v>
      </c>
      <c r="J66" t="b">
        <f t="shared" si="0"/>
        <v>0</v>
      </c>
    </row>
    <row r="67" spans="1:10" ht="26.25" hidden="1" thickBot="1" x14ac:dyDescent="0.3">
      <c r="A67">
        <v>9320308008</v>
      </c>
      <c r="B67" s="31">
        <v>45961.918136574073</v>
      </c>
      <c r="C67" s="22" t="s">
        <v>1210</v>
      </c>
      <c r="D67" s="21" t="s">
        <v>1211</v>
      </c>
      <c r="E67" s="22" t="s">
        <v>33</v>
      </c>
      <c r="F67" s="22" t="s">
        <v>680</v>
      </c>
      <c r="G67" s="24">
        <v>9320308008</v>
      </c>
      <c r="H67" s="18" t="s">
        <v>1215</v>
      </c>
      <c r="I67" s="81">
        <v>45961.918136574073</v>
      </c>
      <c r="J67" t="b">
        <f t="shared" si="0"/>
        <v>0</v>
      </c>
    </row>
    <row r="68" spans="1:10" ht="15.75" hidden="1" thickBot="1" x14ac:dyDescent="0.3">
      <c r="A68">
        <v>9320683201</v>
      </c>
      <c r="B68" s="84"/>
      <c r="C68" s="86"/>
      <c r="D68" s="22" t="s">
        <v>1225</v>
      </c>
      <c r="E68" s="86" t="s">
        <v>1116</v>
      </c>
      <c r="F68" s="86" t="s">
        <v>1117</v>
      </c>
      <c r="G68" s="86">
        <v>9320683201</v>
      </c>
      <c r="H68" s="89" t="s">
        <v>1119</v>
      </c>
      <c r="I68" s="81">
        <v>45958.887719907405</v>
      </c>
      <c r="J68" t="b">
        <f t="shared" ref="J68:J131" si="1">G67=G68</f>
        <v>0</v>
      </c>
    </row>
    <row r="69" spans="1:10" ht="15.75" hidden="1" thickBot="1" x14ac:dyDescent="0.3">
      <c r="A69">
        <v>9320770849</v>
      </c>
      <c r="B69" s="85"/>
      <c r="C69" s="87"/>
      <c r="D69" s="87" t="s">
        <v>1024</v>
      </c>
      <c r="E69" s="87" t="s">
        <v>789</v>
      </c>
      <c r="F69" s="87" t="s">
        <v>805</v>
      </c>
      <c r="G69" s="87">
        <v>9320770849</v>
      </c>
      <c r="H69" s="89">
        <v>0</v>
      </c>
      <c r="I69" s="81">
        <v>45957.919687499998</v>
      </c>
      <c r="J69" t="b">
        <f t="shared" si="1"/>
        <v>0</v>
      </c>
    </row>
    <row r="70" spans="1:10" ht="15.75" hidden="1" thickBot="1" x14ac:dyDescent="0.3">
      <c r="A70">
        <v>9320916175</v>
      </c>
      <c r="B70" s="25">
        <v>45962.606481481482</v>
      </c>
      <c r="C70" s="1" t="s">
        <v>1223</v>
      </c>
      <c r="D70" s="21" t="s">
        <v>1211</v>
      </c>
      <c r="E70" s="1" t="s">
        <v>1125</v>
      </c>
      <c r="F70" s="1" t="s">
        <v>540</v>
      </c>
      <c r="G70" s="2">
        <v>9320916175</v>
      </c>
      <c r="H70" s="18" t="s">
        <v>1227</v>
      </c>
      <c r="I70" s="81">
        <v>45962.606481481482</v>
      </c>
      <c r="J70" t="b">
        <f t="shared" si="1"/>
        <v>0</v>
      </c>
    </row>
    <row r="71" spans="1:10" ht="15.75" hidden="1" thickBot="1" x14ac:dyDescent="0.3">
      <c r="A71">
        <v>9320969649</v>
      </c>
      <c r="B71" s="26">
        <v>45962.572025462963</v>
      </c>
      <c r="C71" s="6" t="s">
        <v>1222</v>
      </c>
      <c r="D71" s="21" t="s">
        <v>1211</v>
      </c>
      <c r="E71" s="6" t="s">
        <v>41</v>
      </c>
      <c r="F71" s="6" t="s">
        <v>113</v>
      </c>
      <c r="G71" s="7">
        <v>9320969649</v>
      </c>
      <c r="H71" s="16"/>
      <c r="I71" s="81">
        <v>45962.572025462963</v>
      </c>
      <c r="J71" t="b">
        <f t="shared" si="1"/>
        <v>0</v>
      </c>
    </row>
    <row r="72" spans="1:10" ht="15.75" hidden="1" thickBot="1" x14ac:dyDescent="0.3">
      <c r="A72">
        <v>9321169646</v>
      </c>
      <c r="B72" s="30">
        <v>45962.585428240738</v>
      </c>
      <c r="C72" s="21" t="s">
        <v>1222</v>
      </c>
      <c r="D72" s="22" t="s">
        <v>1225</v>
      </c>
      <c r="E72" s="21" t="s">
        <v>41</v>
      </c>
      <c r="F72" s="21" t="s">
        <v>42</v>
      </c>
      <c r="G72" s="23">
        <v>9321169646</v>
      </c>
      <c r="H72" s="16"/>
      <c r="I72" s="81">
        <v>45962.585428240738</v>
      </c>
      <c r="J72" t="b">
        <f t="shared" si="1"/>
        <v>0</v>
      </c>
    </row>
    <row r="73" spans="1:10" ht="15.75" thickBot="1" x14ac:dyDescent="0.3">
      <c r="A73">
        <v>9321210074</v>
      </c>
      <c r="B73" s="31">
        <v>45964.523252314815</v>
      </c>
      <c r="C73" s="20"/>
      <c r="D73" s="21" t="s">
        <v>1217</v>
      </c>
      <c r="E73" s="22" t="s">
        <v>11</v>
      </c>
      <c r="F73" s="22" t="s">
        <v>622</v>
      </c>
      <c r="G73" s="24">
        <v>9321210074</v>
      </c>
      <c r="H73" s="18" t="s">
        <v>1329</v>
      </c>
      <c r="I73" s="81">
        <v>45964.523252314815</v>
      </c>
      <c r="J73" t="b">
        <f t="shared" si="1"/>
        <v>0</v>
      </c>
    </row>
    <row r="74" spans="1:10" ht="15.75" hidden="1" thickBot="1" x14ac:dyDescent="0.3">
      <c r="A74">
        <v>9321296213</v>
      </c>
      <c r="B74" s="84"/>
      <c r="C74" s="86"/>
      <c r="D74" s="22" t="s">
        <v>1225</v>
      </c>
      <c r="E74" s="86" t="s">
        <v>47</v>
      </c>
      <c r="F74" s="86" t="s">
        <v>260</v>
      </c>
      <c r="G74" s="86">
        <v>9321296213</v>
      </c>
      <c r="H74" s="89">
        <v>0</v>
      </c>
      <c r="I74" s="81">
        <v>45941.590231481481</v>
      </c>
      <c r="J74" t="b">
        <f t="shared" si="1"/>
        <v>0</v>
      </c>
    </row>
    <row r="75" spans="1:10" ht="15.75" hidden="1" thickBot="1" x14ac:dyDescent="0.3">
      <c r="A75">
        <v>9321346176</v>
      </c>
      <c r="B75" s="85"/>
      <c r="C75" s="87"/>
      <c r="D75" s="21" t="s">
        <v>1211</v>
      </c>
      <c r="E75" s="87" t="s">
        <v>47</v>
      </c>
      <c r="F75" s="87" t="s">
        <v>402</v>
      </c>
      <c r="G75" s="87">
        <v>9321346176</v>
      </c>
      <c r="H75" s="89">
        <v>0</v>
      </c>
      <c r="I75" s="81">
        <v>45941.591909722221</v>
      </c>
      <c r="J75" t="b">
        <f t="shared" si="1"/>
        <v>0</v>
      </c>
    </row>
    <row r="76" spans="1:10" ht="15.75" hidden="1" thickBot="1" x14ac:dyDescent="0.3">
      <c r="A76">
        <v>9321489104</v>
      </c>
      <c r="B76" s="30">
        <v>45963.443854166668</v>
      </c>
      <c r="C76" s="21" t="s">
        <v>1220</v>
      </c>
      <c r="D76" s="21" t="s">
        <v>1024</v>
      </c>
      <c r="E76" s="21" t="s">
        <v>57</v>
      </c>
      <c r="F76" s="21" t="s">
        <v>501</v>
      </c>
      <c r="G76" s="23">
        <v>9321489104</v>
      </c>
      <c r="H76" s="16"/>
      <c r="I76" s="81">
        <v>45963.443854166668</v>
      </c>
      <c r="J76" t="b">
        <f t="shared" si="1"/>
        <v>0</v>
      </c>
    </row>
    <row r="77" spans="1:10" ht="15.75" hidden="1" thickBot="1" x14ac:dyDescent="0.3">
      <c r="A77">
        <v>9321882437</v>
      </c>
      <c r="B77" s="85"/>
      <c r="C77" s="87"/>
      <c r="D77" s="87" t="s">
        <v>1010</v>
      </c>
      <c r="E77" s="87" t="s">
        <v>43</v>
      </c>
      <c r="F77" s="87" t="s">
        <v>733</v>
      </c>
      <c r="G77" s="87">
        <v>9321882437</v>
      </c>
      <c r="H77" s="89" t="s">
        <v>1111</v>
      </c>
      <c r="I77" s="81">
        <v>45958.874108796299</v>
      </c>
      <c r="J77" t="b">
        <f t="shared" si="1"/>
        <v>0</v>
      </c>
    </row>
    <row r="78" spans="1:10" ht="26.25" hidden="1" thickBot="1" x14ac:dyDescent="0.3">
      <c r="A78">
        <v>9322080898</v>
      </c>
      <c r="B78" s="30">
        <v>45962.620208333334</v>
      </c>
      <c r="C78" s="21" t="s">
        <v>1230</v>
      </c>
      <c r="D78" s="22" t="s">
        <v>1225</v>
      </c>
      <c r="E78" s="21" t="s">
        <v>83</v>
      </c>
      <c r="F78" s="21" t="s">
        <v>706</v>
      </c>
      <c r="G78" s="23">
        <v>9322080898</v>
      </c>
      <c r="H78" s="16"/>
      <c r="I78" s="81">
        <v>45962.620208333334</v>
      </c>
      <c r="J78" t="b">
        <f t="shared" si="1"/>
        <v>0</v>
      </c>
    </row>
    <row r="79" spans="1:10" ht="15.75" hidden="1" thickBot="1" x14ac:dyDescent="0.3">
      <c r="A79">
        <v>9322123231</v>
      </c>
      <c r="B79" s="84"/>
      <c r="C79" s="86"/>
      <c r="D79" s="86" t="s">
        <v>1010</v>
      </c>
      <c r="E79" s="86" t="s">
        <v>43</v>
      </c>
      <c r="F79" s="86" t="s">
        <v>685</v>
      </c>
      <c r="G79" s="86">
        <v>9322123231</v>
      </c>
      <c r="H79" s="89" t="s">
        <v>1115</v>
      </c>
      <c r="I79" s="81">
        <v>45958.883043981485</v>
      </c>
      <c r="J79" t="b">
        <f t="shared" si="1"/>
        <v>0</v>
      </c>
    </row>
    <row r="80" spans="1:10" ht="15.75" hidden="1" thickBot="1" x14ac:dyDescent="0.3">
      <c r="A80">
        <v>9322177391</v>
      </c>
      <c r="B80" s="31">
        <v>45962.768784722219</v>
      </c>
      <c r="C80" s="22" t="s">
        <v>1259</v>
      </c>
      <c r="D80" s="20"/>
      <c r="E80" s="22" t="s">
        <v>797</v>
      </c>
      <c r="F80" s="22" t="s">
        <v>944</v>
      </c>
      <c r="G80" s="24">
        <v>9322177391</v>
      </c>
      <c r="H80" s="18" t="s">
        <v>1260</v>
      </c>
      <c r="I80" s="81">
        <v>45962.768784722219</v>
      </c>
      <c r="J80" t="b">
        <f t="shared" si="1"/>
        <v>0</v>
      </c>
    </row>
    <row r="81" spans="1:10" ht="26.25" hidden="1" thickBot="1" x14ac:dyDescent="0.3">
      <c r="A81">
        <v>9322177718</v>
      </c>
      <c r="B81" s="25">
        <v>45962.767627314817</v>
      </c>
      <c r="C81" s="1" t="s">
        <v>1259</v>
      </c>
      <c r="D81" s="13"/>
      <c r="E81" s="1" t="s">
        <v>797</v>
      </c>
      <c r="F81" s="1" t="s">
        <v>853</v>
      </c>
      <c r="G81" s="2">
        <v>9322177718</v>
      </c>
      <c r="H81" s="18" t="s">
        <v>1115</v>
      </c>
      <c r="I81" s="81">
        <v>45962.767627314817</v>
      </c>
      <c r="J81" t="b">
        <f t="shared" si="1"/>
        <v>0</v>
      </c>
    </row>
    <row r="82" spans="1:10" ht="15.75" thickBot="1" x14ac:dyDescent="0.3">
      <c r="A82">
        <v>9322210725</v>
      </c>
      <c r="B82" s="31">
        <v>45962.665752314817</v>
      </c>
      <c r="C82" s="22" t="s">
        <v>1241</v>
      </c>
      <c r="D82" s="21" t="s">
        <v>1217</v>
      </c>
      <c r="E82" s="22" t="s">
        <v>95</v>
      </c>
      <c r="F82" s="22" t="s">
        <v>427</v>
      </c>
      <c r="G82" s="24">
        <v>9322210725</v>
      </c>
      <c r="H82" s="18" t="s">
        <v>1245</v>
      </c>
      <c r="I82" s="81">
        <v>45962.665752314817</v>
      </c>
      <c r="J82" t="b">
        <f t="shared" si="1"/>
        <v>0</v>
      </c>
    </row>
    <row r="83" spans="1:10" ht="26.25" hidden="1" thickBot="1" x14ac:dyDescent="0.3">
      <c r="A83">
        <v>9322232683</v>
      </c>
      <c r="B83" s="25">
        <v>45962.669247685182</v>
      </c>
      <c r="C83" s="1" t="s">
        <v>1241</v>
      </c>
      <c r="D83" s="22" t="s">
        <v>1225</v>
      </c>
      <c r="E83" s="1" t="s">
        <v>95</v>
      </c>
      <c r="F83" s="1" t="s">
        <v>521</v>
      </c>
      <c r="G83" s="2">
        <v>9322232683</v>
      </c>
      <c r="H83" s="18" t="s">
        <v>1247</v>
      </c>
      <c r="I83" s="81">
        <v>45962.669247685182</v>
      </c>
      <c r="J83" t="b">
        <f t="shared" si="1"/>
        <v>0</v>
      </c>
    </row>
    <row r="84" spans="1:10" ht="15.75" hidden="1" thickBot="1" x14ac:dyDescent="0.3">
      <c r="A84">
        <v>9322233166</v>
      </c>
      <c r="B84" s="26">
        <v>45963.440729166665</v>
      </c>
      <c r="C84" s="6" t="s">
        <v>1266</v>
      </c>
      <c r="D84" s="6" t="s">
        <v>1024</v>
      </c>
      <c r="E84" s="6" t="s">
        <v>12</v>
      </c>
      <c r="F84" s="6" t="s">
        <v>227</v>
      </c>
      <c r="G84" s="7">
        <v>9322233166</v>
      </c>
      <c r="H84" s="16"/>
      <c r="I84" s="81">
        <v>45963.440729166665</v>
      </c>
      <c r="J84" t="b">
        <f t="shared" si="1"/>
        <v>0</v>
      </c>
    </row>
    <row r="85" spans="1:10" ht="15.75" hidden="1" thickBot="1" x14ac:dyDescent="0.3">
      <c r="A85">
        <v>9322239904</v>
      </c>
      <c r="B85" s="84"/>
      <c r="C85" s="86"/>
      <c r="D85" s="86" t="s">
        <v>1010</v>
      </c>
      <c r="E85" s="86" t="s">
        <v>43</v>
      </c>
      <c r="F85" s="86" t="s">
        <v>162</v>
      </c>
      <c r="G85" s="86">
        <v>9322239904</v>
      </c>
      <c r="H85" s="89" t="s">
        <v>1030</v>
      </c>
      <c r="I85" s="81">
        <v>45958.874918981484</v>
      </c>
      <c r="J85" t="b">
        <f t="shared" si="1"/>
        <v>0</v>
      </c>
    </row>
    <row r="86" spans="1:10" ht="15.75" hidden="1" thickBot="1" x14ac:dyDescent="0.3">
      <c r="A86">
        <v>9322249379</v>
      </c>
      <c r="B86" s="85"/>
      <c r="C86" s="87"/>
      <c r="D86" s="22" t="s">
        <v>1225</v>
      </c>
      <c r="E86" s="87" t="s">
        <v>72</v>
      </c>
      <c r="F86" s="87" t="s">
        <v>177</v>
      </c>
      <c r="G86" s="87">
        <v>9322249379</v>
      </c>
      <c r="H86" s="89">
        <v>0</v>
      </c>
      <c r="I86" s="81">
        <v>45956.613055555557</v>
      </c>
      <c r="J86" t="b">
        <f t="shared" si="1"/>
        <v>0</v>
      </c>
    </row>
    <row r="87" spans="1:10" ht="26.25" hidden="1" thickBot="1" x14ac:dyDescent="0.3">
      <c r="A87">
        <v>9322268494</v>
      </c>
      <c r="B87" s="30">
        <v>45964.43037037037</v>
      </c>
      <c r="C87" s="19"/>
      <c r="D87" s="21" t="s">
        <v>1024</v>
      </c>
      <c r="E87" s="21" t="s">
        <v>1305</v>
      </c>
      <c r="F87" s="21" t="s">
        <v>550</v>
      </c>
      <c r="G87" s="23">
        <v>9322268494</v>
      </c>
      <c r="H87" s="16"/>
      <c r="I87" s="81">
        <v>45964.43037037037</v>
      </c>
      <c r="J87" t="b">
        <f t="shared" si="1"/>
        <v>0</v>
      </c>
    </row>
    <row r="88" spans="1:10" ht="15.75" thickBot="1" x14ac:dyDescent="0.3">
      <c r="A88">
        <v>9322273385</v>
      </c>
      <c r="B88" s="25">
        <v>45963.875983796293</v>
      </c>
      <c r="C88" s="13"/>
      <c r="D88" s="21" t="s">
        <v>1217</v>
      </c>
      <c r="E88" s="1" t="s">
        <v>23</v>
      </c>
      <c r="F88" s="1" t="s">
        <v>200</v>
      </c>
      <c r="G88" s="2">
        <v>9322273385</v>
      </c>
      <c r="H88" s="18" t="s">
        <v>1318</v>
      </c>
      <c r="I88" s="81">
        <v>45963.875983796293</v>
      </c>
      <c r="J88" t="b">
        <f t="shared" si="1"/>
        <v>0</v>
      </c>
    </row>
    <row r="89" spans="1:10" ht="15.75" hidden="1" thickBot="1" x14ac:dyDescent="0.3">
      <c r="A89">
        <v>9322275160</v>
      </c>
      <c r="B89" s="26">
        <v>45962.58189814815</v>
      </c>
      <c r="C89" s="6" t="s">
        <v>1163</v>
      </c>
      <c r="D89" s="6" t="s">
        <v>1024</v>
      </c>
      <c r="E89" s="6" t="s">
        <v>31</v>
      </c>
      <c r="F89" s="6" t="s">
        <v>536</v>
      </c>
      <c r="G89" s="7">
        <v>9322275160</v>
      </c>
      <c r="H89" s="16"/>
      <c r="I89" s="81">
        <v>45962.58189814815</v>
      </c>
      <c r="J89" t="b">
        <f t="shared" si="1"/>
        <v>0</v>
      </c>
    </row>
    <row r="90" spans="1:10" ht="15.75" hidden="1" thickBot="1" x14ac:dyDescent="0.3">
      <c r="A90">
        <v>9322297743</v>
      </c>
      <c r="B90" s="84"/>
      <c r="C90" s="86"/>
      <c r="D90" s="21" t="s">
        <v>1211</v>
      </c>
      <c r="E90" s="86" t="s">
        <v>17</v>
      </c>
      <c r="F90" s="86" t="s">
        <v>245</v>
      </c>
      <c r="G90" s="86">
        <v>9322297743</v>
      </c>
      <c r="H90" s="89">
        <v>0</v>
      </c>
      <c r="I90" s="81">
        <v>45942.648761574077</v>
      </c>
      <c r="J90" t="b">
        <f t="shared" si="1"/>
        <v>0</v>
      </c>
    </row>
    <row r="91" spans="1:10" ht="15.75" hidden="1" thickBot="1" x14ac:dyDescent="0.3">
      <c r="A91">
        <v>9322328211</v>
      </c>
      <c r="B91" s="26">
        <v>45964.425324074073</v>
      </c>
      <c r="C91" s="15"/>
      <c r="D91" s="6" t="s">
        <v>1010</v>
      </c>
      <c r="E91" s="6" t="s">
        <v>1305</v>
      </c>
      <c r="F91" s="6" t="s">
        <v>598</v>
      </c>
      <c r="G91" s="7">
        <v>9322328211</v>
      </c>
      <c r="H91" s="17" t="s">
        <v>1320</v>
      </c>
      <c r="I91" s="81">
        <v>45964.425324074073</v>
      </c>
      <c r="J91" t="b">
        <f t="shared" si="1"/>
        <v>0</v>
      </c>
    </row>
    <row r="92" spans="1:10" ht="15.75" thickBot="1" x14ac:dyDescent="0.3">
      <c r="A92">
        <v>9322329791</v>
      </c>
      <c r="B92" s="25">
        <v>45964.755856481483</v>
      </c>
      <c r="C92" s="13"/>
      <c r="D92" s="21" t="s">
        <v>1217</v>
      </c>
      <c r="E92" s="1" t="s">
        <v>21</v>
      </c>
      <c r="F92" s="1" t="s">
        <v>437</v>
      </c>
      <c r="G92" s="2">
        <v>9322329791</v>
      </c>
      <c r="H92" s="14"/>
      <c r="I92" s="81">
        <v>45964.755856481483</v>
      </c>
      <c r="J92" t="b">
        <f t="shared" si="1"/>
        <v>0</v>
      </c>
    </row>
    <row r="93" spans="1:10" ht="15.75" hidden="1" thickBot="1" x14ac:dyDescent="0.3">
      <c r="A93">
        <v>9322335162</v>
      </c>
      <c r="B93" s="31">
        <v>45962.766956018517</v>
      </c>
      <c r="C93" s="22" t="s">
        <v>1259</v>
      </c>
      <c r="D93" s="22" t="s">
        <v>1010</v>
      </c>
      <c r="E93" s="22" t="s">
        <v>797</v>
      </c>
      <c r="F93" s="22" t="s">
        <v>798</v>
      </c>
      <c r="G93" s="24">
        <v>9322335162</v>
      </c>
      <c r="H93" s="18" t="s">
        <v>1260</v>
      </c>
      <c r="I93" s="81">
        <v>45962.766956018517</v>
      </c>
      <c r="J93" t="b">
        <f t="shared" si="1"/>
        <v>0</v>
      </c>
    </row>
    <row r="94" spans="1:10" ht="26.25" hidden="1" thickBot="1" x14ac:dyDescent="0.3">
      <c r="A94">
        <v>9322397174</v>
      </c>
      <c r="B94" s="25">
        <v>45962.57613425926</v>
      </c>
      <c r="C94" s="1" t="s">
        <v>1222</v>
      </c>
      <c r="D94" s="21" t="s">
        <v>1211</v>
      </c>
      <c r="E94" s="1" t="s">
        <v>41</v>
      </c>
      <c r="F94" s="1" t="s">
        <v>541</v>
      </c>
      <c r="G94" s="2">
        <v>9322397174</v>
      </c>
      <c r="H94" s="14"/>
      <c r="I94" s="81">
        <v>45962.57613425926</v>
      </c>
      <c r="J94" t="b">
        <f t="shared" si="1"/>
        <v>0</v>
      </c>
    </row>
    <row r="95" spans="1:10" ht="26.25" hidden="1" thickBot="1" x14ac:dyDescent="0.3">
      <c r="A95">
        <v>9322507723</v>
      </c>
      <c r="B95" s="26">
        <v>45964.71947916667</v>
      </c>
      <c r="C95" s="15"/>
      <c r="D95" s="21" t="s">
        <v>1211</v>
      </c>
      <c r="E95" s="6" t="s">
        <v>805</v>
      </c>
      <c r="F95" s="6" t="s">
        <v>932</v>
      </c>
      <c r="G95" s="7">
        <v>9322507723</v>
      </c>
      <c r="H95" s="17" t="s">
        <v>1334</v>
      </c>
      <c r="I95" s="81">
        <v>45964.71947916667</v>
      </c>
      <c r="J95" t="b">
        <f t="shared" si="1"/>
        <v>0</v>
      </c>
    </row>
    <row r="96" spans="1:10" ht="26.25" thickBot="1" x14ac:dyDescent="0.3">
      <c r="A96">
        <v>9322553303</v>
      </c>
      <c r="B96" s="30">
        <v>45963.873159722221</v>
      </c>
      <c r="C96" s="19"/>
      <c r="D96" s="21" t="s">
        <v>1217</v>
      </c>
      <c r="E96" s="21" t="s">
        <v>23</v>
      </c>
      <c r="F96" s="21" t="s">
        <v>105</v>
      </c>
      <c r="G96" s="23">
        <v>9322553303</v>
      </c>
      <c r="H96" s="17" t="s">
        <v>1316</v>
      </c>
      <c r="I96" s="81">
        <v>45963.873159722221</v>
      </c>
      <c r="J96" t="b">
        <f t="shared" si="1"/>
        <v>0</v>
      </c>
    </row>
    <row r="97" spans="1:10" ht="15.75" hidden="1" thickBot="1" x14ac:dyDescent="0.3">
      <c r="A97">
        <v>9322598681</v>
      </c>
      <c r="B97" s="31">
        <v>45963.585289351853</v>
      </c>
      <c r="C97" s="22" t="s">
        <v>1290</v>
      </c>
      <c r="D97" s="22" t="s">
        <v>1010</v>
      </c>
      <c r="E97" s="22" t="s">
        <v>55</v>
      </c>
      <c r="F97" s="22" t="s">
        <v>453</v>
      </c>
      <c r="G97" s="24">
        <v>9322598681</v>
      </c>
      <c r="H97" s="18" t="s">
        <v>1293</v>
      </c>
      <c r="I97" s="81">
        <v>45963.585289351853</v>
      </c>
      <c r="J97" t="b">
        <f t="shared" si="1"/>
        <v>0</v>
      </c>
    </row>
    <row r="98" spans="1:10" ht="15.75" hidden="1" thickBot="1" x14ac:dyDescent="0.3">
      <c r="A98">
        <v>9322694897</v>
      </c>
      <c r="B98" s="30">
        <v>45964.524907407409</v>
      </c>
      <c r="C98" s="19"/>
      <c r="D98" s="21" t="s">
        <v>1211</v>
      </c>
      <c r="E98" s="21" t="s">
        <v>11</v>
      </c>
      <c r="F98" s="21" t="s">
        <v>765</v>
      </c>
      <c r="G98" s="23">
        <v>9322694897</v>
      </c>
      <c r="H98" s="17" t="s">
        <v>1331</v>
      </c>
      <c r="I98" s="81">
        <v>45964.524907407409</v>
      </c>
      <c r="J98" t="b">
        <f t="shared" si="1"/>
        <v>0</v>
      </c>
    </row>
    <row r="99" spans="1:10" ht="26.25" hidden="1" thickBot="1" x14ac:dyDescent="0.3">
      <c r="A99">
        <v>9322874559</v>
      </c>
      <c r="B99" s="31">
        <v>45961.495682870373</v>
      </c>
      <c r="C99" s="22" t="s">
        <v>1207</v>
      </c>
      <c r="D99" s="22" t="s">
        <v>1010</v>
      </c>
      <c r="E99" s="22" t="s">
        <v>47</v>
      </c>
      <c r="F99" s="22" t="s">
        <v>544</v>
      </c>
      <c r="G99" s="24">
        <v>9322874559</v>
      </c>
      <c r="H99" s="14"/>
      <c r="I99" s="81">
        <v>45961.495682870373</v>
      </c>
      <c r="J99" t="b">
        <f t="shared" si="1"/>
        <v>0</v>
      </c>
    </row>
    <row r="100" spans="1:10" ht="26.25" hidden="1" thickBot="1" x14ac:dyDescent="0.3">
      <c r="A100">
        <v>9322896944</v>
      </c>
      <c r="B100" s="25">
        <v>45962.675254629627</v>
      </c>
      <c r="C100" s="1" t="s">
        <v>1241</v>
      </c>
      <c r="D100" s="22" t="s">
        <v>1225</v>
      </c>
      <c r="E100" s="1" t="s">
        <v>95</v>
      </c>
      <c r="F100" s="1" t="s">
        <v>760</v>
      </c>
      <c r="G100" s="2">
        <v>9322896944</v>
      </c>
      <c r="H100" s="18" t="s">
        <v>1250</v>
      </c>
      <c r="I100" s="81">
        <v>45962.675254629627</v>
      </c>
      <c r="J100" t="b">
        <f t="shared" si="1"/>
        <v>0</v>
      </c>
    </row>
    <row r="101" spans="1:10" ht="15.75" hidden="1" thickBot="1" x14ac:dyDescent="0.3">
      <c r="A101">
        <v>9323053856</v>
      </c>
      <c r="B101" s="85"/>
      <c r="C101" s="87"/>
      <c r="D101" s="87" t="s">
        <v>1010</v>
      </c>
      <c r="E101" s="87" t="s">
        <v>47</v>
      </c>
      <c r="F101" s="87" t="s">
        <v>592</v>
      </c>
      <c r="G101" s="87">
        <v>9323053856</v>
      </c>
      <c r="H101" s="89">
        <v>0</v>
      </c>
      <c r="I101" s="81">
        <v>45941.575960648152</v>
      </c>
      <c r="J101" t="b">
        <f t="shared" si="1"/>
        <v>0</v>
      </c>
    </row>
    <row r="102" spans="1:10" ht="15.75" hidden="1" thickBot="1" x14ac:dyDescent="0.3">
      <c r="A102">
        <v>9323188245</v>
      </c>
      <c r="B102" s="25">
        <v>45962.584594907406</v>
      </c>
      <c r="C102" s="1" t="s">
        <v>1222</v>
      </c>
      <c r="D102" s="22" t="s">
        <v>1225</v>
      </c>
      <c r="E102" s="1" t="s">
        <v>41</v>
      </c>
      <c r="F102" s="1" t="s">
        <v>352</v>
      </c>
      <c r="G102" s="2">
        <v>9323188245</v>
      </c>
      <c r="H102" s="14"/>
      <c r="I102" s="81">
        <v>45962.584594907406</v>
      </c>
      <c r="J102" t="b">
        <f t="shared" si="1"/>
        <v>0</v>
      </c>
    </row>
    <row r="103" spans="1:10" ht="15.75" hidden="1" thickBot="1" x14ac:dyDescent="0.3">
      <c r="A103">
        <v>9323192651</v>
      </c>
      <c r="B103" s="26">
        <v>45964.754849537036</v>
      </c>
      <c r="C103" s="15"/>
      <c r="D103" s="21" t="s">
        <v>1211</v>
      </c>
      <c r="E103" s="6" t="s">
        <v>21</v>
      </c>
      <c r="F103" s="6" t="s">
        <v>247</v>
      </c>
      <c r="G103" s="7">
        <v>9323192651</v>
      </c>
      <c r="H103" s="16"/>
      <c r="I103" s="81">
        <v>45964.754849537036</v>
      </c>
      <c r="J103" t="b">
        <f t="shared" si="1"/>
        <v>0</v>
      </c>
    </row>
    <row r="104" spans="1:10" ht="15.75" hidden="1" thickBot="1" x14ac:dyDescent="0.3">
      <c r="A104">
        <v>9323284295</v>
      </c>
      <c r="B104" s="84"/>
      <c r="C104" s="86"/>
      <c r="D104" s="86" t="s">
        <v>1010</v>
      </c>
      <c r="E104" s="86" t="s">
        <v>43</v>
      </c>
      <c r="F104" s="86" t="s">
        <v>258</v>
      </c>
      <c r="G104" s="86">
        <v>9323284295</v>
      </c>
      <c r="H104" s="89" t="s">
        <v>1030</v>
      </c>
      <c r="I104" s="81">
        <v>45958.874571759261</v>
      </c>
      <c r="J104" t="b">
        <f t="shared" si="1"/>
        <v>0</v>
      </c>
    </row>
    <row r="105" spans="1:10" ht="26.25" hidden="1" thickBot="1" x14ac:dyDescent="0.3">
      <c r="A105">
        <v>9323541634</v>
      </c>
      <c r="B105" s="26">
        <v>45964.521261574075</v>
      </c>
      <c r="C105" s="15"/>
      <c r="D105" s="21" t="s">
        <v>1211</v>
      </c>
      <c r="E105" s="6" t="s">
        <v>11</v>
      </c>
      <c r="F105" s="6" t="s">
        <v>479</v>
      </c>
      <c r="G105" s="7">
        <v>9323541634</v>
      </c>
      <c r="H105" s="17" t="s">
        <v>1326</v>
      </c>
      <c r="I105" s="81">
        <v>45964.521261574075</v>
      </c>
      <c r="J105" t="b">
        <f t="shared" si="1"/>
        <v>0</v>
      </c>
    </row>
    <row r="106" spans="1:10" ht="15.75" hidden="1" thickBot="1" x14ac:dyDescent="0.3">
      <c r="A106">
        <v>9323549794</v>
      </c>
      <c r="B106" s="25">
        <v>45962.686620370368</v>
      </c>
      <c r="C106" s="1" t="s">
        <v>1256</v>
      </c>
      <c r="D106" s="21" t="s">
        <v>1211</v>
      </c>
      <c r="E106" s="1" t="s">
        <v>77</v>
      </c>
      <c r="F106" s="1" t="s">
        <v>132</v>
      </c>
      <c r="G106" s="2">
        <v>9323549794</v>
      </c>
      <c r="H106" s="14"/>
      <c r="I106" s="81">
        <v>45962.686620370368</v>
      </c>
      <c r="J106" t="b">
        <f t="shared" si="1"/>
        <v>0</v>
      </c>
    </row>
    <row r="107" spans="1:10" ht="26.25" hidden="1" thickBot="1" x14ac:dyDescent="0.3">
      <c r="A107">
        <v>9323589700</v>
      </c>
      <c r="B107" s="26">
        <v>45963.678935185184</v>
      </c>
      <c r="C107" s="6" t="s">
        <v>1300</v>
      </c>
      <c r="D107" s="21" t="s">
        <v>1211</v>
      </c>
      <c r="E107" s="6" t="s">
        <v>62</v>
      </c>
      <c r="F107" s="6" t="s">
        <v>362</v>
      </c>
      <c r="G107" s="7">
        <v>9323589700</v>
      </c>
      <c r="H107" s="17" t="s">
        <v>1302</v>
      </c>
      <c r="I107" s="81">
        <v>45963.678935185184</v>
      </c>
      <c r="J107" t="b">
        <f t="shared" si="1"/>
        <v>0</v>
      </c>
    </row>
    <row r="108" spans="1:10" ht="15.75" hidden="1" thickBot="1" x14ac:dyDescent="0.3">
      <c r="A108">
        <v>9323698838</v>
      </c>
      <c r="B108" s="30">
        <v>45962.68608796296</v>
      </c>
      <c r="C108" s="21" t="s">
        <v>1256</v>
      </c>
      <c r="D108" s="21" t="s">
        <v>1024</v>
      </c>
      <c r="E108" s="21" t="s">
        <v>77</v>
      </c>
      <c r="F108" s="21" t="s">
        <v>560</v>
      </c>
      <c r="G108" s="23">
        <v>9323698838</v>
      </c>
      <c r="H108" s="16"/>
      <c r="I108" s="81">
        <v>45962.68608796296</v>
      </c>
      <c r="J108" t="b">
        <f t="shared" si="1"/>
        <v>0</v>
      </c>
    </row>
    <row r="109" spans="1:10" ht="15.75" hidden="1" thickBot="1" x14ac:dyDescent="0.3">
      <c r="A109">
        <v>9323852536</v>
      </c>
      <c r="B109" s="85"/>
      <c r="C109" s="87"/>
      <c r="D109" s="21" t="s">
        <v>1211</v>
      </c>
      <c r="E109" s="87" t="s">
        <v>43</v>
      </c>
      <c r="F109" s="87" t="s">
        <v>44</v>
      </c>
      <c r="G109" s="87">
        <v>9323852536</v>
      </c>
      <c r="H109" s="89" t="s">
        <v>1113</v>
      </c>
      <c r="I109" s="81">
        <v>45958.878645833334</v>
      </c>
      <c r="J109" t="b">
        <f t="shared" si="1"/>
        <v>0</v>
      </c>
    </row>
    <row r="110" spans="1:10" ht="15.75" hidden="1" thickBot="1" x14ac:dyDescent="0.3">
      <c r="A110">
        <v>9323908004</v>
      </c>
      <c r="B110" s="25">
        <v>45962.620451388888</v>
      </c>
      <c r="C110" s="1" t="s">
        <v>1230</v>
      </c>
      <c r="D110" s="1" t="s">
        <v>1010</v>
      </c>
      <c r="E110" s="1" t="s">
        <v>83</v>
      </c>
      <c r="F110" s="1" t="s">
        <v>326</v>
      </c>
      <c r="G110" s="2">
        <v>9323908004</v>
      </c>
      <c r="H110" s="18" t="s">
        <v>1231</v>
      </c>
      <c r="I110" s="81">
        <v>45962.620451388888</v>
      </c>
      <c r="J110" t="b">
        <f t="shared" si="1"/>
        <v>0</v>
      </c>
    </row>
    <row r="111" spans="1:10" ht="15.75" hidden="1" thickBot="1" x14ac:dyDescent="0.3">
      <c r="A111">
        <v>9323930259</v>
      </c>
      <c r="B111" s="25">
        <v>45961.929166666669</v>
      </c>
      <c r="C111" s="1" t="s">
        <v>1210</v>
      </c>
      <c r="D111" s="1" t="s">
        <v>1010</v>
      </c>
      <c r="E111" s="1" t="s">
        <v>33</v>
      </c>
      <c r="F111" s="1" t="s">
        <v>253</v>
      </c>
      <c r="G111" s="2">
        <v>9323930259</v>
      </c>
      <c r="H111" s="14"/>
      <c r="I111" s="81">
        <v>45961.929166666669</v>
      </c>
      <c r="J111" t="b">
        <f t="shared" si="1"/>
        <v>0</v>
      </c>
    </row>
    <row r="112" spans="1:10" ht="15.75" hidden="1" thickBot="1" x14ac:dyDescent="0.3">
      <c r="A112">
        <v>9323949574</v>
      </c>
      <c r="B112" s="85"/>
      <c r="C112" s="87"/>
      <c r="D112" s="87" t="s">
        <v>1010</v>
      </c>
      <c r="E112" s="87" t="s">
        <v>799</v>
      </c>
      <c r="F112" s="87" t="s">
        <v>914</v>
      </c>
      <c r="G112" s="87">
        <v>9323949574</v>
      </c>
      <c r="H112" s="89" t="s">
        <v>1029</v>
      </c>
      <c r="I112" s="81">
        <v>45943.493206018517</v>
      </c>
      <c r="J112" t="b">
        <f t="shared" si="1"/>
        <v>0</v>
      </c>
    </row>
    <row r="113" spans="1:10" ht="15.75" thickBot="1" x14ac:dyDescent="0.3">
      <c r="A113">
        <v>9324051973</v>
      </c>
      <c r="B113" s="30">
        <v>45962.582905092589</v>
      </c>
      <c r="C113" s="21" t="s">
        <v>1222</v>
      </c>
      <c r="D113" s="21" t="s">
        <v>1217</v>
      </c>
      <c r="E113" s="21" t="s">
        <v>41</v>
      </c>
      <c r="F113" s="21" t="s">
        <v>780</v>
      </c>
      <c r="G113" s="23">
        <v>9324051973</v>
      </c>
      <c r="H113" s="16"/>
      <c r="I113" s="81">
        <v>45962.582905092589</v>
      </c>
      <c r="J113" t="b">
        <f t="shared" si="1"/>
        <v>0</v>
      </c>
    </row>
    <row r="114" spans="1:10" ht="15.75" thickBot="1" x14ac:dyDescent="0.3">
      <c r="A114">
        <v>9324059577</v>
      </c>
      <c r="B114" s="31">
        <v>45962.690613425926</v>
      </c>
      <c r="C114" s="22" t="s">
        <v>1256</v>
      </c>
      <c r="D114" s="21" t="s">
        <v>1217</v>
      </c>
      <c r="E114" s="22" t="s">
        <v>77</v>
      </c>
      <c r="F114" s="22" t="s">
        <v>370</v>
      </c>
      <c r="G114" s="24">
        <v>9324059577</v>
      </c>
      <c r="H114" s="14"/>
      <c r="I114" s="81">
        <v>45962.690613425926</v>
      </c>
      <c r="J114" t="b">
        <f t="shared" si="1"/>
        <v>0</v>
      </c>
    </row>
    <row r="115" spans="1:10" ht="15.75" thickBot="1" x14ac:dyDescent="0.3">
      <c r="A115">
        <v>9324163209</v>
      </c>
      <c r="B115" s="85"/>
      <c r="C115" s="87"/>
      <c r="D115" s="21" t="s">
        <v>1217</v>
      </c>
      <c r="E115" s="87" t="s">
        <v>45</v>
      </c>
      <c r="F115" s="87" t="s">
        <v>686</v>
      </c>
      <c r="G115" s="87">
        <v>9324163209</v>
      </c>
      <c r="H115" s="89" t="s">
        <v>1031</v>
      </c>
      <c r="I115" s="81">
        <v>45944.769050925926</v>
      </c>
      <c r="J115" t="b">
        <f t="shared" si="1"/>
        <v>0</v>
      </c>
    </row>
    <row r="116" spans="1:10" ht="15.75" hidden="1" thickBot="1" x14ac:dyDescent="0.3">
      <c r="A116">
        <v>9324285448</v>
      </c>
      <c r="B116" s="30">
        <v>45961.918692129628</v>
      </c>
      <c r="C116" s="21" t="s">
        <v>1210</v>
      </c>
      <c r="D116" s="21" t="s">
        <v>1211</v>
      </c>
      <c r="E116" s="21" t="s">
        <v>33</v>
      </c>
      <c r="F116" s="21" t="s">
        <v>585</v>
      </c>
      <c r="G116" s="23">
        <v>9324285448</v>
      </c>
      <c r="H116" s="16"/>
      <c r="I116" s="81">
        <v>45961.918692129628</v>
      </c>
      <c r="J116" t="b">
        <f t="shared" si="1"/>
        <v>0</v>
      </c>
    </row>
    <row r="117" spans="1:10" ht="15.75" hidden="1" thickBot="1" x14ac:dyDescent="0.3">
      <c r="A117">
        <v>9324287945</v>
      </c>
      <c r="B117" s="85"/>
      <c r="C117" s="87"/>
      <c r="D117" s="22" t="s">
        <v>1225</v>
      </c>
      <c r="E117" s="87" t="s">
        <v>47</v>
      </c>
      <c r="F117" s="87" t="s">
        <v>212</v>
      </c>
      <c r="G117" s="87">
        <v>9324287945</v>
      </c>
      <c r="H117" s="89">
        <v>0</v>
      </c>
      <c r="I117" s="81">
        <v>45941.593622685185</v>
      </c>
      <c r="J117" t="b">
        <f t="shared" si="1"/>
        <v>0</v>
      </c>
    </row>
    <row r="118" spans="1:10" ht="15.75" hidden="1" thickBot="1" x14ac:dyDescent="0.3">
      <c r="A118">
        <v>9324309045</v>
      </c>
      <c r="B118" s="84"/>
      <c r="C118" s="86"/>
      <c r="D118" s="21" t="s">
        <v>1211</v>
      </c>
      <c r="E118" s="86" t="s">
        <v>47</v>
      </c>
      <c r="F118" s="86" t="s">
        <v>48</v>
      </c>
      <c r="G118" s="86">
        <v>9324309045</v>
      </c>
      <c r="H118" s="89">
        <v>0</v>
      </c>
      <c r="I118" s="81">
        <v>45941.582037037035</v>
      </c>
      <c r="J118" t="b">
        <f t="shared" si="1"/>
        <v>0</v>
      </c>
    </row>
    <row r="119" spans="1:10" ht="26.25" hidden="1" thickBot="1" x14ac:dyDescent="0.3">
      <c r="A119">
        <v>9324386761</v>
      </c>
      <c r="B119" s="31">
        <v>45964.429918981485</v>
      </c>
      <c r="C119" s="20"/>
      <c r="D119" s="22" t="s">
        <v>1024</v>
      </c>
      <c r="E119" s="22" t="s">
        <v>1305</v>
      </c>
      <c r="F119" s="22" t="s">
        <v>455</v>
      </c>
      <c r="G119" s="24">
        <v>9324386761</v>
      </c>
      <c r="H119" s="14"/>
      <c r="I119" s="81">
        <v>45964.429918981485</v>
      </c>
      <c r="J119" t="b">
        <f t="shared" si="1"/>
        <v>0</v>
      </c>
    </row>
    <row r="120" spans="1:10" ht="15.75" thickBot="1" x14ac:dyDescent="0.3">
      <c r="A120">
        <v>9324403905</v>
      </c>
      <c r="B120" s="30">
        <v>45963.429606481484</v>
      </c>
      <c r="C120" s="21" t="s">
        <v>1266</v>
      </c>
      <c r="D120" s="21" t="s">
        <v>1217</v>
      </c>
      <c r="E120" s="21" t="s">
        <v>12</v>
      </c>
      <c r="F120" s="21" t="s">
        <v>464</v>
      </c>
      <c r="G120" s="23">
        <v>9324403905</v>
      </c>
      <c r="H120" s="17" t="s">
        <v>1115</v>
      </c>
      <c r="I120" s="81">
        <v>45963.429606481484</v>
      </c>
      <c r="J120" t="b">
        <f t="shared" si="1"/>
        <v>0</v>
      </c>
    </row>
    <row r="121" spans="1:10" ht="26.25" hidden="1" thickBot="1" x14ac:dyDescent="0.3">
      <c r="A121">
        <v>9324460852</v>
      </c>
      <c r="B121" s="31">
        <v>45964.726180555554</v>
      </c>
      <c r="C121" s="20"/>
      <c r="D121" s="22" t="s">
        <v>1225</v>
      </c>
      <c r="E121" s="22" t="s">
        <v>805</v>
      </c>
      <c r="F121" s="22" t="s">
        <v>979</v>
      </c>
      <c r="G121" s="24">
        <v>9324460852</v>
      </c>
      <c r="H121" s="14"/>
      <c r="I121" s="81">
        <v>45964.726180555554</v>
      </c>
      <c r="J121" t="b">
        <f t="shared" si="1"/>
        <v>0</v>
      </c>
    </row>
    <row r="122" spans="1:10" ht="15.75" hidden="1" thickBot="1" x14ac:dyDescent="0.3">
      <c r="A122">
        <v>9324471438</v>
      </c>
      <c r="B122" s="84"/>
      <c r="C122" s="86"/>
      <c r="D122" s="86" t="s">
        <v>1010</v>
      </c>
      <c r="E122" s="86" t="s">
        <v>72</v>
      </c>
      <c r="F122" s="86" t="s">
        <v>415</v>
      </c>
      <c r="G122" s="86">
        <v>9324471438</v>
      </c>
      <c r="H122" s="89">
        <v>0</v>
      </c>
      <c r="I122" s="81">
        <v>45956.615358796298</v>
      </c>
      <c r="J122" t="b">
        <f t="shared" si="1"/>
        <v>0</v>
      </c>
    </row>
    <row r="123" spans="1:10" ht="15.75" hidden="1" thickBot="1" x14ac:dyDescent="0.3">
      <c r="A123">
        <v>9324474949</v>
      </c>
      <c r="B123" s="85"/>
      <c r="C123" s="87"/>
      <c r="D123" s="21" t="s">
        <v>1211</v>
      </c>
      <c r="E123" s="87" t="s">
        <v>49</v>
      </c>
      <c r="F123" s="87" t="s">
        <v>545</v>
      </c>
      <c r="G123" s="87">
        <v>9324474949</v>
      </c>
      <c r="H123" s="89">
        <v>0</v>
      </c>
      <c r="I123" s="81">
        <v>45942.453842592593</v>
      </c>
      <c r="J123" t="b">
        <f t="shared" si="1"/>
        <v>0</v>
      </c>
    </row>
    <row r="124" spans="1:10" ht="15.75" hidden="1" thickBot="1" x14ac:dyDescent="0.3">
      <c r="A124">
        <v>9324478418</v>
      </c>
      <c r="B124" s="84"/>
      <c r="C124" s="86"/>
      <c r="D124" s="21" t="s">
        <v>1211</v>
      </c>
      <c r="E124" s="86" t="s">
        <v>33</v>
      </c>
      <c r="F124" s="86" t="s">
        <v>632</v>
      </c>
      <c r="G124" s="86">
        <v>9324478418</v>
      </c>
      <c r="H124" s="89" t="s">
        <v>1043</v>
      </c>
      <c r="I124" s="81">
        <v>45957.887615740743</v>
      </c>
      <c r="J124" t="b">
        <f t="shared" si="1"/>
        <v>0</v>
      </c>
    </row>
    <row r="125" spans="1:10" ht="15.75" hidden="1" thickBot="1" x14ac:dyDescent="0.3">
      <c r="A125">
        <v>9324530346</v>
      </c>
      <c r="B125" s="31">
        <v>45963.872650462959</v>
      </c>
      <c r="C125" s="20"/>
      <c r="D125" s="21" t="s">
        <v>1211</v>
      </c>
      <c r="E125" s="22" t="s">
        <v>23</v>
      </c>
      <c r="F125" s="22" t="s">
        <v>248</v>
      </c>
      <c r="G125" s="24">
        <v>9324530346</v>
      </c>
      <c r="H125" s="18" t="s">
        <v>1315</v>
      </c>
      <c r="I125" s="81">
        <v>45963.872650462959</v>
      </c>
      <c r="J125" t="b">
        <f t="shared" si="1"/>
        <v>0</v>
      </c>
    </row>
    <row r="126" spans="1:10" ht="26.25" hidden="1" thickBot="1" x14ac:dyDescent="0.3">
      <c r="A126">
        <v>9324543199</v>
      </c>
      <c r="B126" s="25">
        <v>45963.441331018519</v>
      </c>
      <c r="C126" s="1" t="s">
        <v>1220</v>
      </c>
      <c r="D126" s="21" t="s">
        <v>1211</v>
      </c>
      <c r="E126" s="1" t="s">
        <v>57</v>
      </c>
      <c r="F126" s="1" t="s">
        <v>644</v>
      </c>
      <c r="G126" s="2">
        <v>9324543199</v>
      </c>
      <c r="H126" s="18" t="s">
        <v>1274</v>
      </c>
      <c r="I126" s="81">
        <v>45963.441331018519</v>
      </c>
      <c r="J126" t="b">
        <f t="shared" si="1"/>
        <v>0</v>
      </c>
    </row>
    <row r="127" spans="1:10" ht="15.75" hidden="1" thickBot="1" x14ac:dyDescent="0.3">
      <c r="A127">
        <v>9324545321</v>
      </c>
      <c r="B127" s="85"/>
      <c r="C127" s="87"/>
      <c r="D127" s="87" t="s">
        <v>1010</v>
      </c>
      <c r="E127" s="87" t="s">
        <v>47</v>
      </c>
      <c r="F127" s="87" t="s">
        <v>639</v>
      </c>
      <c r="G127" s="87">
        <v>9324545321</v>
      </c>
      <c r="H127" s="89">
        <v>0</v>
      </c>
      <c r="I127" s="81">
        <v>45941.582905092589</v>
      </c>
      <c r="J127" t="b">
        <f t="shared" si="1"/>
        <v>0</v>
      </c>
    </row>
    <row r="128" spans="1:10" ht="15.75" hidden="1" thickBot="1" x14ac:dyDescent="0.3">
      <c r="A128">
        <v>9324604104</v>
      </c>
      <c r="B128" s="84"/>
      <c r="C128" s="86"/>
      <c r="D128" s="22" t="s">
        <v>1225</v>
      </c>
      <c r="E128" s="86" t="s">
        <v>72</v>
      </c>
      <c r="F128" s="86" t="s">
        <v>700</v>
      </c>
      <c r="G128" s="86">
        <v>9324604104</v>
      </c>
      <c r="H128" s="89">
        <v>0</v>
      </c>
      <c r="I128" s="81">
        <v>45956.610891203702</v>
      </c>
      <c r="J128" t="b">
        <f t="shared" si="1"/>
        <v>0</v>
      </c>
    </row>
    <row r="129" spans="1:10" ht="15.75" hidden="1" thickBot="1" x14ac:dyDescent="0.3">
      <c r="A129">
        <v>9324607730</v>
      </c>
      <c r="B129" s="26">
        <v>45963.424756944441</v>
      </c>
      <c r="C129" s="6" t="s">
        <v>1220</v>
      </c>
      <c r="D129" s="15"/>
      <c r="E129" s="6" t="s">
        <v>57</v>
      </c>
      <c r="F129" s="6" t="s">
        <v>740</v>
      </c>
      <c r="G129" s="7">
        <v>9324607730</v>
      </c>
      <c r="H129" s="17" t="s">
        <v>1264</v>
      </c>
      <c r="I129" s="81">
        <v>45963.424756944441</v>
      </c>
      <c r="J129" t="b">
        <f t="shared" si="1"/>
        <v>0</v>
      </c>
    </row>
    <row r="130" spans="1:10" ht="15.75" hidden="1" thickBot="1" x14ac:dyDescent="0.3">
      <c r="A130">
        <v>9324645508</v>
      </c>
      <c r="B130" s="84"/>
      <c r="C130" s="86"/>
      <c r="D130" s="86" t="s">
        <v>1024</v>
      </c>
      <c r="E130" s="86" t="s">
        <v>17</v>
      </c>
      <c r="F130" s="86" t="s">
        <v>292</v>
      </c>
      <c r="G130" s="86">
        <v>9324645508</v>
      </c>
      <c r="H130" s="89" t="s">
        <v>1025</v>
      </c>
      <c r="I130" s="81">
        <v>45942.657604166663</v>
      </c>
      <c r="J130" t="b">
        <f t="shared" si="1"/>
        <v>0</v>
      </c>
    </row>
    <row r="131" spans="1:10" ht="26.25" hidden="1" thickBot="1" x14ac:dyDescent="0.3">
      <c r="A131">
        <v>9324698060</v>
      </c>
      <c r="B131" s="31">
        <v>45962.590277777781</v>
      </c>
      <c r="C131" s="22" t="s">
        <v>1163</v>
      </c>
      <c r="D131" s="21" t="s">
        <v>1211</v>
      </c>
      <c r="E131" s="22" t="s">
        <v>31</v>
      </c>
      <c r="F131" s="22" t="s">
        <v>347</v>
      </c>
      <c r="G131" s="24">
        <v>9324698060</v>
      </c>
      <c r="H131" s="14"/>
      <c r="I131" s="81">
        <v>45962.590277777781</v>
      </c>
      <c r="J131" t="b">
        <f t="shared" si="1"/>
        <v>0</v>
      </c>
    </row>
    <row r="132" spans="1:10" ht="15.75" hidden="1" thickBot="1" x14ac:dyDescent="0.3">
      <c r="A132">
        <v>9324777747</v>
      </c>
      <c r="B132" s="84"/>
      <c r="C132" s="86"/>
      <c r="D132" s="21" t="s">
        <v>1211</v>
      </c>
      <c r="E132" s="86" t="s">
        <v>49</v>
      </c>
      <c r="F132" s="86" t="s">
        <v>688</v>
      </c>
      <c r="G132" s="86">
        <v>9324777747</v>
      </c>
      <c r="H132" s="89">
        <v>0</v>
      </c>
      <c r="I132" s="81">
        <v>45942.436840277776</v>
      </c>
      <c r="J132" t="b">
        <f t="shared" ref="J132:J195" si="2">G131=G132</f>
        <v>0</v>
      </c>
    </row>
    <row r="133" spans="1:10" ht="26.25" hidden="1" thickBot="1" x14ac:dyDescent="0.3">
      <c r="A133">
        <v>9324811111</v>
      </c>
      <c r="B133" s="26">
        <v>45961.905740740738</v>
      </c>
      <c r="C133" s="6" t="s">
        <v>1210</v>
      </c>
      <c r="D133" s="21" t="s">
        <v>1211</v>
      </c>
      <c r="E133" s="6" t="s">
        <v>33</v>
      </c>
      <c r="F133" s="6" t="s">
        <v>537</v>
      </c>
      <c r="G133" s="7">
        <v>9324811111</v>
      </c>
      <c r="H133" s="17" t="s">
        <v>1212</v>
      </c>
      <c r="I133" s="81">
        <v>45961.905740740738</v>
      </c>
      <c r="J133" t="b">
        <f t="shared" si="2"/>
        <v>0</v>
      </c>
    </row>
    <row r="134" spans="1:10" ht="26.25" hidden="1" thickBot="1" x14ac:dyDescent="0.3">
      <c r="A134">
        <v>9324812699</v>
      </c>
      <c r="B134" s="30">
        <v>45963.432858796295</v>
      </c>
      <c r="C134" s="21" t="s">
        <v>1220</v>
      </c>
      <c r="D134" s="21" t="s">
        <v>1010</v>
      </c>
      <c r="E134" s="21" t="s">
        <v>57</v>
      </c>
      <c r="F134" s="21" t="s">
        <v>121</v>
      </c>
      <c r="G134" s="23">
        <v>9324812699</v>
      </c>
      <c r="H134" s="16"/>
      <c r="I134" s="81">
        <v>45963.432858796295</v>
      </c>
      <c r="J134" t="b">
        <f t="shared" si="2"/>
        <v>0</v>
      </c>
    </row>
    <row r="135" spans="1:10" ht="26.25" hidden="1" thickBot="1" x14ac:dyDescent="0.3">
      <c r="A135">
        <v>9324819088</v>
      </c>
      <c r="B135" s="31">
        <v>45962.623749999999</v>
      </c>
      <c r="C135" s="22" t="s">
        <v>1223</v>
      </c>
      <c r="D135" s="22" t="s">
        <v>1225</v>
      </c>
      <c r="E135" s="22" t="s">
        <v>1125</v>
      </c>
      <c r="F135" s="22" t="s">
        <v>303</v>
      </c>
      <c r="G135" s="24">
        <v>9324819088</v>
      </c>
      <c r="H135" s="18" t="s">
        <v>1237</v>
      </c>
      <c r="I135" s="81">
        <v>45962.623749999999</v>
      </c>
      <c r="J135" t="b">
        <f t="shared" si="2"/>
        <v>0</v>
      </c>
    </row>
    <row r="136" spans="1:10" ht="15.75" hidden="1" thickBot="1" x14ac:dyDescent="0.3">
      <c r="A136">
        <v>9324998811</v>
      </c>
      <c r="B136" s="84"/>
      <c r="C136" s="86"/>
      <c r="D136" s="21" t="s">
        <v>1211</v>
      </c>
      <c r="E136" s="86" t="s">
        <v>35</v>
      </c>
      <c r="F136" s="86" t="s">
        <v>681</v>
      </c>
      <c r="G136" s="86">
        <v>9324998811</v>
      </c>
      <c r="H136" s="89">
        <v>0</v>
      </c>
      <c r="I136" s="81">
        <v>45958.432916666665</v>
      </c>
      <c r="J136" t="b">
        <f t="shared" si="2"/>
        <v>0</v>
      </c>
    </row>
    <row r="137" spans="1:10" ht="15.75" hidden="1" thickBot="1" x14ac:dyDescent="0.3">
      <c r="A137">
        <v>9326379737</v>
      </c>
      <c r="B137" s="85"/>
      <c r="C137" s="87"/>
      <c r="D137" s="21" t="s">
        <v>1211</v>
      </c>
      <c r="E137" s="87" t="s">
        <v>81</v>
      </c>
      <c r="F137" s="87" t="s">
        <v>82</v>
      </c>
      <c r="G137" s="87">
        <v>9326379737</v>
      </c>
      <c r="H137" s="89">
        <v>0</v>
      </c>
      <c r="I137" s="81">
        <v>45957.859467592592</v>
      </c>
      <c r="J137" t="b">
        <f t="shared" si="2"/>
        <v>0</v>
      </c>
    </row>
    <row r="138" spans="1:10" ht="26.25" hidden="1" thickBot="1" x14ac:dyDescent="0.3">
      <c r="A138">
        <v>9331055539</v>
      </c>
      <c r="B138" s="30">
        <v>45962.674375000002</v>
      </c>
      <c r="C138" s="21" t="s">
        <v>1241</v>
      </c>
      <c r="D138" s="22" t="s">
        <v>1225</v>
      </c>
      <c r="E138" s="21" t="s">
        <v>95</v>
      </c>
      <c r="F138" s="21" t="s">
        <v>569</v>
      </c>
      <c r="G138" s="23">
        <v>9331055539</v>
      </c>
      <c r="H138" s="17" t="s">
        <v>1249</v>
      </c>
      <c r="I138" s="81">
        <v>45962.674375000002</v>
      </c>
      <c r="J138" t="b">
        <f t="shared" si="2"/>
        <v>0</v>
      </c>
    </row>
    <row r="139" spans="1:10" ht="15.75" hidden="1" thickBot="1" x14ac:dyDescent="0.3">
      <c r="A139">
        <v>9331290465</v>
      </c>
      <c r="B139" s="85"/>
      <c r="C139" s="87"/>
      <c r="D139" s="21" t="s">
        <v>1211</v>
      </c>
      <c r="E139" s="87" t="s">
        <v>72</v>
      </c>
      <c r="F139" s="87" t="s">
        <v>509</v>
      </c>
      <c r="G139" s="87">
        <v>9331290465</v>
      </c>
      <c r="H139" s="89">
        <v>0</v>
      </c>
      <c r="I139" s="81">
        <v>45956.616956018515</v>
      </c>
      <c r="J139" t="b">
        <f t="shared" si="2"/>
        <v>0</v>
      </c>
    </row>
    <row r="140" spans="1:10" ht="15.75" thickBot="1" x14ac:dyDescent="0.3">
      <c r="A140">
        <v>9339057544</v>
      </c>
      <c r="B140" s="30">
        <v>45963.500937500001</v>
      </c>
      <c r="C140" s="21" t="s">
        <v>1257</v>
      </c>
      <c r="D140" s="21" t="s">
        <v>1217</v>
      </c>
      <c r="E140" s="21" t="s">
        <v>60</v>
      </c>
      <c r="F140" s="21" t="s">
        <v>409</v>
      </c>
      <c r="G140" s="23">
        <v>9339057544</v>
      </c>
      <c r="H140" s="17" t="s">
        <v>1221</v>
      </c>
      <c r="I140" s="81">
        <v>45963.500937500001</v>
      </c>
      <c r="J140" t="b">
        <f t="shared" si="2"/>
        <v>0</v>
      </c>
    </row>
    <row r="141" spans="1:10" ht="15.75" hidden="1" thickBot="1" x14ac:dyDescent="0.3">
      <c r="A141">
        <v>9370518000</v>
      </c>
      <c r="B141" s="85"/>
      <c r="C141" s="87"/>
      <c r="D141" s="21" t="s">
        <v>1211</v>
      </c>
      <c r="E141" s="87" t="s">
        <v>17</v>
      </c>
      <c r="F141" s="87" t="s">
        <v>435</v>
      </c>
      <c r="G141" s="87">
        <v>9370518000</v>
      </c>
      <c r="H141" s="89" t="s">
        <v>1027</v>
      </c>
      <c r="I141" s="81">
        <v>45942.670925925922</v>
      </c>
      <c r="J141" t="b">
        <f t="shared" si="2"/>
        <v>0</v>
      </c>
    </row>
    <row r="142" spans="1:10" ht="15.75" hidden="1" thickBot="1" x14ac:dyDescent="0.3">
      <c r="A142">
        <v>9377709189</v>
      </c>
      <c r="B142" s="30">
        <v>45963.813796296294</v>
      </c>
      <c r="C142" s="21" t="s">
        <v>1303</v>
      </c>
      <c r="D142" s="21" t="s">
        <v>1211</v>
      </c>
      <c r="E142" s="21" t="s">
        <v>799</v>
      </c>
      <c r="F142" s="21" t="s">
        <v>868</v>
      </c>
      <c r="G142" s="23">
        <v>9377709189</v>
      </c>
      <c r="H142" s="16"/>
      <c r="I142" s="81">
        <v>45963.813796296294</v>
      </c>
      <c r="J142" t="b">
        <f t="shared" si="2"/>
        <v>0</v>
      </c>
    </row>
    <row r="143" spans="1:10" ht="15.75" hidden="1" thickBot="1" x14ac:dyDescent="0.3">
      <c r="A143">
        <v>9413561108</v>
      </c>
      <c r="B143" s="85"/>
      <c r="C143" s="87"/>
      <c r="D143" s="21" t="s">
        <v>1211</v>
      </c>
      <c r="E143" s="87" t="s">
        <v>45</v>
      </c>
      <c r="F143" s="87" t="s">
        <v>259</v>
      </c>
      <c r="G143" s="87">
        <v>9413561108</v>
      </c>
      <c r="H143" s="89">
        <v>0</v>
      </c>
      <c r="I143" s="81">
        <v>45943.701631944445</v>
      </c>
      <c r="J143" t="b">
        <f t="shared" si="2"/>
        <v>0</v>
      </c>
    </row>
    <row r="144" spans="1:10" ht="26.25" thickBot="1" x14ac:dyDescent="0.3">
      <c r="A144">
        <v>9414069059</v>
      </c>
      <c r="B144" s="30">
        <v>45962.620787037034</v>
      </c>
      <c r="C144" s="21" t="s">
        <v>1230</v>
      </c>
      <c r="D144" s="21" t="s">
        <v>1217</v>
      </c>
      <c r="E144" s="21" t="s">
        <v>83</v>
      </c>
      <c r="F144" s="21" t="s">
        <v>754</v>
      </c>
      <c r="G144" s="23">
        <v>9414069059</v>
      </c>
      <c r="H144" s="17" t="s">
        <v>1232</v>
      </c>
      <c r="I144" s="81">
        <v>45962.620787037034</v>
      </c>
      <c r="J144" t="b">
        <f t="shared" si="2"/>
        <v>0</v>
      </c>
    </row>
    <row r="145" spans="1:10" ht="15.75" hidden="1" thickBot="1" x14ac:dyDescent="0.3">
      <c r="A145">
        <v>9527814992</v>
      </c>
      <c r="B145" s="31">
        <v>45963.803402777776</v>
      </c>
      <c r="C145" s="22" t="s">
        <v>1303</v>
      </c>
      <c r="D145" s="22" t="s">
        <v>1225</v>
      </c>
      <c r="E145" s="22" t="s">
        <v>799</v>
      </c>
      <c r="F145" s="22" t="s">
        <v>929</v>
      </c>
      <c r="G145" s="24">
        <v>9527814992</v>
      </c>
      <c r="H145" s="14"/>
      <c r="I145" s="81">
        <v>45963.803402777776</v>
      </c>
      <c r="J145" t="b">
        <f t="shared" si="2"/>
        <v>0</v>
      </c>
    </row>
    <row r="146" spans="1:10" ht="15.75" hidden="1" thickBot="1" x14ac:dyDescent="0.3">
      <c r="A146">
        <v>9529611813</v>
      </c>
      <c r="B146" s="84"/>
      <c r="C146" s="86"/>
      <c r="D146" s="21" t="s">
        <v>1211</v>
      </c>
      <c r="E146" s="86" t="s">
        <v>1041</v>
      </c>
      <c r="F146" s="86" t="s">
        <v>728</v>
      </c>
      <c r="G146" s="86">
        <v>9529611813</v>
      </c>
      <c r="H146" s="89" t="s">
        <v>1042</v>
      </c>
      <c r="I146" s="81">
        <v>45957.885810185187</v>
      </c>
      <c r="J146" t="b">
        <f t="shared" si="2"/>
        <v>0</v>
      </c>
    </row>
    <row r="147" spans="1:10" ht="15.75" hidden="1" thickBot="1" x14ac:dyDescent="0.3">
      <c r="A147">
        <v>9579122701</v>
      </c>
      <c r="B147" s="31">
        <v>45962.687106481484</v>
      </c>
      <c r="C147" s="22" t="s">
        <v>1256</v>
      </c>
      <c r="D147" s="22" t="s">
        <v>1010</v>
      </c>
      <c r="E147" s="22" t="s">
        <v>77</v>
      </c>
      <c r="F147" s="22" t="s">
        <v>655</v>
      </c>
      <c r="G147" s="24">
        <v>9579122701</v>
      </c>
      <c r="H147" s="14"/>
      <c r="I147" s="81">
        <v>45962.687106481484</v>
      </c>
      <c r="J147" t="b">
        <f t="shared" si="2"/>
        <v>0</v>
      </c>
    </row>
    <row r="148" spans="1:10" ht="15.75" hidden="1" thickBot="1" x14ac:dyDescent="0.3">
      <c r="A148">
        <v>9594784401</v>
      </c>
      <c r="B148" s="25">
        <v>45963.869259259256</v>
      </c>
      <c r="C148" s="13"/>
      <c r="D148" s="21" t="s">
        <v>1211</v>
      </c>
      <c r="E148" s="1" t="s">
        <v>23</v>
      </c>
      <c r="F148" s="1" t="s">
        <v>628</v>
      </c>
      <c r="G148" s="2">
        <v>9594784401</v>
      </c>
      <c r="H148" s="18" t="s">
        <v>1311</v>
      </c>
      <c r="I148" s="81">
        <v>45963.869259259256</v>
      </c>
      <c r="J148" t="b">
        <f t="shared" si="2"/>
        <v>0</v>
      </c>
    </row>
    <row r="149" spans="1:10" ht="15.75" hidden="1" thickBot="1" x14ac:dyDescent="0.3">
      <c r="A149">
        <v>9594929376</v>
      </c>
      <c r="B149" s="31">
        <v>45963.587951388887</v>
      </c>
      <c r="C149" s="22" t="s">
        <v>1290</v>
      </c>
      <c r="D149" s="22" t="s">
        <v>1024</v>
      </c>
      <c r="E149" s="22" t="s">
        <v>55</v>
      </c>
      <c r="F149" s="22" t="s">
        <v>120</v>
      </c>
      <c r="G149" s="24">
        <v>9594929376</v>
      </c>
      <c r="H149" s="14"/>
      <c r="I149" s="81">
        <v>45963.587951388887</v>
      </c>
      <c r="J149" t="b">
        <f t="shared" si="2"/>
        <v>0</v>
      </c>
    </row>
    <row r="150" spans="1:10" ht="15.75" hidden="1" thickBot="1" x14ac:dyDescent="0.3">
      <c r="A150">
        <v>9594936594</v>
      </c>
      <c r="B150" s="30">
        <v>45962.676562499997</v>
      </c>
      <c r="C150" s="21" t="s">
        <v>1241</v>
      </c>
      <c r="D150" s="21" t="s">
        <v>1010</v>
      </c>
      <c r="E150" s="21" t="s">
        <v>95</v>
      </c>
      <c r="F150" s="21" t="s">
        <v>141</v>
      </c>
      <c r="G150" s="23">
        <v>9594936594</v>
      </c>
      <c r="H150" s="17" t="s">
        <v>1252</v>
      </c>
      <c r="I150" s="81">
        <v>45962.676562499997</v>
      </c>
      <c r="J150" t="b">
        <f t="shared" si="2"/>
        <v>0</v>
      </c>
    </row>
    <row r="151" spans="1:10" ht="26.25" hidden="1" thickBot="1" x14ac:dyDescent="0.3">
      <c r="A151">
        <v>9619136378</v>
      </c>
      <c r="B151" s="31">
        <v>45962.623182870368</v>
      </c>
      <c r="C151" s="22" t="s">
        <v>1230</v>
      </c>
      <c r="D151" s="22" t="s">
        <v>1010</v>
      </c>
      <c r="E151" s="22" t="s">
        <v>83</v>
      </c>
      <c r="F151" s="22" t="s">
        <v>468</v>
      </c>
      <c r="G151" s="24">
        <v>9619136378</v>
      </c>
      <c r="H151" s="18" t="s">
        <v>1234</v>
      </c>
      <c r="I151" s="81">
        <v>45962.623182870368</v>
      </c>
      <c r="J151" t="b">
        <f t="shared" si="2"/>
        <v>0</v>
      </c>
    </row>
    <row r="152" spans="1:10" ht="15.75" hidden="1" thickBot="1" x14ac:dyDescent="0.3">
      <c r="A152">
        <v>9619190941</v>
      </c>
      <c r="B152" s="25">
        <v>45962.622384259259</v>
      </c>
      <c r="C152" s="1" t="s">
        <v>1230</v>
      </c>
      <c r="D152" s="1" t="s">
        <v>1010</v>
      </c>
      <c r="E152" s="1" t="s">
        <v>83</v>
      </c>
      <c r="F152" s="1" t="s">
        <v>373</v>
      </c>
      <c r="G152" s="2">
        <v>9619190941</v>
      </c>
      <c r="H152" s="18" t="s">
        <v>1234</v>
      </c>
      <c r="I152" s="81">
        <v>45962.622384259259</v>
      </c>
      <c r="J152" t="b">
        <f t="shared" si="2"/>
        <v>0</v>
      </c>
    </row>
    <row r="153" spans="1:10" ht="15.75" hidden="1" thickBot="1" x14ac:dyDescent="0.3">
      <c r="A153">
        <v>9619496390</v>
      </c>
      <c r="B153" s="85"/>
      <c r="C153" s="87"/>
      <c r="D153" s="21" t="s">
        <v>1211</v>
      </c>
      <c r="E153" s="87" t="s">
        <v>45</v>
      </c>
      <c r="F153" s="87" t="s">
        <v>401</v>
      </c>
      <c r="G153" s="87">
        <v>9619496390</v>
      </c>
      <c r="H153" s="89">
        <v>0</v>
      </c>
      <c r="I153" s="81">
        <v>45943.527395833335</v>
      </c>
      <c r="J153" t="b">
        <f t="shared" si="2"/>
        <v>0</v>
      </c>
    </row>
    <row r="154" spans="1:10" ht="26.25" hidden="1" thickBot="1" x14ac:dyDescent="0.3">
      <c r="A154">
        <v>9619499944</v>
      </c>
      <c r="B154" s="30">
        <v>45964.427233796298</v>
      </c>
      <c r="C154" s="19"/>
      <c r="D154" s="21" t="s">
        <v>1024</v>
      </c>
      <c r="E154" s="21" t="s">
        <v>1305</v>
      </c>
      <c r="F154" s="21" t="s">
        <v>502</v>
      </c>
      <c r="G154" s="23">
        <v>9619499944</v>
      </c>
      <c r="H154" s="16"/>
      <c r="I154" s="81">
        <v>45964.427233796298</v>
      </c>
      <c r="J154" t="b">
        <f t="shared" si="2"/>
        <v>0</v>
      </c>
    </row>
    <row r="155" spans="1:10" ht="15.75" thickBot="1" x14ac:dyDescent="0.3">
      <c r="A155">
        <v>9619537250</v>
      </c>
      <c r="B155" s="31">
        <v>45962.621458333335</v>
      </c>
      <c r="C155" s="22" t="s">
        <v>1230</v>
      </c>
      <c r="D155" s="21" t="s">
        <v>1217</v>
      </c>
      <c r="E155" s="22" t="s">
        <v>83</v>
      </c>
      <c r="F155" s="22" t="s">
        <v>278</v>
      </c>
      <c r="G155" s="24">
        <v>9619537250</v>
      </c>
      <c r="H155" s="18" t="s">
        <v>1232</v>
      </c>
      <c r="I155" s="81">
        <v>45962.621458333335</v>
      </c>
      <c r="J155" t="b">
        <f t="shared" si="2"/>
        <v>0</v>
      </c>
    </row>
    <row r="156" spans="1:10" ht="15.75" hidden="1" thickBot="1" x14ac:dyDescent="0.3">
      <c r="A156">
        <v>9664033466</v>
      </c>
      <c r="B156" s="84"/>
      <c r="C156" s="86"/>
      <c r="D156" s="86" t="s">
        <v>1024</v>
      </c>
      <c r="E156" s="86" t="s">
        <v>35</v>
      </c>
      <c r="F156" s="86" t="s">
        <v>729</v>
      </c>
      <c r="G156" s="86">
        <v>9664033466</v>
      </c>
      <c r="H156" s="89" t="s">
        <v>1034</v>
      </c>
      <c r="I156" s="81">
        <v>45949.476655092592</v>
      </c>
      <c r="J156" t="b">
        <f t="shared" si="2"/>
        <v>0</v>
      </c>
    </row>
    <row r="157" spans="1:10" ht="15.75" hidden="1" thickBot="1" x14ac:dyDescent="0.3">
      <c r="A157">
        <v>9664188608</v>
      </c>
      <c r="B157" s="26">
        <v>45962.766250000001</v>
      </c>
      <c r="C157" s="6" t="s">
        <v>1259</v>
      </c>
      <c r="D157" s="6" t="s">
        <v>1010</v>
      </c>
      <c r="E157" s="6" t="s">
        <v>797</v>
      </c>
      <c r="F157" s="6" t="s">
        <v>838</v>
      </c>
      <c r="G157" s="7">
        <v>9664188608</v>
      </c>
      <c r="H157" s="17" t="s">
        <v>1261</v>
      </c>
      <c r="I157" s="81">
        <v>45962.766250000001</v>
      </c>
      <c r="J157" t="b">
        <f t="shared" si="2"/>
        <v>0</v>
      </c>
    </row>
    <row r="158" spans="1:10" ht="15.75" hidden="1" thickBot="1" x14ac:dyDescent="0.3">
      <c r="A158">
        <v>9664467750</v>
      </c>
      <c r="B158" s="30">
        <v>45962.622986111113</v>
      </c>
      <c r="C158" s="21" t="s">
        <v>1230</v>
      </c>
      <c r="D158" s="21" t="s">
        <v>1211</v>
      </c>
      <c r="E158" s="21" t="s">
        <v>83</v>
      </c>
      <c r="F158" s="21" t="s">
        <v>611</v>
      </c>
      <c r="G158" s="23">
        <v>9664467750</v>
      </c>
      <c r="H158" s="17" t="s">
        <v>1236</v>
      </c>
      <c r="I158" s="81">
        <v>45962.622986111113</v>
      </c>
      <c r="J158" t="b">
        <f t="shared" si="2"/>
        <v>0</v>
      </c>
    </row>
    <row r="159" spans="1:10" ht="15.75" hidden="1" thickBot="1" x14ac:dyDescent="0.3">
      <c r="A159">
        <v>9699664643</v>
      </c>
      <c r="B159" s="85"/>
      <c r="C159" s="87"/>
      <c r="D159" s="21" t="s">
        <v>1211</v>
      </c>
      <c r="E159" s="87" t="s">
        <v>60</v>
      </c>
      <c r="F159" s="87" t="s">
        <v>266</v>
      </c>
      <c r="G159" s="87">
        <v>9699664643</v>
      </c>
      <c r="H159" s="89" t="s">
        <v>1122</v>
      </c>
      <c r="I159" s="81">
        <v>45959.385694444441</v>
      </c>
      <c r="J159" t="b">
        <f t="shared" si="2"/>
        <v>0</v>
      </c>
    </row>
    <row r="160" spans="1:10" ht="15.75" hidden="1" thickBot="1" x14ac:dyDescent="0.3">
      <c r="A160">
        <v>9702045640</v>
      </c>
      <c r="B160" s="84"/>
      <c r="C160" s="86"/>
      <c r="D160" s="86" t="s">
        <v>1010</v>
      </c>
      <c r="E160" s="86" t="s">
        <v>17</v>
      </c>
      <c r="F160" s="86" t="s">
        <v>672</v>
      </c>
      <c r="G160" s="86">
        <v>9702045640</v>
      </c>
      <c r="H160" s="89" t="s">
        <v>1026</v>
      </c>
      <c r="I160" s="81">
        <v>45942.661145833335</v>
      </c>
      <c r="J160" t="b">
        <f t="shared" si="2"/>
        <v>0</v>
      </c>
    </row>
    <row r="161" spans="1:10" ht="15.75" hidden="1" thickBot="1" x14ac:dyDescent="0.3">
      <c r="A161">
        <v>9702060911</v>
      </c>
      <c r="B161" s="85"/>
      <c r="C161" s="87"/>
      <c r="D161" s="22" t="s">
        <v>1225</v>
      </c>
      <c r="E161" s="87" t="s">
        <v>81</v>
      </c>
      <c r="F161" s="87" t="s">
        <v>562</v>
      </c>
      <c r="G161" s="87">
        <v>9702060911</v>
      </c>
      <c r="H161" s="89">
        <v>0</v>
      </c>
      <c r="I161" s="81">
        <v>45957.856724537036</v>
      </c>
      <c r="J161" t="b">
        <f t="shared" si="2"/>
        <v>0</v>
      </c>
    </row>
    <row r="162" spans="1:10" ht="26.25" hidden="1" thickBot="1" x14ac:dyDescent="0.3">
      <c r="A162">
        <v>9702088221</v>
      </c>
      <c r="B162" s="30">
        <v>45962.667569444442</v>
      </c>
      <c r="C162" s="21" t="s">
        <v>1241</v>
      </c>
      <c r="D162" s="21" t="s">
        <v>1211</v>
      </c>
      <c r="E162" s="21" t="s">
        <v>95</v>
      </c>
      <c r="F162" s="21" t="s">
        <v>712</v>
      </c>
      <c r="G162" s="23">
        <v>9702088221</v>
      </c>
      <c r="H162" s="17" t="s">
        <v>1246</v>
      </c>
      <c r="I162" s="81">
        <v>45962.667569444442</v>
      </c>
      <c r="J162" t="b">
        <f t="shared" si="2"/>
        <v>0</v>
      </c>
    </row>
    <row r="163" spans="1:10" ht="26.25" hidden="1" thickBot="1" x14ac:dyDescent="0.3">
      <c r="A163">
        <v>9702224535</v>
      </c>
      <c r="B163" s="31">
        <v>45962.481898148151</v>
      </c>
      <c r="C163" s="22" t="s">
        <v>1218</v>
      </c>
      <c r="D163" s="21" t="s">
        <v>1211</v>
      </c>
      <c r="E163" s="22" t="s">
        <v>1124</v>
      </c>
      <c r="F163" s="22" t="s">
        <v>571</v>
      </c>
      <c r="G163" s="24">
        <v>9702224535</v>
      </c>
      <c r="H163" s="18" t="s">
        <v>1219</v>
      </c>
      <c r="I163" s="81">
        <v>45962.481898148151</v>
      </c>
      <c r="J163" t="b">
        <f t="shared" si="2"/>
        <v>0</v>
      </c>
    </row>
    <row r="164" spans="1:10" ht="15.75" hidden="1" thickBot="1" x14ac:dyDescent="0.3">
      <c r="A164">
        <v>9702260383</v>
      </c>
      <c r="B164" s="30">
        <v>45962.768958333334</v>
      </c>
      <c r="C164" s="21" t="s">
        <v>1259</v>
      </c>
      <c r="D164" s="21" t="s">
        <v>1211</v>
      </c>
      <c r="E164" s="21" t="s">
        <v>797</v>
      </c>
      <c r="F164" s="21" t="s">
        <v>789</v>
      </c>
      <c r="G164" s="23">
        <v>9702260383</v>
      </c>
      <c r="H164" s="16"/>
      <c r="I164" s="81">
        <v>45962.768958333334</v>
      </c>
      <c r="J164" t="b">
        <f t="shared" si="2"/>
        <v>0</v>
      </c>
    </row>
    <row r="165" spans="1:10" ht="15.75" hidden="1" thickBot="1" x14ac:dyDescent="0.3">
      <c r="A165">
        <v>9702292855</v>
      </c>
      <c r="B165" s="31">
        <v>45962.574525462966</v>
      </c>
      <c r="C165" s="22" t="s">
        <v>1222</v>
      </c>
      <c r="D165" s="21" t="s">
        <v>1211</v>
      </c>
      <c r="E165" s="22" t="s">
        <v>41</v>
      </c>
      <c r="F165" s="22" t="s">
        <v>209</v>
      </c>
      <c r="G165" s="24">
        <v>9702292855</v>
      </c>
      <c r="H165" s="14"/>
      <c r="I165" s="81">
        <v>45962.574525462966</v>
      </c>
      <c r="J165" t="b">
        <f t="shared" si="2"/>
        <v>0</v>
      </c>
    </row>
    <row r="166" spans="1:10" ht="15.75" thickBot="1" x14ac:dyDescent="0.3">
      <c r="A166">
        <v>9702497024</v>
      </c>
      <c r="B166" s="84"/>
      <c r="C166" s="86"/>
      <c r="D166" s="21" t="s">
        <v>1217</v>
      </c>
      <c r="E166" s="86" t="s">
        <v>33</v>
      </c>
      <c r="F166" s="86" t="s">
        <v>395</v>
      </c>
      <c r="G166" s="86">
        <v>9702497024</v>
      </c>
      <c r="H166" s="89" t="s">
        <v>1046</v>
      </c>
      <c r="I166" s="81">
        <v>45957.897685185184</v>
      </c>
      <c r="J166" t="b">
        <f t="shared" si="2"/>
        <v>0</v>
      </c>
    </row>
    <row r="167" spans="1:10" ht="15.75" thickBot="1" x14ac:dyDescent="0.3">
      <c r="A167">
        <v>9702512632</v>
      </c>
      <c r="B167" s="31">
        <v>45964.525763888887</v>
      </c>
      <c r="C167" s="20"/>
      <c r="D167" s="21" t="s">
        <v>1217</v>
      </c>
      <c r="E167" s="22" t="s">
        <v>11</v>
      </c>
      <c r="F167" s="22" t="s">
        <v>337</v>
      </c>
      <c r="G167" s="24">
        <v>9702512632</v>
      </c>
      <c r="H167" s="18" t="s">
        <v>1332</v>
      </c>
      <c r="I167" s="81">
        <v>45964.525763888887</v>
      </c>
      <c r="J167" t="b">
        <f t="shared" si="2"/>
        <v>0</v>
      </c>
    </row>
    <row r="168" spans="1:10" ht="15.75" thickBot="1" x14ac:dyDescent="0.3">
      <c r="A168">
        <v>9702733311</v>
      </c>
      <c r="B168" s="30">
        <v>45962.623310185183</v>
      </c>
      <c r="C168" s="21" t="s">
        <v>1230</v>
      </c>
      <c r="D168" s="21" t="s">
        <v>1217</v>
      </c>
      <c r="E168" s="21" t="s">
        <v>83</v>
      </c>
      <c r="F168" s="21" t="s">
        <v>515</v>
      </c>
      <c r="G168" s="23">
        <v>9702733311</v>
      </c>
      <c r="H168" s="16"/>
      <c r="I168" s="81">
        <v>45962.623310185183</v>
      </c>
      <c r="J168" t="b">
        <f t="shared" si="2"/>
        <v>0</v>
      </c>
    </row>
    <row r="169" spans="1:10" ht="15.75" hidden="1" thickBot="1" x14ac:dyDescent="0.3">
      <c r="A169">
        <v>9757272073</v>
      </c>
      <c r="B169" s="85"/>
      <c r="C169" s="87"/>
      <c r="D169" s="22" t="s">
        <v>1225</v>
      </c>
      <c r="E169" s="87" t="s">
        <v>789</v>
      </c>
      <c r="F169" s="87" t="s">
        <v>819</v>
      </c>
      <c r="G169" s="87">
        <v>9757272073</v>
      </c>
      <c r="H169" s="89">
        <v>0</v>
      </c>
      <c r="I169" s="81">
        <v>45957.922199074077</v>
      </c>
      <c r="J169" t="b">
        <f t="shared" si="2"/>
        <v>0</v>
      </c>
    </row>
    <row r="170" spans="1:10" ht="26.25" hidden="1" thickBot="1" x14ac:dyDescent="0.3">
      <c r="A170">
        <v>9764005162</v>
      </c>
      <c r="B170" s="25">
        <v>45963.676180555558</v>
      </c>
      <c r="C170" s="1" t="s">
        <v>1300</v>
      </c>
      <c r="D170" s="21" t="s">
        <v>1211</v>
      </c>
      <c r="E170" s="1" t="s">
        <v>62</v>
      </c>
      <c r="F170" s="1" t="s">
        <v>267</v>
      </c>
      <c r="G170" s="2">
        <v>9764005162</v>
      </c>
      <c r="H170" s="18" t="s">
        <v>1301</v>
      </c>
      <c r="I170" s="81">
        <v>45963.676180555558</v>
      </c>
      <c r="J170" t="b">
        <f t="shared" si="2"/>
        <v>0</v>
      </c>
    </row>
    <row r="171" spans="1:10" ht="15.75" hidden="1" thickBot="1" x14ac:dyDescent="0.3">
      <c r="A171">
        <v>9768131767</v>
      </c>
      <c r="B171" s="85"/>
      <c r="C171" s="87"/>
      <c r="D171" s="21" t="s">
        <v>1211</v>
      </c>
      <c r="E171" s="87" t="s">
        <v>47</v>
      </c>
      <c r="F171" s="87" t="s">
        <v>164</v>
      </c>
      <c r="G171" s="87">
        <v>9768131767</v>
      </c>
      <c r="H171" s="89">
        <v>0</v>
      </c>
      <c r="I171" s="81">
        <v>45941.577048611114</v>
      </c>
      <c r="J171" t="b">
        <f t="shared" si="2"/>
        <v>0</v>
      </c>
    </row>
    <row r="172" spans="1:10" ht="15.75" hidden="1" thickBot="1" x14ac:dyDescent="0.3">
      <c r="A172">
        <v>9768245456</v>
      </c>
      <c r="B172" s="25">
        <v>45962.620983796296</v>
      </c>
      <c r="C172" s="1" t="s">
        <v>1230</v>
      </c>
      <c r="D172" s="1" t="s">
        <v>1010</v>
      </c>
      <c r="E172" s="1" t="s">
        <v>83</v>
      </c>
      <c r="F172" s="1" t="s">
        <v>135</v>
      </c>
      <c r="G172" s="2">
        <v>9768245456</v>
      </c>
      <c r="H172" s="14"/>
      <c r="I172" s="81">
        <v>45962.620983796296</v>
      </c>
      <c r="J172" t="b">
        <f t="shared" si="2"/>
        <v>0</v>
      </c>
    </row>
    <row r="173" spans="1:10" ht="26.25" thickBot="1" x14ac:dyDescent="0.3">
      <c r="A173">
        <v>9768532064</v>
      </c>
      <c r="B173" s="26">
        <v>45962.664733796293</v>
      </c>
      <c r="C173" s="6" t="s">
        <v>1241</v>
      </c>
      <c r="D173" s="21" t="s">
        <v>1217</v>
      </c>
      <c r="E173" s="6" t="s">
        <v>95</v>
      </c>
      <c r="F173" s="6" t="s">
        <v>474</v>
      </c>
      <c r="G173" s="7">
        <v>9768532064</v>
      </c>
      <c r="H173" s="17" t="s">
        <v>1244</v>
      </c>
      <c r="I173" s="81">
        <v>45962.664733796293</v>
      </c>
      <c r="J173" t="b">
        <f t="shared" si="2"/>
        <v>0</v>
      </c>
    </row>
    <row r="174" spans="1:10" ht="15.75" hidden="1" thickBot="1" x14ac:dyDescent="0.3">
      <c r="A174">
        <v>9769166643</v>
      </c>
      <c r="B174" s="84"/>
      <c r="C174" s="86"/>
      <c r="D174" s="86" t="s">
        <v>1010</v>
      </c>
      <c r="E174" s="86" t="s">
        <v>49</v>
      </c>
      <c r="F174" s="86" t="s">
        <v>213</v>
      </c>
      <c r="G174" s="86">
        <v>9769166643</v>
      </c>
      <c r="H174" s="89">
        <v>0</v>
      </c>
      <c r="I174" s="81">
        <v>45956.508298611108</v>
      </c>
      <c r="J174" t="b">
        <f t="shared" si="2"/>
        <v>0</v>
      </c>
    </row>
    <row r="175" spans="1:10" ht="15.75" hidden="1" thickBot="1" x14ac:dyDescent="0.3">
      <c r="A175">
        <v>9769373893</v>
      </c>
      <c r="B175" s="26">
        <v>45962.577280092592</v>
      </c>
      <c r="C175" s="6" t="s">
        <v>1163</v>
      </c>
      <c r="D175" s="21" t="s">
        <v>1211</v>
      </c>
      <c r="E175" s="6" t="s">
        <v>31</v>
      </c>
      <c r="F175" s="6" t="s">
        <v>204</v>
      </c>
      <c r="G175" s="7">
        <v>9769373893</v>
      </c>
      <c r="H175" s="16"/>
      <c r="I175" s="81">
        <v>45962.577280092592</v>
      </c>
      <c r="J175" t="b">
        <f t="shared" si="2"/>
        <v>0</v>
      </c>
    </row>
    <row r="176" spans="1:10" ht="15.75" thickBot="1" x14ac:dyDescent="0.3">
      <c r="A176">
        <v>9769422928</v>
      </c>
      <c r="B176" s="30">
        <v>45963.876064814816</v>
      </c>
      <c r="C176" s="19"/>
      <c r="D176" s="21" t="s">
        <v>1217</v>
      </c>
      <c r="E176" s="21" t="s">
        <v>47</v>
      </c>
      <c r="F176" s="21" t="s">
        <v>116</v>
      </c>
      <c r="G176" s="23">
        <v>9769422928</v>
      </c>
      <c r="H176" s="16"/>
      <c r="I176" s="81">
        <v>45963.876064814816</v>
      </c>
      <c r="J176" t="b">
        <f t="shared" si="2"/>
        <v>0</v>
      </c>
    </row>
    <row r="177" spans="1:10" ht="15.75" hidden="1" thickBot="1" x14ac:dyDescent="0.3">
      <c r="A177">
        <v>9769859980</v>
      </c>
      <c r="B177" s="26">
        <v>45962.769733796296</v>
      </c>
      <c r="C177" s="6" t="s">
        <v>1259</v>
      </c>
      <c r="D177" s="6" t="s">
        <v>1024</v>
      </c>
      <c r="E177" s="6" t="s">
        <v>797</v>
      </c>
      <c r="F177" s="6" t="s">
        <v>975</v>
      </c>
      <c r="G177" s="7">
        <v>9769859980</v>
      </c>
      <c r="H177" s="16"/>
      <c r="I177" s="81">
        <v>45962.769733796296</v>
      </c>
      <c r="J177" t="b">
        <f t="shared" si="2"/>
        <v>0</v>
      </c>
    </row>
    <row r="178" spans="1:10" ht="26.25" hidden="1" thickBot="1" x14ac:dyDescent="0.3">
      <c r="A178">
        <v>9815222337</v>
      </c>
      <c r="B178" s="25">
        <v>45962.676053240742</v>
      </c>
      <c r="C178" s="1" t="s">
        <v>1058</v>
      </c>
      <c r="D178" s="1" t="s">
        <v>1010</v>
      </c>
      <c r="E178" s="1" t="s">
        <v>35</v>
      </c>
      <c r="F178" s="1" t="s">
        <v>777</v>
      </c>
      <c r="G178" s="2">
        <v>9815222337</v>
      </c>
      <c r="H178" s="18" t="s">
        <v>1253</v>
      </c>
      <c r="I178" s="81">
        <v>45962.676053240742</v>
      </c>
      <c r="J178" t="b">
        <f t="shared" si="2"/>
        <v>0</v>
      </c>
    </row>
    <row r="179" spans="1:10" ht="15.75" hidden="1" thickBot="1" x14ac:dyDescent="0.3">
      <c r="A179">
        <v>9819064004</v>
      </c>
      <c r="B179" s="85"/>
      <c r="C179" s="87"/>
      <c r="D179" s="87" t="s">
        <v>1010</v>
      </c>
      <c r="E179" s="87" t="s">
        <v>72</v>
      </c>
      <c r="F179" s="87" t="s">
        <v>652</v>
      </c>
      <c r="G179" s="87">
        <v>9819064004</v>
      </c>
      <c r="H179" s="89" t="s">
        <v>1032</v>
      </c>
      <c r="I179" s="81">
        <v>45946.845462962963</v>
      </c>
      <c r="J179" t="b">
        <f t="shared" si="2"/>
        <v>0</v>
      </c>
    </row>
    <row r="180" spans="1:10" ht="15.75" hidden="1" thickBot="1" x14ac:dyDescent="0.3">
      <c r="A180">
        <v>9819086999</v>
      </c>
      <c r="B180" s="84"/>
      <c r="C180" s="86"/>
      <c r="D180" s="86" t="s">
        <v>1024</v>
      </c>
      <c r="E180" s="86" t="s">
        <v>789</v>
      </c>
      <c r="F180" s="86" t="s">
        <v>834</v>
      </c>
      <c r="G180" s="86">
        <v>9819086999</v>
      </c>
      <c r="H180" s="89">
        <v>0</v>
      </c>
      <c r="I180" s="81">
        <v>45957.920659722222</v>
      </c>
      <c r="J180" t="b">
        <f t="shared" si="2"/>
        <v>0</v>
      </c>
    </row>
    <row r="181" spans="1:10" ht="15.75" hidden="1" thickBot="1" x14ac:dyDescent="0.3">
      <c r="A181">
        <v>9819141611</v>
      </c>
      <c r="B181" s="26">
        <v>45963.585763888892</v>
      </c>
      <c r="C181" s="6" t="s">
        <v>1290</v>
      </c>
      <c r="D181" s="6" t="s">
        <v>1010</v>
      </c>
      <c r="E181" s="6" t="s">
        <v>55</v>
      </c>
      <c r="F181" s="6" t="s">
        <v>548</v>
      </c>
      <c r="G181" s="7">
        <v>9819141611</v>
      </c>
      <c r="H181" s="17" t="s">
        <v>1294</v>
      </c>
      <c r="I181" s="81">
        <v>45963.585763888892</v>
      </c>
      <c r="J181" t="b">
        <f t="shared" si="2"/>
        <v>0</v>
      </c>
    </row>
    <row r="182" spans="1:10" ht="15.75" hidden="1" thickBot="1" x14ac:dyDescent="0.3">
      <c r="A182">
        <v>9819199907</v>
      </c>
      <c r="B182" s="84"/>
      <c r="C182" s="86"/>
      <c r="D182" s="86" t="s">
        <v>1010</v>
      </c>
      <c r="E182" s="86" t="s">
        <v>45</v>
      </c>
      <c r="F182" s="86" t="s">
        <v>543</v>
      </c>
      <c r="G182" s="86">
        <v>9819199907</v>
      </c>
      <c r="H182" s="89">
        <v>0</v>
      </c>
      <c r="I182" s="81">
        <v>45944.771886574075</v>
      </c>
      <c r="J182" t="b">
        <f t="shared" si="2"/>
        <v>0</v>
      </c>
    </row>
    <row r="183" spans="1:10" ht="15.75" thickBot="1" x14ac:dyDescent="0.3">
      <c r="A183">
        <v>9819249666</v>
      </c>
      <c r="B183" s="26">
        <v>45964.013101851851</v>
      </c>
      <c r="C183" s="15"/>
      <c r="D183" s="21" t="s">
        <v>1217</v>
      </c>
      <c r="E183" s="6" t="s">
        <v>1306</v>
      </c>
      <c r="F183" s="6" t="s">
        <v>923</v>
      </c>
      <c r="G183" s="7">
        <v>9819249666</v>
      </c>
      <c r="H183" s="16"/>
      <c r="I183" s="81">
        <v>45964.013101851851</v>
      </c>
      <c r="J183" t="b">
        <f t="shared" si="2"/>
        <v>0</v>
      </c>
    </row>
    <row r="184" spans="1:10" ht="15.75" thickBot="1" x14ac:dyDescent="0.3">
      <c r="A184">
        <v>9819286245</v>
      </c>
      <c r="B184" s="30">
        <v>45964.526087962964</v>
      </c>
      <c r="C184" s="19"/>
      <c r="D184" s="21" t="s">
        <v>1217</v>
      </c>
      <c r="E184" s="21" t="s">
        <v>11</v>
      </c>
      <c r="F184" s="21" t="s">
        <v>194</v>
      </c>
      <c r="G184" s="23">
        <v>9819286245</v>
      </c>
      <c r="H184" s="17" t="s">
        <v>1333</v>
      </c>
      <c r="I184" s="81">
        <v>45964.526087962964</v>
      </c>
      <c r="J184" t="b">
        <f t="shared" si="2"/>
        <v>0</v>
      </c>
    </row>
    <row r="185" spans="1:10" ht="15.75" hidden="1" thickBot="1" x14ac:dyDescent="0.3">
      <c r="A185">
        <v>9819332481</v>
      </c>
      <c r="B185" s="31">
        <v>45962.671805555554</v>
      </c>
      <c r="C185" s="22" t="s">
        <v>1241</v>
      </c>
      <c r="D185" s="22" t="s">
        <v>1010</v>
      </c>
      <c r="E185" s="22" t="s">
        <v>95</v>
      </c>
      <c r="F185" s="22" t="s">
        <v>189</v>
      </c>
      <c r="G185" s="24">
        <v>9819332481</v>
      </c>
      <c r="H185" s="18" t="s">
        <v>1248</v>
      </c>
      <c r="I185" s="81">
        <v>45962.671805555554</v>
      </c>
      <c r="J185" t="b">
        <f t="shared" si="2"/>
        <v>0</v>
      </c>
    </row>
    <row r="186" spans="1:10" ht="15.75" hidden="1" thickBot="1" x14ac:dyDescent="0.3">
      <c r="A186">
        <v>9819345040</v>
      </c>
      <c r="B186" s="84"/>
      <c r="C186" s="86"/>
      <c r="D186" s="86" t="s">
        <v>1024</v>
      </c>
      <c r="E186" s="86" t="s">
        <v>60</v>
      </c>
      <c r="F186" s="86" t="s">
        <v>61</v>
      </c>
      <c r="G186" s="86">
        <v>9819345040</v>
      </c>
      <c r="H186" s="89" t="s">
        <v>1121</v>
      </c>
      <c r="I186" s="81">
        <v>45959.3827662037</v>
      </c>
      <c r="J186" t="b">
        <f t="shared" si="2"/>
        <v>0</v>
      </c>
    </row>
    <row r="187" spans="1:10" ht="15.75" hidden="1" thickBot="1" x14ac:dyDescent="0.3">
      <c r="A187">
        <v>9819364345</v>
      </c>
      <c r="B187" s="85"/>
      <c r="C187" s="87"/>
      <c r="D187" s="21" t="s">
        <v>1211</v>
      </c>
      <c r="E187" s="87" t="s">
        <v>29</v>
      </c>
      <c r="F187" s="87" t="s">
        <v>29</v>
      </c>
      <c r="G187" s="87">
        <v>9819364345</v>
      </c>
      <c r="H187" s="89">
        <v>0</v>
      </c>
      <c r="I187" s="81">
        <v>45941.560914351852</v>
      </c>
      <c r="J187" t="b">
        <f t="shared" si="2"/>
        <v>0</v>
      </c>
    </row>
    <row r="188" spans="1:10" ht="15.75" thickBot="1" x14ac:dyDescent="0.3">
      <c r="A188">
        <v>9819383377</v>
      </c>
      <c r="B188" s="84"/>
      <c r="C188" s="86"/>
      <c r="D188" s="21" t="s">
        <v>1217</v>
      </c>
      <c r="E188" s="86" t="s">
        <v>72</v>
      </c>
      <c r="F188" s="86" t="s">
        <v>73</v>
      </c>
      <c r="G188" s="86">
        <v>9819383377</v>
      </c>
      <c r="H188" s="89">
        <v>0</v>
      </c>
      <c r="I188" s="81">
        <v>45956.621203703704</v>
      </c>
      <c r="J188" t="b">
        <f t="shared" si="2"/>
        <v>0</v>
      </c>
    </row>
    <row r="189" spans="1:10" ht="15.75" thickBot="1" x14ac:dyDescent="0.3">
      <c r="A189">
        <v>9819408854</v>
      </c>
      <c r="B189" s="31">
        <v>45964.01394675926</v>
      </c>
      <c r="C189" s="20"/>
      <c r="D189" s="21" t="s">
        <v>1217</v>
      </c>
      <c r="E189" s="22" t="s">
        <v>1306</v>
      </c>
      <c r="F189" s="22" t="s">
        <v>987</v>
      </c>
      <c r="G189" s="24">
        <v>9819408854</v>
      </c>
      <c r="H189" s="14"/>
      <c r="I189" s="81">
        <v>45964.01394675926</v>
      </c>
      <c r="J189" t="b">
        <f t="shared" si="2"/>
        <v>0</v>
      </c>
    </row>
    <row r="190" spans="1:10" ht="15.75" hidden="1" thickBot="1" x14ac:dyDescent="0.3">
      <c r="A190">
        <v>9819421252</v>
      </c>
      <c r="B190" s="84"/>
      <c r="C190" s="86"/>
      <c r="D190" s="21" t="s">
        <v>1211</v>
      </c>
      <c r="E190" s="86" t="s">
        <v>62</v>
      </c>
      <c r="F190" s="86" t="s">
        <v>172</v>
      </c>
      <c r="G190" s="86">
        <v>9819421252</v>
      </c>
      <c r="H190" s="89">
        <v>0</v>
      </c>
      <c r="I190" s="81">
        <v>45938.356203703705</v>
      </c>
      <c r="J190" t="b">
        <f t="shared" si="2"/>
        <v>0</v>
      </c>
    </row>
    <row r="191" spans="1:10" ht="26.25" hidden="1" thickBot="1" x14ac:dyDescent="0.3">
      <c r="A191">
        <v>9819424430</v>
      </c>
      <c r="B191" s="31">
        <v>45963.589386574073</v>
      </c>
      <c r="C191" s="22" t="s">
        <v>1290</v>
      </c>
      <c r="D191" s="21" t="s">
        <v>1211</v>
      </c>
      <c r="E191" s="22" t="s">
        <v>55</v>
      </c>
      <c r="F191" s="22" t="s">
        <v>500</v>
      </c>
      <c r="G191" s="24">
        <v>9819424430</v>
      </c>
      <c r="H191" s="14"/>
      <c r="I191" s="81">
        <v>45963.589386574073</v>
      </c>
      <c r="J191" t="b">
        <f t="shared" si="2"/>
        <v>0</v>
      </c>
    </row>
    <row r="192" spans="1:10" ht="15.75" hidden="1" thickBot="1" x14ac:dyDescent="0.3">
      <c r="A192">
        <v>9819442861</v>
      </c>
      <c r="B192" s="84"/>
      <c r="C192" s="86"/>
      <c r="D192" s="21" t="s">
        <v>1211</v>
      </c>
      <c r="E192" s="86" t="s">
        <v>49</v>
      </c>
      <c r="F192" s="86" t="s">
        <v>356</v>
      </c>
      <c r="G192" s="86">
        <v>9819442861</v>
      </c>
      <c r="H192" s="89">
        <v>0</v>
      </c>
      <c r="I192" s="81">
        <v>45956.517141203702</v>
      </c>
      <c r="J192" t="b">
        <f t="shared" si="2"/>
        <v>0</v>
      </c>
    </row>
    <row r="193" spans="1:10" ht="15.75" thickBot="1" x14ac:dyDescent="0.3">
      <c r="A193">
        <v>9819461122</v>
      </c>
      <c r="B193" s="26">
        <v>45962.483923611115</v>
      </c>
      <c r="C193" s="6" t="s">
        <v>1220</v>
      </c>
      <c r="D193" s="21" t="s">
        <v>1217</v>
      </c>
      <c r="E193" s="6" t="s">
        <v>57</v>
      </c>
      <c r="F193" s="6" t="s">
        <v>692</v>
      </c>
      <c r="G193" s="7">
        <v>9819461122</v>
      </c>
      <c r="H193" s="17" t="s">
        <v>1221</v>
      </c>
      <c r="I193" s="81">
        <v>45962.483923611115</v>
      </c>
      <c r="J193" t="b">
        <f t="shared" si="2"/>
        <v>0</v>
      </c>
    </row>
    <row r="194" spans="1:10" ht="15.75" hidden="1" thickBot="1" x14ac:dyDescent="0.3">
      <c r="A194">
        <v>9819514056</v>
      </c>
      <c r="B194" s="25">
        <v>45964.41915509259</v>
      </c>
      <c r="C194" s="13"/>
      <c r="D194" s="1" t="s">
        <v>1010</v>
      </c>
      <c r="E194" s="1" t="s">
        <v>1305</v>
      </c>
      <c r="F194" s="1" t="s">
        <v>645</v>
      </c>
      <c r="G194" s="2">
        <v>9819514056</v>
      </c>
      <c r="H194" s="14"/>
      <c r="I194" s="81">
        <v>45964.41915509259</v>
      </c>
      <c r="J194" t="b">
        <f t="shared" si="2"/>
        <v>0</v>
      </c>
    </row>
    <row r="195" spans="1:10" ht="15.75" hidden="1" thickBot="1" x14ac:dyDescent="0.3">
      <c r="A195">
        <v>9819578232</v>
      </c>
      <c r="B195" s="30">
        <v>45961.914930555555</v>
      </c>
      <c r="C195" s="21" t="s">
        <v>1210</v>
      </c>
      <c r="D195" s="21" t="s">
        <v>1211</v>
      </c>
      <c r="E195" s="21" t="s">
        <v>33</v>
      </c>
      <c r="F195" s="21" t="s">
        <v>442</v>
      </c>
      <c r="G195" s="23">
        <v>9819578232</v>
      </c>
      <c r="H195" s="17" t="s">
        <v>1213</v>
      </c>
      <c r="I195" s="81">
        <v>45961.914930555555</v>
      </c>
      <c r="J195" t="b">
        <f t="shared" si="2"/>
        <v>0</v>
      </c>
    </row>
    <row r="196" spans="1:10" ht="15.75" hidden="1" thickBot="1" x14ac:dyDescent="0.3">
      <c r="A196">
        <v>9819621190</v>
      </c>
      <c r="B196" s="26">
        <v>45963.434583333335</v>
      </c>
      <c r="C196" s="6" t="s">
        <v>1266</v>
      </c>
      <c r="D196" s="21" t="s">
        <v>1211</v>
      </c>
      <c r="E196" s="6" t="s">
        <v>12</v>
      </c>
      <c r="F196" s="6" t="s">
        <v>322</v>
      </c>
      <c r="G196" s="7">
        <v>9819621190</v>
      </c>
      <c r="H196" s="16"/>
      <c r="I196" s="81">
        <v>45963.434583333335</v>
      </c>
      <c r="J196" t="b">
        <f t="shared" ref="J196:J259" si="3">G195=G196</f>
        <v>0</v>
      </c>
    </row>
    <row r="197" spans="1:10" ht="51.75" hidden="1" thickBot="1" x14ac:dyDescent="0.3">
      <c r="A197">
        <v>9819700400</v>
      </c>
      <c r="B197" s="25">
        <v>45962.661979166667</v>
      </c>
      <c r="C197" s="1" t="s">
        <v>1241</v>
      </c>
      <c r="D197" s="21" t="s">
        <v>1211</v>
      </c>
      <c r="E197" s="1" t="s">
        <v>95</v>
      </c>
      <c r="F197" s="1" t="s">
        <v>332</v>
      </c>
      <c r="G197" s="2">
        <v>9819700400</v>
      </c>
      <c r="H197" s="18" t="s">
        <v>1243</v>
      </c>
      <c r="I197" s="81">
        <v>45962.661979166667</v>
      </c>
      <c r="J197" t="b">
        <f t="shared" si="3"/>
        <v>0</v>
      </c>
    </row>
    <row r="198" spans="1:10" ht="15.75" hidden="1" thickBot="1" x14ac:dyDescent="0.3">
      <c r="A198">
        <v>9819758430</v>
      </c>
      <c r="B198" s="26">
        <v>45963.428854166668</v>
      </c>
      <c r="C198" s="6" t="s">
        <v>1220</v>
      </c>
      <c r="D198" s="21" t="s">
        <v>1211</v>
      </c>
      <c r="E198" s="6" t="s">
        <v>57</v>
      </c>
      <c r="F198" s="6" t="s">
        <v>359</v>
      </c>
      <c r="G198" s="7">
        <v>9819758430</v>
      </c>
      <c r="H198" s="17" t="s">
        <v>1265</v>
      </c>
      <c r="I198" s="81">
        <v>45963.428854166668</v>
      </c>
      <c r="J198" t="b">
        <f t="shared" si="3"/>
        <v>0</v>
      </c>
    </row>
    <row r="199" spans="1:10" ht="26.25" hidden="1" thickBot="1" x14ac:dyDescent="0.3">
      <c r="A199">
        <v>9819781909</v>
      </c>
      <c r="B199" s="30">
        <v>45964.725023148145</v>
      </c>
      <c r="C199" s="19"/>
      <c r="D199" s="21" t="s">
        <v>1211</v>
      </c>
      <c r="E199" s="21" t="s">
        <v>805</v>
      </c>
      <c r="F199" s="21" t="s">
        <v>885</v>
      </c>
      <c r="G199" s="23">
        <v>9819781909</v>
      </c>
      <c r="H199" s="17" t="s">
        <v>1334</v>
      </c>
      <c r="I199" s="81">
        <v>45964.725023148145</v>
      </c>
      <c r="J199" t="b">
        <f t="shared" si="3"/>
        <v>0</v>
      </c>
    </row>
    <row r="200" spans="1:10" ht="26.25" hidden="1" thickBot="1" x14ac:dyDescent="0.3">
      <c r="A200">
        <v>9819789523</v>
      </c>
      <c r="B200" s="26">
        <v>45962.57885416667</v>
      </c>
      <c r="C200" s="6" t="s">
        <v>1163</v>
      </c>
      <c r="D200" s="21" t="s">
        <v>1211</v>
      </c>
      <c r="E200" s="6" t="s">
        <v>31</v>
      </c>
      <c r="F200" s="6" t="s">
        <v>32</v>
      </c>
      <c r="G200" s="7">
        <v>9819789523</v>
      </c>
      <c r="H200" s="16"/>
      <c r="I200" s="81">
        <v>45962.57885416667</v>
      </c>
      <c r="J200" t="b">
        <f t="shared" si="3"/>
        <v>0</v>
      </c>
    </row>
    <row r="201" spans="1:10" ht="15.75" hidden="1" thickBot="1" x14ac:dyDescent="0.3">
      <c r="A201">
        <v>9819802826</v>
      </c>
      <c r="B201" s="25">
        <v>45963.538356481484</v>
      </c>
      <c r="C201" s="1" t="s">
        <v>1281</v>
      </c>
      <c r="D201" s="1" t="s">
        <v>1010</v>
      </c>
      <c r="E201" s="1" t="s">
        <v>70</v>
      </c>
      <c r="F201" s="1" t="s">
        <v>604</v>
      </c>
      <c r="G201" s="2">
        <v>9819802826</v>
      </c>
      <c r="H201" s="18" t="s">
        <v>1287</v>
      </c>
      <c r="I201" s="81">
        <v>45963.538356481484</v>
      </c>
      <c r="J201" t="b">
        <f t="shared" si="3"/>
        <v>0</v>
      </c>
    </row>
    <row r="202" spans="1:10" ht="15.75" hidden="1" thickBot="1" x14ac:dyDescent="0.3">
      <c r="A202">
        <v>9819884085</v>
      </c>
      <c r="B202" s="26">
        <v>45963.499236111114</v>
      </c>
      <c r="C202" s="6" t="s">
        <v>1257</v>
      </c>
      <c r="D202" s="6" t="s">
        <v>1010</v>
      </c>
      <c r="E202" s="6" t="s">
        <v>60</v>
      </c>
      <c r="F202" s="6" t="s">
        <v>314</v>
      </c>
      <c r="G202" s="7">
        <v>9819884085</v>
      </c>
      <c r="H202" s="17" t="s">
        <v>1277</v>
      </c>
      <c r="I202" s="81">
        <v>45963.499236111114</v>
      </c>
      <c r="J202" t="b">
        <f t="shared" si="3"/>
        <v>0</v>
      </c>
    </row>
    <row r="203" spans="1:10" ht="15.75" thickBot="1" x14ac:dyDescent="0.3">
      <c r="A203">
        <v>9819920011</v>
      </c>
      <c r="B203" s="25">
        <v>45963.851550925923</v>
      </c>
      <c r="C203" s="1" t="s">
        <v>1266</v>
      </c>
      <c r="D203" s="21" t="s">
        <v>1217</v>
      </c>
      <c r="E203" s="1" t="s">
        <v>12</v>
      </c>
      <c r="F203" s="1" t="s">
        <v>76</v>
      </c>
      <c r="G203" s="2">
        <v>9819920011</v>
      </c>
      <c r="H203" s="14"/>
      <c r="I203" s="81">
        <v>45963.851550925923</v>
      </c>
      <c r="J203" t="b">
        <f t="shared" si="3"/>
        <v>0</v>
      </c>
    </row>
    <row r="204" spans="1:10" ht="26.25" hidden="1" thickBot="1" x14ac:dyDescent="0.3">
      <c r="A204">
        <v>9819929206</v>
      </c>
      <c r="B204" s="30">
        <v>45963.643518518518</v>
      </c>
      <c r="C204" s="21" t="s">
        <v>1298</v>
      </c>
      <c r="D204" s="22" t="s">
        <v>1225</v>
      </c>
      <c r="E204" s="21" t="s">
        <v>1299</v>
      </c>
      <c r="F204" s="21" t="s">
        <v>911</v>
      </c>
      <c r="G204" s="23">
        <v>9819929206</v>
      </c>
      <c r="H204" s="16"/>
      <c r="I204" s="81">
        <v>45963.643518518518</v>
      </c>
      <c r="J204" t="b">
        <f t="shared" si="3"/>
        <v>0</v>
      </c>
    </row>
    <row r="205" spans="1:10" ht="15.75" hidden="1" thickBot="1" x14ac:dyDescent="0.3">
      <c r="A205">
        <v>9820001618</v>
      </c>
      <c r="B205" s="85"/>
      <c r="C205" s="87"/>
      <c r="D205" s="21" t="s">
        <v>1211</v>
      </c>
      <c r="E205" s="87" t="s">
        <v>43</v>
      </c>
      <c r="F205" s="87" t="s">
        <v>114</v>
      </c>
      <c r="G205" s="87">
        <v>9820001618</v>
      </c>
      <c r="H205" s="89" t="s">
        <v>1114</v>
      </c>
      <c r="I205" s="81">
        <v>45958.880509259259</v>
      </c>
      <c r="J205" t="b">
        <f t="shared" si="3"/>
        <v>0</v>
      </c>
    </row>
    <row r="206" spans="1:10" ht="15.75" thickBot="1" x14ac:dyDescent="0.3">
      <c r="A206">
        <v>9820027895</v>
      </c>
      <c r="B206" s="30">
        <v>45962.699212962965</v>
      </c>
      <c r="C206" s="21" t="s">
        <v>1257</v>
      </c>
      <c r="D206" s="21" t="s">
        <v>1217</v>
      </c>
      <c r="E206" s="21" t="s">
        <v>60</v>
      </c>
      <c r="F206" s="21" t="s">
        <v>694</v>
      </c>
      <c r="G206" s="23">
        <v>9820027895</v>
      </c>
      <c r="H206" s="16"/>
      <c r="I206" s="81">
        <v>45962.699212962965</v>
      </c>
      <c r="J206" t="b">
        <f t="shared" si="3"/>
        <v>0</v>
      </c>
    </row>
    <row r="207" spans="1:10" ht="15.75" hidden="1" thickBot="1" x14ac:dyDescent="0.3">
      <c r="A207">
        <v>9820032318</v>
      </c>
      <c r="B207" s="85"/>
      <c r="C207" s="87"/>
      <c r="D207" s="22" t="s">
        <v>1225</v>
      </c>
      <c r="E207" s="87" t="s">
        <v>35</v>
      </c>
      <c r="F207" s="87" t="s">
        <v>396</v>
      </c>
      <c r="G207" s="87">
        <v>9820032318</v>
      </c>
      <c r="H207" s="89">
        <v>0</v>
      </c>
      <c r="I207" s="81">
        <v>45949.47991898148</v>
      </c>
      <c r="J207" t="b">
        <f t="shared" si="3"/>
        <v>0</v>
      </c>
    </row>
    <row r="208" spans="1:10" ht="15.75" hidden="1" thickBot="1" x14ac:dyDescent="0.3">
      <c r="A208">
        <v>9820043682</v>
      </c>
      <c r="B208" s="84"/>
      <c r="C208" s="86"/>
      <c r="D208" s="21" t="s">
        <v>1211</v>
      </c>
      <c r="E208" s="86" t="s">
        <v>17</v>
      </c>
      <c r="F208" s="86" t="s">
        <v>197</v>
      </c>
      <c r="G208" s="86">
        <v>9820043682</v>
      </c>
      <c r="H208" s="89">
        <v>0</v>
      </c>
      <c r="I208" s="81">
        <v>45942.667824074073</v>
      </c>
      <c r="J208" t="b">
        <f t="shared" si="3"/>
        <v>0</v>
      </c>
    </row>
    <row r="209" spans="1:10" ht="15.75" hidden="1" thickBot="1" x14ac:dyDescent="0.3">
      <c r="A209">
        <v>9820048419</v>
      </c>
      <c r="B209" s="85"/>
      <c r="C209" s="87"/>
      <c r="D209" s="21" t="s">
        <v>1211</v>
      </c>
      <c r="E209" s="87" t="s">
        <v>47</v>
      </c>
      <c r="F209" s="87" t="s">
        <v>449</v>
      </c>
      <c r="G209" s="87">
        <v>9820048419</v>
      </c>
      <c r="H209" s="89">
        <v>0</v>
      </c>
      <c r="I209" s="81">
        <v>45941.594398148147</v>
      </c>
      <c r="J209" t="b">
        <f t="shared" si="3"/>
        <v>0</v>
      </c>
    </row>
    <row r="210" spans="1:10" ht="15.75" hidden="1" thickBot="1" x14ac:dyDescent="0.3">
      <c r="A210">
        <v>9820066427</v>
      </c>
      <c r="B210" s="25">
        <v>45962.582083333335</v>
      </c>
      <c r="C210" s="1" t="s">
        <v>1222</v>
      </c>
      <c r="D210" s="21" t="s">
        <v>1211</v>
      </c>
      <c r="E210" s="1" t="s">
        <v>41</v>
      </c>
      <c r="F210" s="1" t="s">
        <v>257</v>
      </c>
      <c r="G210" s="2">
        <v>9820066427</v>
      </c>
      <c r="H210" s="14"/>
      <c r="I210" s="81">
        <v>45962.582083333335</v>
      </c>
      <c r="J210" t="b">
        <f t="shared" si="3"/>
        <v>0</v>
      </c>
    </row>
    <row r="211" spans="1:10" ht="15.75" hidden="1" thickBot="1" x14ac:dyDescent="0.3">
      <c r="A211">
        <v>9820070274</v>
      </c>
      <c r="B211" s="26">
        <v>45963.533668981479</v>
      </c>
      <c r="C211" s="6" t="s">
        <v>1281</v>
      </c>
      <c r="D211" s="21" t="s">
        <v>1211</v>
      </c>
      <c r="E211" s="6" t="s">
        <v>70</v>
      </c>
      <c r="F211" s="6" t="s">
        <v>128</v>
      </c>
      <c r="G211" s="7">
        <v>9820070274</v>
      </c>
      <c r="H211" s="17" t="s">
        <v>1285</v>
      </c>
      <c r="I211" s="81">
        <v>45963.533668981479</v>
      </c>
      <c r="J211" t="b">
        <f t="shared" si="3"/>
        <v>0</v>
      </c>
    </row>
    <row r="212" spans="1:10" ht="15.75" thickBot="1" x14ac:dyDescent="0.3">
      <c r="A212">
        <v>9820075931</v>
      </c>
      <c r="B212" s="25">
        <v>45963.501226851855</v>
      </c>
      <c r="C212" s="1" t="s">
        <v>1257</v>
      </c>
      <c r="D212" s="21" t="s">
        <v>1217</v>
      </c>
      <c r="E212" s="1" t="s">
        <v>60</v>
      </c>
      <c r="F212" s="1" t="s">
        <v>456</v>
      </c>
      <c r="G212" s="2">
        <v>9820075931</v>
      </c>
      <c r="H212" s="18" t="s">
        <v>1279</v>
      </c>
      <c r="I212" s="81">
        <v>45963.501226851855</v>
      </c>
      <c r="J212" t="b">
        <f t="shared" si="3"/>
        <v>0</v>
      </c>
    </row>
    <row r="213" spans="1:10" ht="15.75" hidden="1" thickBot="1" x14ac:dyDescent="0.3">
      <c r="A213">
        <v>9820087717</v>
      </c>
      <c r="B213" s="84"/>
      <c r="C213" s="86"/>
      <c r="D213" s="21" t="s">
        <v>1211</v>
      </c>
      <c r="E213" s="86" t="s">
        <v>17</v>
      </c>
      <c r="F213" s="86" t="s">
        <v>577</v>
      </c>
      <c r="G213" s="86">
        <v>9820087717</v>
      </c>
      <c r="H213" s="89">
        <v>0</v>
      </c>
      <c r="I213" s="81">
        <v>45942.6565162037</v>
      </c>
      <c r="J213" t="b">
        <f t="shared" si="3"/>
        <v>0</v>
      </c>
    </row>
    <row r="214" spans="1:10" ht="15.75" hidden="1" thickBot="1" x14ac:dyDescent="0.3">
      <c r="A214">
        <v>9820089651</v>
      </c>
      <c r="B214" s="31">
        <v>45962.76834490741</v>
      </c>
      <c r="C214" s="22" t="s">
        <v>1259</v>
      </c>
      <c r="D214" s="22" t="s">
        <v>1225</v>
      </c>
      <c r="E214" s="22" t="s">
        <v>797</v>
      </c>
      <c r="F214" s="22" t="s">
        <v>913</v>
      </c>
      <c r="G214" s="24">
        <v>9820089651</v>
      </c>
      <c r="H214" s="14"/>
      <c r="I214" s="81">
        <v>45962.76834490741</v>
      </c>
      <c r="J214" t="b">
        <f t="shared" si="3"/>
        <v>0</v>
      </c>
    </row>
    <row r="215" spans="1:10" ht="15.75" hidden="1" thickBot="1" x14ac:dyDescent="0.3">
      <c r="A215">
        <v>9820130862</v>
      </c>
      <c r="B215" s="84"/>
      <c r="C215" s="86"/>
      <c r="D215" s="21" t="s">
        <v>1211</v>
      </c>
      <c r="E215" s="86" t="s">
        <v>35</v>
      </c>
      <c r="F215" s="86" t="s">
        <v>206</v>
      </c>
      <c r="G215" s="86">
        <v>9820130862</v>
      </c>
      <c r="H215" s="89">
        <v>0</v>
      </c>
      <c r="I215" s="81">
        <v>45949.485763888886</v>
      </c>
      <c r="J215" t="b">
        <f t="shared" si="3"/>
        <v>0</v>
      </c>
    </row>
    <row r="216" spans="1:10" ht="26.25" hidden="1" thickBot="1" x14ac:dyDescent="0.3">
      <c r="A216">
        <v>9820144077</v>
      </c>
      <c r="B216" s="26">
        <v>45962.621770833335</v>
      </c>
      <c r="C216" s="6" t="s">
        <v>1230</v>
      </c>
      <c r="D216" s="22" t="s">
        <v>1225</v>
      </c>
      <c r="E216" s="6" t="s">
        <v>83</v>
      </c>
      <c r="F216" s="6" t="s">
        <v>183</v>
      </c>
      <c r="G216" s="7">
        <v>9820144077</v>
      </c>
      <c r="H216" s="17" t="s">
        <v>1233</v>
      </c>
      <c r="I216" s="81">
        <v>45962.621770833335</v>
      </c>
      <c r="J216" t="b">
        <f t="shared" si="3"/>
        <v>0</v>
      </c>
    </row>
    <row r="217" spans="1:10" ht="15.75" hidden="1" thickBot="1" x14ac:dyDescent="0.3">
      <c r="A217">
        <v>9820144705</v>
      </c>
      <c r="B217" s="30">
        <v>45962.675844907404</v>
      </c>
      <c r="C217" s="21" t="s">
        <v>1241</v>
      </c>
      <c r="D217" s="21" t="s">
        <v>1010</v>
      </c>
      <c r="E217" s="21" t="s">
        <v>95</v>
      </c>
      <c r="F217" s="21" t="s">
        <v>96</v>
      </c>
      <c r="G217" s="23">
        <v>9820144705</v>
      </c>
      <c r="H217" s="17" t="s">
        <v>1252</v>
      </c>
      <c r="I217" s="81">
        <v>45962.675844907404</v>
      </c>
      <c r="J217" t="b">
        <f t="shared" si="3"/>
        <v>0</v>
      </c>
    </row>
    <row r="218" spans="1:10" ht="15.75" thickBot="1" x14ac:dyDescent="0.3">
      <c r="A218">
        <v>9820149837</v>
      </c>
      <c r="B218" s="85"/>
      <c r="C218" s="87"/>
      <c r="D218" s="21" t="s">
        <v>1217</v>
      </c>
      <c r="E218" s="87" t="s">
        <v>35</v>
      </c>
      <c r="F218" s="87" t="s">
        <v>443</v>
      </c>
      <c r="G218" s="87">
        <v>9820149837</v>
      </c>
      <c r="H218" s="89" t="s">
        <v>1037</v>
      </c>
      <c r="I218" s="81">
        <v>45949.484270833331</v>
      </c>
      <c r="J218" t="b">
        <f t="shared" si="3"/>
        <v>0</v>
      </c>
    </row>
    <row r="219" spans="1:10" ht="26.25" thickBot="1" x14ac:dyDescent="0.3">
      <c r="A219">
        <v>9820151778</v>
      </c>
      <c r="B219" s="25">
        <v>45964.726678240739</v>
      </c>
      <c r="C219" s="13"/>
      <c r="D219" s="21" t="s">
        <v>1217</v>
      </c>
      <c r="E219" s="1" t="s">
        <v>805</v>
      </c>
      <c r="F219" s="1" t="s">
        <v>841</v>
      </c>
      <c r="G219" s="2">
        <v>9820151778</v>
      </c>
      <c r="H219" s="14"/>
      <c r="I219" s="81">
        <v>45964.726678240739</v>
      </c>
      <c r="J219" t="b">
        <f t="shared" si="3"/>
        <v>0</v>
      </c>
    </row>
    <row r="220" spans="1:10" ht="15.75" hidden="1" thickBot="1" x14ac:dyDescent="0.3">
      <c r="A220">
        <v>9820164386</v>
      </c>
      <c r="B220" s="85"/>
      <c r="C220" s="87"/>
      <c r="D220" s="21" t="s">
        <v>1211</v>
      </c>
      <c r="E220" s="87" t="s">
        <v>17</v>
      </c>
      <c r="F220" s="87" t="s">
        <v>340</v>
      </c>
      <c r="G220" s="87">
        <v>9820164386</v>
      </c>
      <c r="H220" s="89">
        <v>0</v>
      </c>
      <c r="I220" s="81">
        <v>45942.664664351854</v>
      </c>
      <c r="J220" t="b">
        <f t="shared" si="3"/>
        <v>0</v>
      </c>
    </row>
    <row r="221" spans="1:10" ht="26.25" hidden="1" thickBot="1" x14ac:dyDescent="0.3">
      <c r="A221">
        <v>9820189523</v>
      </c>
      <c r="B221" s="25">
        <v>45964.760694444441</v>
      </c>
      <c r="C221" s="13"/>
      <c r="D221" s="21" t="s">
        <v>1211</v>
      </c>
      <c r="E221" s="1" t="s">
        <v>21</v>
      </c>
      <c r="F221" s="1" t="s">
        <v>627</v>
      </c>
      <c r="G221" s="2">
        <v>9820189523</v>
      </c>
      <c r="H221" s="18" t="s">
        <v>1335</v>
      </c>
      <c r="I221" s="81">
        <v>45964.760694444441</v>
      </c>
      <c r="J221" t="b">
        <f t="shared" si="3"/>
        <v>0</v>
      </c>
    </row>
    <row r="222" spans="1:10" ht="15.75" hidden="1" thickBot="1" x14ac:dyDescent="0.3">
      <c r="A222">
        <v>9820189575</v>
      </c>
      <c r="B222" s="31">
        <v>45963.876400462963</v>
      </c>
      <c r="C222" s="20"/>
      <c r="D222" s="21" t="s">
        <v>1211</v>
      </c>
      <c r="E222" s="22" t="s">
        <v>23</v>
      </c>
      <c r="F222" s="22" t="s">
        <v>152</v>
      </c>
      <c r="G222" s="24">
        <v>9820189575</v>
      </c>
      <c r="H222" s="18" t="s">
        <v>1319</v>
      </c>
      <c r="I222" s="81">
        <v>45963.876400462963</v>
      </c>
      <c r="J222" t="b">
        <f t="shared" si="3"/>
        <v>0</v>
      </c>
    </row>
    <row r="223" spans="1:10" ht="15.75" hidden="1" thickBot="1" x14ac:dyDescent="0.3">
      <c r="A223">
        <v>9820230357</v>
      </c>
      <c r="B223" s="30">
        <v>45962.580324074072</v>
      </c>
      <c r="C223" s="21" t="s">
        <v>1222</v>
      </c>
      <c r="D223" s="21" t="s">
        <v>1010</v>
      </c>
      <c r="E223" s="21" t="s">
        <v>41</v>
      </c>
      <c r="F223" s="21" t="s">
        <v>446</v>
      </c>
      <c r="G223" s="23">
        <v>9820230357</v>
      </c>
      <c r="H223" s="16"/>
      <c r="I223" s="81">
        <v>45962.580324074072</v>
      </c>
      <c r="J223" t="b">
        <f t="shared" si="3"/>
        <v>0</v>
      </c>
    </row>
    <row r="224" spans="1:10" ht="15.75" hidden="1" thickBot="1" x14ac:dyDescent="0.3">
      <c r="A224">
        <v>9820251565</v>
      </c>
      <c r="B224" s="31">
        <v>45962.769166666665</v>
      </c>
      <c r="C224" s="22" t="s">
        <v>1259</v>
      </c>
      <c r="D224" s="20"/>
      <c r="E224" s="22" t="s">
        <v>797</v>
      </c>
      <c r="F224" s="22" t="s">
        <v>66</v>
      </c>
      <c r="G224" s="24">
        <v>9820251565</v>
      </c>
      <c r="H224" s="18" t="s">
        <v>1260</v>
      </c>
      <c r="I224" s="81">
        <v>45962.769166666665</v>
      </c>
      <c r="J224" t="b">
        <f t="shared" si="3"/>
        <v>0</v>
      </c>
    </row>
    <row r="225" spans="1:10" ht="15.75" hidden="1" thickBot="1" x14ac:dyDescent="0.3">
      <c r="A225">
        <v>9820255691</v>
      </c>
      <c r="B225" s="25">
        <v>45964.526284722226</v>
      </c>
      <c r="C225" s="13"/>
      <c r="D225" s="21" t="s">
        <v>1211</v>
      </c>
      <c r="E225" s="1" t="s">
        <v>11</v>
      </c>
      <c r="F225" s="1" t="s">
        <v>146</v>
      </c>
      <c r="G225" s="2">
        <v>9820255691</v>
      </c>
      <c r="H225" s="14"/>
      <c r="I225" s="81">
        <v>45964.526284722226</v>
      </c>
      <c r="J225" t="b">
        <f t="shared" si="3"/>
        <v>0</v>
      </c>
    </row>
    <row r="226" spans="1:10" ht="15.75" hidden="1" thickBot="1" x14ac:dyDescent="0.3">
      <c r="A226">
        <v>9820267735</v>
      </c>
      <c r="B226" s="31">
        <v>45963.499907407408</v>
      </c>
      <c r="C226" s="22" t="s">
        <v>1257</v>
      </c>
      <c r="D226" s="22" t="s">
        <v>1010</v>
      </c>
      <c r="E226" s="22" t="s">
        <v>60</v>
      </c>
      <c r="F226" s="22" t="s">
        <v>599</v>
      </c>
      <c r="G226" s="24">
        <v>9820267735</v>
      </c>
      <c r="H226" s="18" t="s">
        <v>1278</v>
      </c>
      <c r="I226" s="81">
        <v>45963.499907407408</v>
      </c>
      <c r="J226" t="b">
        <f t="shared" si="3"/>
        <v>0</v>
      </c>
    </row>
    <row r="227" spans="1:10" ht="15.75" hidden="1" thickBot="1" x14ac:dyDescent="0.3">
      <c r="A227">
        <v>9820282322</v>
      </c>
      <c r="B227" s="25">
        <v>45963.807928240742</v>
      </c>
      <c r="C227" s="1" t="s">
        <v>1303</v>
      </c>
      <c r="D227" s="21" t="s">
        <v>1211</v>
      </c>
      <c r="E227" s="1" t="s">
        <v>799</v>
      </c>
      <c r="F227" s="1" t="s">
        <v>945</v>
      </c>
      <c r="G227" s="2">
        <v>9820282322</v>
      </c>
      <c r="H227" s="14"/>
      <c r="I227" s="81">
        <v>45963.807928240742</v>
      </c>
      <c r="J227" t="b">
        <f t="shared" si="3"/>
        <v>0</v>
      </c>
    </row>
    <row r="228" spans="1:10" ht="15.75" hidden="1" thickBot="1" x14ac:dyDescent="0.3">
      <c r="A228">
        <v>9820284712</v>
      </c>
      <c r="B228" s="85"/>
      <c r="C228" s="87"/>
      <c r="D228" s="87" t="s">
        <v>1010</v>
      </c>
      <c r="E228" s="87" t="s">
        <v>60</v>
      </c>
      <c r="F228" s="87" t="s">
        <v>503</v>
      </c>
      <c r="G228" s="87">
        <v>9820284712</v>
      </c>
      <c r="H228" s="89" t="s">
        <v>1121</v>
      </c>
      <c r="I228" s="81">
        <v>45959.383032407408</v>
      </c>
      <c r="J228" t="b">
        <f t="shared" si="3"/>
        <v>0</v>
      </c>
    </row>
    <row r="229" spans="1:10" ht="26.25" hidden="1" thickBot="1" x14ac:dyDescent="0.3">
      <c r="A229">
        <v>9820335021</v>
      </c>
      <c r="B229" s="25">
        <v>45964.426446759258</v>
      </c>
      <c r="C229" s="13"/>
      <c r="D229" s="1" t="s">
        <v>1010</v>
      </c>
      <c r="E229" s="1" t="s">
        <v>1305</v>
      </c>
      <c r="F229" s="1" t="s">
        <v>741</v>
      </c>
      <c r="G229" s="2">
        <v>9820335021</v>
      </c>
      <c r="H229" s="14"/>
      <c r="I229" s="81">
        <v>45964.426446759258</v>
      </c>
      <c r="J229" t="b">
        <f t="shared" si="3"/>
        <v>0</v>
      </c>
    </row>
    <row r="230" spans="1:10" ht="15.75" hidden="1" thickBot="1" x14ac:dyDescent="0.3">
      <c r="A230">
        <v>9820348614</v>
      </c>
      <c r="B230" s="85"/>
      <c r="C230" s="87"/>
      <c r="D230" s="87" t="s">
        <v>1010</v>
      </c>
      <c r="E230" s="87" t="s">
        <v>35</v>
      </c>
      <c r="F230" s="87" t="s">
        <v>158</v>
      </c>
      <c r="G230" s="87">
        <v>9820348614</v>
      </c>
      <c r="H230" s="89" t="s">
        <v>1036</v>
      </c>
      <c r="I230" s="81">
        <v>45949.482638888891</v>
      </c>
      <c r="J230" t="b">
        <f t="shared" si="3"/>
        <v>0</v>
      </c>
    </row>
    <row r="231" spans="1:10" ht="15.75" hidden="1" thickBot="1" x14ac:dyDescent="0.3">
      <c r="A231">
        <v>9820351436</v>
      </c>
      <c r="B231" s="84"/>
      <c r="C231" s="86"/>
      <c r="D231" s="21" t="s">
        <v>1211</v>
      </c>
      <c r="E231" s="86" t="s">
        <v>45</v>
      </c>
      <c r="F231" s="86" t="s">
        <v>448</v>
      </c>
      <c r="G231" s="86">
        <v>9820351436</v>
      </c>
      <c r="H231" s="89">
        <v>0</v>
      </c>
      <c r="I231" s="81">
        <v>45943.703750000001</v>
      </c>
      <c r="J231" t="b">
        <f t="shared" si="3"/>
        <v>0</v>
      </c>
    </row>
    <row r="232" spans="1:10" ht="15.75" hidden="1" thickBot="1" x14ac:dyDescent="0.3">
      <c r="A232">
        <v>9820444531</v>
      </c>
      <c r="B232" s="31">
        <v>45962.581886574073</v>
      </c>
      <c r="C232" s="22" t="s">
        <v>1223</v>
      </c>
      <c r="D232" s="22" t="s">
        <v>1225</v>
      </c>
      <c r="E232" s="22" t="s">
        <v>1125</v>
      </c>
      <c r="F232" s="22" t="s">
        <v>351</v>
      </c>
      <c r="G232" s="24">
        <v>9820444531</v>
      </c>
      <c r="H232" s="18" t="s">
        <v>1226</v>
      </c>
      <c r="I232" s="81">
        <v>45962.581886574073</v>
      </c>
      <c r="J232" t="b">
        <f t="shared" si="3"/>
        <v>0</v>
      </c>
    </row>
    <row r="233" spans="1:10" ht="15.75" hidden="1" thickBot="1" x14ac:dyDescent="0.3">
      <c r="A233">
        <v>9820450815</v>
      </c>
      <c r="B233" s="25">
        <v>45964.520879629628</v>
      </c>
      <c r="C233" s="13"/>
      <c r="D233" s="21" t="s">
        <v>1211</v>
      </c>
      <c r="E233" s="1" t="s">
        <v>11</v>
      </c>
      <c r="F233" s="1" t="s">
        <v>100</v>
      </c>
      <c r="G233" s="2">
        <v>9820450815</v>
      </c>
      <c r="H233" s="18" t="s">
        <v>1325</v>
      </c>
      <c r="I233" s="81">
        <v>45964.520879629628</v>
      </c>
      <c r="J233" t="b">
        <f t="shared" si="3"/>
        <v>0</v>
      </c>
    </row>
    <row r="234" spans="1:10" ht="26.25" hidden="1" thickBot="1" x14ac:dyDescent="0.3">
      <c r="A234">
        <v>9820454557</v>
      </c>
      <c r="B234" s="31">
        <v>45963.430706018517</v>
      </c>
      <c r="C234" s="22" t="s">
        <v>1266</v>
      </c>
      <c r="D234" s="21" t="s">
        <v>1211</v>
      </c>
      <c r="E234" s="22" t="s">
        <v>12</v>
      </c>
      <c r="F234" s="22" t="s">
        <v>179</v>
      </c>
      <c r="G234" s="24">
        <v>9820454557</v>
      </c>
      <c r="H234" s="14"/>
      <c r="I234" s="81">
        <v>45963.430706018517</v>
      </c>
      <c r="J234" t="b">
        <f t="shared" si="3"/>
        <v>0</v>
      </c>
    </row>
    <row r="235" spans="1:10" ht="15.75" hidden="1" thickBot="1" x14ac:dyDescent="0.3">
      <c r="A235">
        <v>9820454734</v>
      </c>
      <c r="B235" s="30">
        <v>45964.522928240738</v>
      </c>
      <c r="C235" s="19"/>
      <c r="D235" s="21" t="s">
        <v>1211</v>
      </c>
      <c r="E235" s="21" t="s">
        <v>11</v>
      </c>
      <c r="F235" s="21" t="s">
        <v>12</v>
      </c>
      <c r="G235" s="23">
        <v>9820454734</v>
      </c>
      <c r="H235" s="16"/>
      <c r="I235" s="81">
        <v>45964.522928240738</v>
      </c>
      <c r="J235" t="b">
        <f t="shared" si="3"/>
        <v>0</v>
      </c>
    </row>
    <row r="236" spans="1:10" ht="26.25" hidden="1" thickBot="1" x14ac:dyDescent="0.3">
      <c r="A236">
        <v>9820460950</v>
      </c>
      <c r="B236" s="26">
        <v>45963.432268518518</v>
      </c>
      <c r="C236" s="6" t="s">
        <v>1266</v>
      </c>
      <c r="D236" s="22" t="s">
        <v>1225</v>
      </c>
      <c r="E236" s="6" t="s">
        <v>12</v>
      </c>
      <c r="F236" s="6" t="s">
        <v>131</v>
      </c>
      <c r="G236" s="7">
        <v>9820460950</v>
      </c>
      <c r="H236" s="17" t="s">
        <v>1268</v>
      </c>
      <c r="I236" s="81">
        <v>45963.432268518518</v>
      </c>
      <c r="J236" t="b">
        <f t="shared" si="3"/>
        <v>0</v>
      </c>
    </row>
    <row r="237" spans="1:10" ht="15.75" hidden="1" thickBot="1" x14ac:dyDescent="0.3">
      <c r="A237">
        <v>9820522401</v>
      </c>
      <c r="B237" s="25">
        <v>45962.675671296296</v>
      </c>
      <c r="C237" s="1" t="s">
        <v>1241</v>
      </c>
      <c r="D237" s="1" t="s">
        <v>1010</v>
      </c>
      <c r="E237" s="1" t="s">
        <v>95</v>
      </c>
      <c r="F237" s="1" t="s">
        <v>664</v>
      </c>
      <c r="G237" s="2">
        <v>9820522401</v>
      </c>
      <c r="H237" s="18" t="s">
        <v>1252</v>
      </c>
      <c r="I237" s="81">
        <v>45962.675671296296</v>
      </c>
      <c r="J237" t="b">
        <f t="shared" si="3"/>
        <v>0</v>
      </c>
    </row>
    <row r="238" spans="1:10" ht="26.25" hidden="1" thickBot="1" x14ac:dyDescent="0.3">
      <c r="A238">
        <v>9820524522</v>
      </c>
      <c r="B238" s="31">
        <v>45961.910636574074</v>
      </c>
      <c r="C238" s="22" t="s">
        <v>1210</v>
      </c>
      <c r="D238" s="21" t="s">
        <v>1211</v>
      </c>
      <c r="E238" s="22" t="s">
        <v>33</v>
      </c>
      <c r="F238" s="22" t="s">
        <v>489</v>
      </c>
      <c r="G238" s="24">
        <v>9820524522</v>
      </c>
      <c r="H238" s="14"/>
      <c r="I238" s="81">
        <v>45961.910636574074</v>
      </c>
      <c r="J238" t="b">
        <f t="shared" si="3"/>
        <v>0</v>
      </c>
    </row>
    <row r="239" spans="1:10" ht="26.25" hidden="1" thickBot="1" x14ac:dyDescent="0.3">
      <c r="A239">
        <v>9820550154</v>
      </c>
      <c r="B239" s="25">
        <v>45963.536469907405</v>
      </c>
      <c r="C239" s="1" t="s">
        <v>1281</v>
      </c>
      <c r="D239" s="21" t="s">
        <v>1211</v>
      </c>
      <c r="E239" s="1" t="s">
        <v>70</v>
      </c>
      <c r="F239" s="1" t="s">
        <v>319</v>
      </c>
      <c r="G239" s="2">
        <v>9820550154</v>
      </c>
      <c r="H239" s="62">
        <v>5</v>
      </c>
      <c r="I239" s="81">
        <v>45963.536469907405</v>
      </c>
      <c r="J239" t="b">
        <f t="shared" si="3"/>
        <v>0</v>
      </c>
    </row>
    <row r="240" spans="1:10" ht="15.75" hidden="1" thickBot="1" x14ac:dyDescent="0.3">
      <c r="A240">
        <v>9820551229</v>
      </c>
      <c r="B240" s="85"/>
      <c r="C240" s="87"/>
      <c r="D240" s="21" t="s">
        <v>1211</v>
      </c>
      <c r="E240" s="87" t="s">
        <v>45</v>
      </c>
      <c r="F240" s="87" t="s">
        <v>734</v>
      </c>
      <c r="G240" s="87">
        <v>9820551229</v>
      </c>
      <c r="H240" s="89">
        <v>0</v>
      </c>
      <c r="I240" s="81">
        <v>45943.69872685185</v>
      </c>
      <c r="J240" t="b">
        <f t="shared" si="3"/>
        <v>0</v>
      </c>
    </row>
    <row r="241" spans="1:10" ht="26.25" hidden="1" thickBot="1" x14ac:dyDescent="0.3">
      <c r="A241">
        <v>9820558544</v>
      </c>
      <c r="B241" s="25">
        <v>45962.67695601852</v>
      </c>
      <c r="C241" s="1" t="s">
        <v>1241</v>
      </c>
      <c r="D241" s="1" t="s">
        <v>1010</v>
      </c>
      <c r="E241" s="1" t="s">
        <v>95</v>
      </c>
      <c r="F241" s="1" t="s">
        <v>284</v>
      </c>
      <c r="G241" s="2">
        <v>9820558544</v>
      </c>
      <c r="H241" s="18" t="s">
        <v>1254</v>
      </c>
      <c r="I241" s="81">
        <v>45962.67695601852</v>
      </c>
      <c r="J241" t="b">
        <f t="shared" si="3"/>
        <v>0</v>
      </c>
    </row>
    <row r="242" spans="1:10" ht="15.75" hidden="1" thickBot="1" x14ac:dyDescent="0.3">
      <c r="A242">
        <v>9820569281</v>
      </c>
      <c r="B242" s="26">
        <v>45962.62122685185</v>
      </c>
      <c r="C242" s="6" t="s">
        <v>1230</v>
      </c>
      <c r="D242" s="22" t="s">
        <v>1225</v>
      </c>
      <c r="E242" s="6" t="s">
        <v>83</v>
      </c>
      <c r="F242" s="6" t="s">
        <v>231</v>
      </c>
      <c r="G242" s="7">
        <v>9820569281</v>
      </c>
      <c r="H242" s="16"/>
      <c r="I242" s="81">
        <v>45962.62122685185</v>
      </c>
      <c r="J242" t="b">
        <f t="shared" si="3"/>
        <v>0</v>
      </c>
    </row>
    <row r="243" spans="1:10" ht="15.75" hidden="1" thickBot="1" x14ac:dyDescent="0.3">
      <c r="A243">
        <v>9820610112</v>
      </c>
      <c r="B243" s="84"/>
      <c r="C243" s="86"/>
      <c r="D243" s="21" t="s">
        <v>1211</v>
      </c>
      <c r="E243" s="86" t="s">
        <v>72</v>
      </c>
      <c r="F243" s="86" t="s">
        <v>605</v>
      </c>
      <c r="G243" s="86">
        <v>9820610112</v>
      </c>
      <c r="H243" s="89" t="s">
        <v>1033</v>
      </c>
      <c r="I243" s="81">
        <v>45948.68787037037</v>
      </c>
      <c r="J243" t="b">
        <f t="shared" si="3"/>
        <v>0</v>
      </c>
    </row>
    <row r="244" spans="1:10" ht="15.75" hidden="1" thickBot="1" x14ac:dyDescent="0.3">
      <c r="A244">
        <v>9820618488</v>
      </c>
      <c r="B244" s="85"/>
      <c r="C244" s="87"/>
      <c r="D244" s="22" t="s">
        <v>1225</v>
      </c>
      <c r="E244" s="87" t="s">
        <v>81</v>
      </c>
      <c r="F244" s="87" t="s">
        <v>230</v>
      </c>
      <c r="G244" s="87">
        <v>9820618488</v>
      </c>
      <c r="H244" s="89">
        <v>0</v>
      </c>
      <c r="I244" s="81">
        <v>45957.871805555558</v>
      </c>
      <c r="J244" t="b">
        <f t="shared" si="3"/>
        <v>0</v>
      </c>
    </row>
    <row r="245" spans="1:10" ht="15.75" hidden="1" thickBot="1" x14ac:dyDescent="0.3">
      <c r="A245">
        <v>9820620702</v>
      </c>
      <c r="B245" s="25">
        <v>45963.873645833337</v>
      </c>
      <c r="C245" s="13"/>
      <c r="D245" s="1" t="s">
        <v>1010</v>
      </c>
      <c r="E245" s="1" t="s">
        <v>23</v>
      </c>
      <c r="F245" s="1" t="s">
        <v>24</v>
      </c>
      <c r="G245" s="2">
        <v>9820620702</v>
      </c>
      <c r="H245" s="18" t="s">
        <v>1030</v>
      </c>
      <c r="I245" s="81">
        <v>45963.873645833337</v>
      </c>
      <c r="J245" t="b">
        <f t="shared" si="3"/>
        <v>0</v>
      </c>
    </row>
    <row r="246" spans="1:10" ht="15.75" hidden="1" thickBot="1" x14ac:dyDescent="0.3">
      <c r="A246">
        <v>9820634447</v>
      </c>
      <c r="B246" s="31">
        <v>45963.586863425924</v>
      </c>
      <c r="C246" s="22" t="s">
        <v>1290</v>
      </c>
      <c r="D246" s="22" t="s">
        <v>1010</v>
      </c>
      <c r="E246" s="22" t="s">
        <v>55</v>
      </c>
      <c r="F246" s="22" t="s">
        <v>358</v>
      </c>
      <c r="G246" s="24">
        <v>9820634447</v>
      </c>
      <c r="H246" s="14"/>
      <c r="I246" s="81">
        <v>45963.586863425924</v>
      </c>
      <c r="J246" t="b">
        <f t="shared" si="3"/>
        <v>0</v>
      </c>
    </row>
    <row r="247" spans="1:10" ht="15.75" hidden="1" thickBot="1" x14ac:dyDescent="0.3">
      <c r="A247">
        <v>9820659788</v>
      </c>
      <c r="B247" s="30">
        <v>45962.575289351851</v>
      </c>
      <c r="C247" s="21" t="s">
        <v>1222</v>
      </c>
      <c r="D247" s="21" t="s">
        <v>1010</v>
      </c>
      <c r="E247" s="21" t="s">
        <v>41</v>
      </c>
      <c r="F247" s="21" t="s">
        <v>636</v>
      </c>
      <c r="G247" s="23">
        <v>9820659788</v>
      </c>
      <c r="H247" s="16"/>
      <c r="I247" s="81">
        <v>45962.575289351851</v>
      </c>
      <c r="J247" t="b">
        <f t="shared" si="3"/>
        <v>0</v>
      </c>
    </row>
    <row r="248" spans="1:10" ht="15.75" hidden="1" thickBot="1" x14ac:dyDescent="0.3">
      <c r="A248">
        <v>9820660071</v>
      </c>
      <c r="B248" s="85"/>
      <c r="C248" s="87"/>
      <c r="D248" s="21" t="s">
        <v>1211</v>
      </c>
      <c r="E248" s="87" t="s">
        <v>72</v>
      </c>
      <c r="F248" s="87" t="s">
        <v>462</v>
      </c>
      <c r="G248" s="87">
        <v>9820660071</v>
      </c>
      <c r="H248" s="89">
        <v>0</v>
      </c>
      <c r="I248" s="81">
        <v>45956.61824074074</v>
      </c>
      <c r="J248" t="b">
        <f t="shared" si="3"/>
        <v>0</v>
      </c>
    </row>
    <row r="249" spans="1:10" ht="15.75" thickBot="1" x14ac:dyDescent="0.3">
      <c r="A249">
        <v>9820660395</v>
      </c>
      <c r="B249" s="25">
        <v>45962.621990740743</v>
      </c>
      <c r="C249" s="1" t="s">
        <v>1230</v>
      </c>
      <c r="D249" s="21" t="s">
        <v>1217</v>
      </c>
      <c r="E249" s="1" t="s">
        <v>83</v>
      </c>
      <c r="F249" s="1" t="s">
        <v>563</v>
      </c>
      <c r="G249" s="2">
        <v>9820660395</v>
      </c>
      <c r="H249" s="18" t="s">
        <v>1221</v>
      </c>
      <c r="I249" s="81">
        <v>45962.621990740743</v>
      </c>
      <c r="J249" t="b">
        <f t="shared" si="3"/>
        <v>0</v>
      </c>
    </row>
    <row r="250" spans="1:10" ht="26.25" hidden="1" thickBot="1" x14ac:dyDescent="0.3">
      <c r="A250">
        <v>9820744204</v>
      </c>
      <c r="B250" s="26">
        <v>45963.875405092593</v>
      </c>
      <c r="C250" s="15"/>
      <c r="D250" s="6" t="s">
        <v>1010</v>
      </c>
      <c r="E250" s="6" t="s">
        <v>23</v>
      </c>
      <c r="F250" s="6" t="s">
        <v>343</v>
      </c>
      <c r="G250" s="7">
        <v>9820744204</v>
      </c>
      <c r="H250" s="17" t="s">
        <v>1030</v>
      </c>
      <c r="I250" s="81">
        <v>45963.875405092593</v>
      </c>
      <c r="J250" t="b">
        <f t="shared" si="3"/>
        <v>0</v>
      </c>
    </row>
    <row r="251" spans="1:10" ht="26.25" hidden="1" thickBot="1" x14ac:dyDescent="0.3">
      <c r="A251">
        <v>9820798553</v>
      </c>
      <c r="B251" s="67">
        <v>45962.581631944442</v>
      </c>
      <c r="C251" s="68" t="s">
        <v>1163</v>
      </c>
      <c r="D251" s="68" t="s">
        <v>1010</v>
      </c>
      <c r="E251" s="68" t="s">
        <v>31</v>
      </c>
      <c r="F251" s="68" t="s">
        <v>156</v>
      </c>
      <c r="G251" s="88">
        <v>9820798553</v>
      </c>
      <c r="H251" s="90"/>
      <c r="I251" s="81">
        <v>45962.581631944442</v>
      </c>
      <c r="J251" t="b">
        <f t="shared" si="3"/>
        <v>0</v>
      </c>
    </row>
    <row r="252" spans="1:10" ht="15.75" hidden="1" thickBot="1" x14ac:dyDescent="0.3">
      <c r="A252">
        <v>9820804282</v>
      </c>
      <c r="B252" s="41">
        <v>45962.576249999998</v>
      </c>
      <c r="C252" s="42" t="s">
        <v>1163</v>
      </c>
      <c r="D252" s="21" t="s">
        <v>1211</v>
      </c>
      <c r="E252" s="42" t="s">
        <v>31</v>
      </c>
      <c r="F252" s="42" t="s">
        <v>727</v>
      </c>
      <c r="G252" s="43">
        <v>9820804282</v>
      </c>
      <c r="H252" s="44"/>
      <c r="I252" s="81">
        <v>45962.576249999998</v>
      </c>
      <c r="J252" t="b">
        <f t="shared" si="3"/>
        <v>0</v>
      </c>
    </row>
    <row r="253" spans="1:10" ht="15.75" hidden="1" thickBot="1" x14ac:dyDescent="0.3">
      <c r="A253">
        <v>9820810762</v>
      </c>
      <c r="B253" s="41">
        <v>45962.587291666663</v>
      </c>
      <c r="C253" s="42" t="s">
        <v>1163</v>
      </c>
      <c r="D253" s="22" t="s">
        <v>1225</v>
      </c>
      <c r="E253" s="42" t="s">
        <v>31</v>
      </c>
      <c r="F253" s="42" t="s">
        <v>299</v>
      </c>
      <c r="G253" s="43">
        <v>9820810762</v>
      </c>
      <c r="H253" s="44"/>
      <c r="I253" s="81">
        <v>45962.587291666663</v>
      </c>
      <c r="J253" t="b">
        <f t="shared" si="3"/>
        <v>0</v>
      </c>
    </row>
    <row r="254" spans="1:10" hidden="1" x14ac:dyDescent="0.25">
      <c r="A254">
        <v>9820828575</v>
      </c>
      <c r="D254" t="s">
        <v>1024</v>
      </c>
      <c r="E254" t="s">
        <v>35</v>
      </c>
      <c r="F254" t="s">
        <v>490</v>
      </c>
      <c r="G254">
        <v>9820828575</v>
      </c>
      <c r="H254" t="s">
        <v>1035</v>
      </c>
      <c r="I254" s="81">
        <v>45949.478379629632</v>
      </c>
      <c r="J254" t="b">
        <f t="shared" si="3"/>
        <v>0</v>
      </c>
    </row>
    <row r="255" spans="1:10" ht="15.75" hidden="1" thickBot="1" x14ac:dyDescent="0.3">
      <c r="A255">
        <v>9820858454</v>
      </c>
      <c r="B255" s="41">
        <v>45962.691064814811</v>
      </c>
      <c r="C255" s="42" t="s">
        <v>1256</v>
      </c>
      <c r="D255" s="21" t="s">
        <v>1211</v>
      </c>
      <c r="E255" s="42" t="s">
        <v>77</v>
      </c>
      <c r="F255" s="42" t="s">
        <v>323</v>
      </c>
      <c r="G255" s="43">
        <v>9820858454</v>
      </c>
      <c r="H255" s="44"/>
      <c r="I255" s="81">
        <v>45962.691064814811</v>
      </c>
      <c r="J255" t="b">
        <f t="shared" si="3"/>
        <v>0</v>
      </c>
    </row>
    <row r="256" spans="1:10" ht="15.75" hidden="1" thickBot="1" x14ac:dyDescent="0.3">
      <c r="A256">
        <v>9820894257</v>
      </c>
      <c r="B256" s="41">
        <v>45964.758993055555</v>
      </c>
      <c r="C256" s="44"/>
      <c r="D256" s="21" t="s">
        <v>1211</v>
      </c>
      <c r="E256" s="42" t="s">
        <v>21</v>
      </c>
      <c r="F256" s="42" t="s">
        <v>770</v>
      </c>
      <c r="G256" s="43">
        <v>9820894257</v>
      </c>
      <c r="H256" s="42" t="s">
        <v>1335</v>
      </c>
      <c r="I256" s="81">
        <v>45964.758993055555</v>
      </c>
      <c r="J256" t="b">
        <f t="shared" si="3"/>
        <v>0</v>
      </c>
    </row>
    <row r="257" spans="1:10" ht="15.75" hidden="1" thickBot="1" x14ac:dyDescent="0.3">
      <c r="A257">
        <v>9820913318</v>
      </c>
      <c r="D257" s="21" t="s">
        <v>1211</v>
      </c>
      <c r="E257" t="s">
        <v>49</v>
      </c>
      <c r="F257" t="s">
        <v>50</v>
      </c>
      <c r="G257">
        <v>9820913318</v>
      </c>
      <c r="H257">
        <v>0</v>
      </c>
      <c r="I257" s="81">
        <v>45942.435798611114</v>
      </c>
      <c r="J257" t="b">
        <f t="shared" si="3"/>
        <v>0</v>
      </c>
    </row>
    <row r="258" spans="1:10" ht="15.75" hidden="1" thickBot="1" x14ac:dyDescent="0.3">
      <c r="A258">
        <v>9820916001</v>
      </c>
      <c r="B258" s="41">
        <v>45963.442673611113</v>
      </c>
      <c r="C258" s="42" t="s">
        <v>1220</v>
      </c>
      <c r="D258" s="21" t="s">
        <v>1211</v>
      </c>
      <c r="E258" s="42" t="s">
        <v>57</v>
      </c>
      <c r="F258" s="42" t="s">
        <v>217</v>
      </c>
      <c r="G258" s="43">
        <v>9820916001</v>
      </c>
      <c r="H258" s="44"/>
      <c r="I258" s="81">
        <v>45963.442673611113</v>
      </c>
      <c r="J258" t="b">
        <f t="shared" si="3"/>
        <v>0</v>
      </c>
    </row>
    <row r="259" spans="1:10" ht="15.75" hidden="1" thickBot="1" x14ac:dyDescent="0.3">
      <c r="A259">
        <v>9820916099</v>
      </c>
      <c r="D259" s="21" t="s">
        <v>1211</v>
      </c>
      <c r="E259" t="s">
        <v>43</v>
      </c>
      <c r="F259" t="s">
        <v>210</v>
      </c>
      <c r="G259">
        <v>9820916099</v>
      </c>
      <c r="H259" t="s">
        <v>1118</v>
      </c>
      <c r="I259" s="81">
        <v>45958.884525462963</v>
      </c>
      <c r="J259" t="b">
        <f t="shared" si="3"/>
        <v>0</v>
      </c>
    </row>
    <row r="260" spans="1:10" ht="15.75" thickBot="1" x14ac:dyDescent="0.3">
      <c r="A260">
        <v>9820960490</v>
      </c>
      <c r="B260" s="39">
        <v>45964.470960648148</v>
      </c>
      <c r="C260" s="40"/>
      <c r="D260" s="21" t="s">
        <v>1217</v>
      </c>
      <c r="E260" s="38" t="s">
        <v>70</v>
      </c>
      <c r="F260" s="38" t="s">
        <v>71</v>
      </c>
      <c r="G260" s="37">
        <v>9820960490</v>
      </c>
      <c r="H260" s="38" t="s">
        <v>1322</v>
      </c>
      <c r="I260" s="81">
        <v>45964.470960648148</v>
      </c>
      <c r="J260" t="b">
        <f t="shared" ref="J260:J323" si="4">G259=G260</f>
        <v>0</v>
      </c>
    </row>
    <row r="261" spans="1:10" ht="15.75" hidden="1" thickBot="1" x14ac:dyDescent="0.3">
      <c r="A261">
        <v>9820962076</v>
      </c>
      <c r="D261" s="21" t="s">
        <v>1211</v>
      </c>
      <c r="E261" t="s">
        <v>47</v>
      </c>
      <c r="F261" t="s">
        <v>355</v>
      </c>
      <c r="G261">
        <v>9820962076</v>
      </c>
      <c r="H261">
        <v>0</v>
      </c>
      <c r="I261" s="81">
        <v>45941.578148148146</v>
      </c>
      <c r="J261" t="b">
        <f t="shared" si="4"/>
        <v>0</v>
      </c>
    </row>
    <row r="262" spans="1:10" hidden="1" x14ac:dyDescent="0.25">
      <c r="A262">
        <v>9820969649</v>
      </c>
      <c r="D262" t="s">
        <v>1010</v>
      </c>
      <c r="E262" t="s">
        <v>45</v>
      </c>
      <c r="F262" t="s">
        <v>115</v>
      </c>
      <c r="G262">
        <v>9820969649</v>
      </c>
      <c r="H262">
        <v>0</v>
      </c>
      <c r="I262" s="81">
        <v>45944.774722222224</v>
      </c>
      <c r="J262" t="b">
        <f t="shared" si="4"/>
        <v>0</v>
      </c>
    </row>
    <row r="263" spans="1:10" ht="26.25" thickBot="1" x14ac:dyDescent="0.3">
      <c r="A263">
        <v>9820970907</v>
      </c>
      <c r="B263" s="41">
        <v>45962.688796296294</v>
      </c>
      <c r="C263" s="42" t="s">
        <v>1256</v>
      </c>
      <c r="D263" s="21" t="s">
        <v>1217</v>
      </c>
      <c r="E263" s="42" t="s">
        <v>77</v>
      </c>
      <c r="F263" s="42" t="s">
        <v>703</v>
      </c>
      <c r="G263" s="43">
        <v>9820970907</v>
      </c>
      <c r="H263" s="44"/>
      <c r="I263" s="81">
        <v>45962.688796296294</v>
      </c>
      <c r="J263" t="b">
        <f t="shared" si="4"/>
        <v>0</v>
      </c>
    </row>
    <row r="264" spans="1:10" ht="15.75" hidden="1" thickBot="1" x14ac:dyDescent="0.3">
      <c r="A264">
        <v>9821013859</v>
      </c>
      <c r="B264" s="41">
        <v>45963.587164351855</v>
      </c>
      <c r="C264" s="42" t="s">
        <v>1290</v>
      </c>
      <c r="D264" s="21" t="s">
        <v>1211</v>
      </c>
      <c r="E264" s="42" t="s">
        <v>55</v>
      </c>
      <c r="F264" s="42" t="s">
        <v>56</v>
      </c>
      <c r="G264" s="43">
        <v>9821013859</v>
      </c>
      <c r="H264" s="44"/>
      <c r="I264" s="81">
        <v>45963.587164351855</v>
      </c>
      <c r="J264" t="b">
        <f t="shared" si="4"/>
        <v>0</v>
      </c>
    </row>
    <row r="265" spans="1:10" ht="15.75" hidden="1" thickBot="1" x14ac:dyDescent="0.3">
      <c r="A265">
        <v>9821048063</v>
      </c>
      <c r="D265" s="21" t="s">
        <v>1211</v>
      </c>
      <c r="E265" t="s">
        <v>81</v>
      </c>
      <c r="F265" t="s">
        <v>610</v>
      </c>
      <c r="G265">
        <v>9821048063</v>
      </c>
      <c r="H265">
        <v>0</v>
      </c>
      <c r="I265" s="81">
        <v>45957.871168981481</v>
      </c>
      <c r="J265" t="b">
        <f t="shared" si="4"/>
        <v>0</v>
      </c>
    </row>
    <row r="266" spans="1:10" ht="26.25" hidden="1" thickBot="1" x14ac:dyDescent="0.3">
      <c r="A266">
        <v>9821070860</v>
      </c>
      <c r="B266" s="39">
        <v>45962.58053240741</v>
      </c>
      <c r="C266" s="38" t="s">
        <v>1163</v>
      </c>
      <c r="D266" s="21" t="s">
        <v>1211</v>
      </c>
      <c r="E266" s="38" t="s">
        <v>31</v>
      </c>
      <c r="F266" s="38" t="s">
        <v>775</v>
      </c>
      <c r="G266" s="37">
        <v>9821070860</v>
      </c>
      <c r="H266" s="40"/>
      <c r="I266" s="81">
        <v>45962.58053240741</v>
      </c>
      <c r="J266" t="b">
        <f t="shared" si="4"/>
        <v>0</v>
      </c>
    </row>
    <row r="267" spans="1:10" ht="15.75" hidden="1" thickBot="1" x14ac:dyDescent="0.3">
      <c r="A267">
        <v>9821084020</v>
      </c>
      <c r="B267" s="39">
        <v>45963.440023148149</v>
      </c>
      <c r="C267" s="38" t="s">
        <v>1266</v>
      </c>
      <c r="D267" s="21" t="s">
        <v>1211</v>
      </c>
      <c r="E267" s="38" t="s">
        <v>12</v>
      </c>
      <c r="F267" s="38" t="s">
        <v>417</v>
      </c>
      <c r="G267" s="37">
        <v>9821084020</v>
      </c>
      <c r="H267" s="40"/>
      <c r="I267" s="81">
        <v>45963.440023148149</v>
      </c>
      <c r="J267" t="b">
        <f t="shared" si="4"/>
        <v>0</v>
      </c>
    </row>
    <row r="268" spans="1:10" ht="15.75" hidden="1" thickBot="1" x14ac:dyDescent="0.3">
      <c r="A268">
        <v>9821111601</v>
      </c>
      <c r="D268" s="22" t="s">
        <v>1225</v>
      </c>
      <c r="E268" t="s">
        <v>72</v>
      </c>
      <c r="F268" t="s">
        <v>272</v>
      </c>
      <c r="G268">
        <v>9821111601</v>
      </c>
      <c r="H268">
        <v>0</v>
      </c>
      <c r="I268" s="81">
        <v>45956.611863425926</v>
      </c>
      <c r="J268" t="b">
        <f t="shared" si="4"/>
        <v>0</v>
      </c>
    </row>
    <row r="269" spans="1:10" hidden="1" x14ac:dyDescent="0.25">
      <c r="A269">
        <v>9821111757</v>
      </c>
      <c r="B269" s="41">
        <v>45963.868136574078</v>
      </c>
      <c r="C269" s="44"/>
      <c r="D269" s="42" t="s">
        <v>1010</v>
      </c>
      <c r="E269" s="42" t="s">
        <v>23</v>
      </c>
      <c r="F269" s="42" t="s">
        <v>771</v>
      </c>
      <c r="G269" s="43">
        <v>9821111757</v>
      </c>
      <c r="H269" s="42" t="s">
        <v>1310</v>
      </c>
      <c r="I269" s="81">
        <v>45963.868136574078</v>
      </c>
      <c r="J269" t="b">
        <f t="shared" si="4"/>
        <v>0</v>
      </c>
    </row>
    <row r="270" spans="1:10" ht="15.75" hidden="1" thickBot="1" x14ac:dyDescent="0.3">
      <c r="A270">
        <v>9821116827</v>
      </c>
      <c r="B270" s="39">
        <v>45962.688217592593</v>
      </c>
      <c r="C270" s="38" t="s">
        <v>1256</v>
      </c>
      <c r="D270" s="21" t="s">
        <v>1211</v>
      </c>
      <c r="E270" s="38" t="s">
        <v>77</v>
      </c>
      <c r="F270" s="38" t="s">
        <v>180</v>
      </c>
      <c r="G270" s="37">
        <v>9821116827</v>
      </c>
      <c r="H270" s="40"/>
      <c r="I270" s="81">
        <v>45962.688217592593</v>
      </c>
      <c r="J270" t="b">
        <f t="shared" si="4"/>
        <v>0</v>
      </c>
    </row>
    <row r="271" spans="1:10" ht="15.75" hidden="1" thickBot="1" x14ac:dyDescent="0.3">
      <c r="A271">
        <v>9821129200</v>
      </c>
      <c r="B271" s="41">
        <v>45962.612719907411</v>
      </c>
      <c r="C271" s="42" t="s">
        <v>1223</v>
      </c>
      <c r="D271" s="21" t="s">
        <v>1211</v>
      </c>
      <c r="E271" s="42" t="s">
        <v>1125</v>
      </c>
      <c r="F271" s="42" t="s">
        <v>635</v>
      </c>
      <c r="G271" s="43">
        <v>9821129200</v>
      </c>
      <c r="H271" s="42" t="s">
        <v>1227</v>
      </c>
      <c r="I271" s="81">
        <v>45962.612719907411</v>
      </c>
      <c r="J271" t="b">
        <f t="shared" si="4"/>
        <v>0</v>
      </c>
    </row>
    <row r="272" spans="1:10" ht="15.75" hidden="1" thickBot="1" x14ac:dyDescent="0.3">
      <c r="A272">
        <v>9821138010</v>
      </c>
      <c r="D272" s="22" t="s">
        <v>1225</v>
      </c>
      <c r="E272" t="s">
        <v>43</v>
      </c>
      <c r="F272" t="s">
        <v>494</v>
      </c>
      <c r="G272">
        <v>9821138010</v>
      </c>
      <c r="H272">
        <v>0</v>
      </c>
      <c r="I272" s="81">
        <v>45958.864560185182</v>
      </c>
      <c r="J272" t="b">
        <f t="shared" si="4"/>
        <v>0</v>
      </c>
    </row>
    <row r="273" spans="1:10" ht="15.75" thickBot="1" x14ac:dyDescent="0.3">
      <c r="A273">
        <v>9821333259</v>
      </c>
      <c r="B273" s="39">
        <v>45964.522673611114</v>
      </c>
      <c r="C273" s="40"/>
      <c r="D273" s="21" t="s">
        <v>1217</v>
      </c>
      <c r="E273" s="38" t="s">
        <v>11</v>
      </c>
      <c r="F273" s="38" t="s">
        <v>242</v>
      </c>
      <c r="G273" s="37">
        <v>9821333259</v>
      </c>
      <c r="H273" s="38" t="s">
        <v>1329</v>
      </c>
      <c r="I273" s="81">
        <v>45964.522673611114</v>
      </c>
      <c r="J273" t="b">
        <f t="shared" si="4"/>
        <v>0</v>
      </c>
    </row>
    <row r="274" spans="1:10" hidden="1" x14ac:dyDescent="0.25">
      <c r="A274">
        <v>9821359693</v>
      </c>
      <c r="D274" t="s">
        <v>1010</v>
      </c>
      <c r="E274" t="s">
        <v>72</v>
      </c>
      <c r="F274" t="s">
        <v>367</v>
      </c>
      <c r="G274">
        <v>9821359693</v>
      </c>
      <c r="H274">
        <v>0</v>
      </c>
      <c r="I274" s="81">
        <v>45956.621770833335</v>
      </c>
      <c r="J274" t="b">
        <f t="shared" si="4"/>
        <v>0</v>
      </c>
    </row>
    <row r="275" spans="1:10" ht="15.75" hidden="1" thickBot="1" x14ac:dyDescent="0.3">
      <c r="A275">
        <v>9821377487</v>
      </c>
      <c r="B275" s="39">
        <v>45964.424120370371</v>
      </c>
      <c r="C275" s="40"/>
      <c r="D275" s="22" t="s">
        <v>1225</v>
      </c>
      <c r="E275" s="38" t="s">
        <v>1305</v>
      </c>
      <c r="F275" s="38" t="s">
        <v>313</v>
      </c>
      <c r="G275" s="37">
        <v>9821377487</v>
      </c>
      <c r="H275" s="40"/>
      <c r="I275" s="81">
        <v>45964.424120370371</v>
      </c>
      <c r="J275" t="b">
        <f t="shared" si="4"/>
        <v>0</v>
      </c>
    </row>
    <row r="276" spans="1:10" hidden="1" x14ac:dyDescent="0.25">
      <c r="A276">
        <v>9821524187</v>
      </c>
      <c r="B276" s="39">
        <v>45964.52003472222</v>
      </c>
      <c r="C276" s="40"/>
      <c r="D276" s="38" t="s">
        <v>1010</v>
      </c>
      <c r="E276" s="38" t="s">
        <v>11</v>
      </c>
      <c r="F276" s="38" t="s">
        <v>289</v>
      </c>
      <c r="G276" s="37">
        <v>9821524187</v>
      </c>
      <c r="H276" s="38" t="s">
        <v>1287</v>
      </c>
      <c r="I276" s="81">
        <v>45964.52003472222</v>
      </c>
      <c r="J276" t="b">
        <f t="shared" si="4"/>
        <v>0</v>
      </c>
    </row>
    <row r="277" spans="1:10" ht="15.75" hidden="1" thickBot="1" x14ac:dyDescent="0.3">
      <c r="A277">
        <v>9821546649</v>
      </c>
      <c r="D277" s="22" t="s">
        <v>1225</v>
      </c>
      <c r="E277" t="s">
        <v>799</v>
      </c>
      <c r="F277" t="s">
        <v>899</v>
      </c>
      <c r="G277">
        <v>9821546649</v>
      </c>
      <c r="H277">
        <v>0</v>
      </c>
      <c r="I277" s="81">
        <v>45943.493530092594</v>
      </c>
      <c r="J277" t="b">
        <f t="shared" si="4"/>
        <v>0</v>
      </c>
    </row>
    <row r="278" spans="1:10" ht="15.75" hidden="1" thickBot="1" x14ac:dyDescent="0.3">
      <c r="A278">
        <v>9821692529</v>
      </c>
      <c r="B278" s="39">
        <v>45961.922708333332</v>
      </c>
      <c r="C278" s="38" t="s">
        <v>1210</v>
      </c>
      <c r="D278" s="21" t="s">
        <v>1211</v>
      </c>
      <c r="E278" s="38" t="s">
        <v>33</v>
      </c>
      <c r="F278" s="38" t="s">
        <v>348</v>
      </c>
      <c r="G278" s="37">
        <v>9821692529</v>
      </c>
      <c r="H278" s="38" t="s">
        <v>1216</v>
      </c>
      <c r="I278" s="81">
        <v>45961.922708333332</v>
      </c>
      <c r="J278" t="b">
        <f t="shared" si="4"/>
        <v>0</v>
      </c>
    </row>
    <row r="279" spans="1:10" ht="25.5" hidden="1" x14ac:dyDescent="0.25">
      <c r="A279">
        <v>9821775817</v>
      </c>
      <c r="B279" s="41">
        <v>45962.692083333335</v>
      </c>
      <c r="C279" s="42" t="s">
        <v>1256</v>
      </c>
      <c r="D279" s="42" t="s">
        <v>1024</v>
      </c>
      <c r="E279" s="42" t="s">
        <v>77</v>
      </c>
      <c r="F279" s="42" t="s">
        <v>512</v>
      </c>
      <c r="G279" s="43">
        <v>9821775817</v>
      </c>
      <c r="H279" s="44"/>
      <c r="I279" s="81">
        <v>45962.692083333335</v>
      </c>
      <c r="J279" t="b">
        <f t="shared" si="4"/>
        <v>0</v>
      </c>
    </row>
    <row r="280" spans="1:10" hidden="1" x14ac:dyDescent="0.25">
      <c r="A280">
        <v>9833025492</v>
      </c>
      <c r="B280" s="41">
        <v>45962.767939814818</v>
      </c>
      <c r="C280" s="42" t="s">
        <v>1259</v>
      </c>
      <c r="D280" s="44"/>
      <c r="E280" s="42" t="s">
        <v>797</v>
      </c>
      <c r="F280" s="42" t="s">
        <v>898</v>
      </c>
      <c r="G280" s="43">
        <v>9833025492</v>
      </c>
      <c r="H280" s="42" t="s">
        <v>1260</v>
      </c>
      <c r="I280" s="81">
        <v>45962.767939814818</v>
      </c>
      <c r="J280" t="b">
        <f t="shared" si="4"/>
        <v>0</v>
      </c>
    </row>
    <row r="281" spans="1:10" ht="15.75" hidden="1" thickBot="1" x14ac:dyDescent="0.3">
      <c r="A281">
        <v>9833032997</v>
      </c>
      <c r="B281" s="41">
        <v>45962.589120370372</v>
      </c>
      <c r="C281" s="42" t="s">
        <v>1163</v>
      </c>
      <c r="D281" s="22" t="s">
        <v>1225</v>
      </c>
      <c r="E281" s="42" t="s">
        <v>31</v>
      </c>
      <c r="F281" s="42" t="s">
        <v>584</v>
      </c>
      <c r="G281" s="43">
        <v>9833032997</v>
      </c>
      <c r="H281" s="44"/>
      <c r="I281" s="81">
        <v>45962.589120370372</v>
      </c>
      <c r="J281" t="b">
        <f t="shared" si="4"/>
        <v>0</v>
      </c>
    </row>
    <row r="282" spans="1:10" hidden="1" x14ac:dyDescent="0.25">
      <c r="A282">
        <v>9833078523</v>
      </c>
      <c r="B282" s="41">
        <v>45963.590358796297</v>
      </c>
      <c r="C282" s="42" t="s">
        <v>1290</v>
      </c>
      <c r="D282" s="42" t="s">
        <v>1010</v>
      </c>
      <c r="E282" s="42" t="s">
        <v>55</v>
      </c>
      <c r="F282" s="42" t="s">
        <v>739</v>
      </c>
      <c r="G282" s="43">
        <v>9833078523</v>
      </c>
      <c r="H282" s="42" t="s">
        <v>1297</v>
      </c>
      <c r="I282" s="81">
        <v>45963.590358796297</v>
      </c>
      <c r="J282" t="b">
        <f t="shared" si="4"/>
        <v>0</v>
      </c>
    </row>
    <row r="283" spans="1:10" hidden="1" x14ac:dyDescent="0.25">
      <c r="A283">
        <v>9833169698</v>
      </c>
      <c r="D283" t="s">
        <v>1010</v>
      </c>
      <c r="E283" t="s">
        <v>47</v>
      </c>
      <c r="F283" t="s">
        <v>687</v>
      </c>
      <c r="G283">
        <v>9833169698</v>
      </c>
      <c r="H283">
        <v>0</v>
      </c>
      <c r="I283" s="81">
        <v>45941.582754629628</v>
      </c>
      <c r="J283" t="b">
        <f t="shared" si="4"/>
        <v>0</v>
      </c>
    </row>
    <row r="284" spans="1:10" ht="25.5" hidden="1" x14ac:dyDescent="0.25">
      <c r="A284">
        <v>9833180748</v>
      </c>
      <c r="B284" s="39">
        <v>45963.874606481484</v>
      </c>
      <c r="C284" s="40"/>
      <c r="D284" s="38" t="s">
        <v>1010</v>
      </c>
      <c r="E284" s="38" t="s">
        <v>23</v>
      </c>
      <c r="F284" s="38" t="s">
        <v>295</v>
      </c>
      <c r="G284" s="37">
        <v>9833180748</v>
      </c>
      <c r="H284" s="38" t="s">
        <v>1317</v>
      </c>
      <c r="I284" s="81">
        <v>45963.874606481484</v>
      </c>
      <c r="J284" t="b">
        <f t="shared" si="4"/>
        <v>0</v>
      </c>
    </row>
    <row r="285" spans="1:10" ht="26.25" hidden="1" thickBot="1" x14ac:dyDescent="0.3">
      <c r="A285">
        <v>9833184392</v>
      </c>
      <c r="B285" s="39">
        <v>45962.654675925929</v>
      </c>
      <c r="C285" s="38" t="s">
        <v>1223</v>
      </c>
      <c r="D285" s="21" t="s">
        <v>1211</v>
      </c>
      <c r="E285" s="38" t="s">
        <v>1125</v>
      </c>
      <c r="F285" s="38" t="s">
        <v>40</v>
      </c>
      <c r="G285" s="37">
        <v>9833184392</v>
      </c>
      <c r="H285" s="38" t="s">
        <v>1227</v>
      </c>
      <c r="I285" s="81">
        <v>45962.654675925929</v>
      </c>
      <c r="J285" t="b">
        <f t="shared" si="4"/>
        <v>0</v>
      </c>
    </row>
    <row r="286" spans="1:10" ht="15.75" hidden="1" thickBot="1" x14ac:dyDescent="0.3">
      <c r="A286">
        <v>9833202274</v>
      </c>
      <c r="B286" s="39">
        <v>45962.685497685183</v>
      </c>
      <c r="C286" s="38" t="s">
        <v>1256</v>
      </c>
      <c r="D286" s="22" t="s">
        <v>1225</v>
      </c>
      <c r="E286" s="38" t="s">
        <v>77</v>
      </c>
      <c r="F286" s="38" t="s">
        <v>78</v>
      </c>
      <c r="G286" s="37">
        <v>9833202274</v>
      </c>
      <c r="H286" s="40"/>
      <c r="I286" s="81">
        <v>45962.685497685183</v>
      </c>
      <c r="J286" t="b">
        <f t="shared" si="4"/>
        <v>0</v>
      </c>
    </row>
    <row r="287" spans="1:10" hidden="1" x14ac:dyDescent="0.25">
      <c r="A287">
        <v>9833229112</v>
      </c>
      <c r="D287" t="s">
        <v>1010</v>
      </c>
      <c r="E287" t="s">
        <v>81</v>
      </c>
      <c r="F287" t="s">
        <v>372</v>
      </c>
      <c r="G287">
        <v>9833229112</v>
      </c>
      <c r="H287" t="s">
        <v>1038</v>
      </c>
      <c r="I287" s="81">
        <v>45957.854722222219</v>
      </c>
      <c r="J287" t="b">
        <f t="shared" si="4"/>
        <v>0</v>
      </c>
    </row>
    <row r="288" spans="1:10" ht="26.25" hidden="1" thickBot="1" x14ac:dyDescent="0.3">
      <c r="A288">
        <v>9833345544</v>
      </c>
      <c r="B288" s="41">
        <v>45961.91233796296</v>
      </c>
      <c r="C288" s="42" t="s">
        <v>1210</v>
      </c>
      <c r="D288" s="21" t="s">
        <v>1211</v>
      </c>
      <c r="E288" s="42" t="s">
        <v>33</v>
      </c>
      <c r="F288" s="42" t="s">
        <v>157</v>
      </c>
      <c r="G288" s="43">
        <v>9833345544</v>
      </c>
      <c r="H288" s="42" t="s">
        <v>1213</v>
      </c>
      <c r="I288" s="81">
        <v>45961.91233796296</v>
      </c>
      <c r="J288" t="b">
        <f t="shared" si="4"/>
        <v>0</v>
      </c>
    </row>
    <row r="289" spans="1:10" ht="26.25" hidden="1" thickBot="1" x14ac:dyDescent="0.3">
      <c r="A289">
        <v>9833353033</v>
      </c>
      <c r="B289" s="39">
        <v>45964.521689814814</v>
      </c>
      <c r="C289" s="40"/>
      <c r="D289" s="21" t="s">
        <v>1211</v>
      </c>
      <c r="E289" s="38" t="s">
        <v>11</v>
      </c>
      <c r="F289" s="38" t="s">
        <v>574</v>
      </c>
      <c r="G289" s="37">
        <v>9833353033</v>
      </c>
      <c r="H289" s="38" t="s">
        <v>1327</v>
      </c>
      <c r="I289" s="81">
        <v>45964.521689814814</v>
      </c>
      <c r="J289" t="b">
        <f t="shared" si="4"/>
        <v>0</v>
      </c>
    </row>
    <row r="290" spans="1:10" ht="15.75" thickBot="1" x14ac:dyDescent="0.3">
      <c r="A290">
        <v>9833374470</v>
      </c>
      <c r="B290" s="41">
        <v>45963.497974537036</v>
      </c>
      <c r="C290" s="42" t="s">
        <v>1257</v>
      </c>
      <c r="D290" s="21" t="s">
        <v>1217</v>
      </c>
      <c r="E290" s="42" t="s">
        <v>60</v>
      </c>
      <c r="F290" s="42" t="s">
        <v>646</v>
      </c>
      <c r="G290" s="43">
        <v>9833374470</v>
      </c>
      <c r="H290" s="42" t="s">
        <v>1275</v>
      </c>
      <c r="I290" s="81">
        <v>45963.497974537036</v>
      </c>
      <c r="J290" t="b">
        <f t="shared" si="4"/>
        <v>0</v>
      </c>
    </row>
    <row r="291" spans="1:10" ht="15.75" hidden="1" thickBot="1" x14ac:dyDescent="0.3">
      <c r="A291">
        <v>9833517067</v>
      </c>
      <c r="D291" s="22" t="s">
        <v>1225</v>
      </c>
      <c r="E291" t="s">
        <v>789</v>
      </c>
      <c r="F291" t="s">
        <v>957</v>
      </c>
      <c r="G291">
        <v>9833517067</v>
      </c>
      <c r="H291">
        <v>0</v>
      </c>
      <c r="I291" s="81">
        <v>45957.93309027778</v>
      </c>
      <c r="J291" t="b">
        <f t="shared" si="4"/>
        <v>0</v>
      </c>
    </row>
    <row r="292" spans="1:10" hidden="1" x14ac:dyDescent="0.25">
      <c r="A292">
        <v>9833577351</v>
      </c>
      <c r="B292" s="41">
        <v>45962.583657407406</v>
      </c>
      <c r="C292" s="42" t="s">
        <v>1222</v>
      </c>
      <c r="D292" s="42" t="s">
        <v>1010</v>
      </c>
      <c r="E292" s="42" t="s">
        <v>41</v>
      </c>
      <c r="F292" s="42" t="s">
        <v>589</v>
      </c>
      <c r="G292" s="43">
        <v>9833577351</v>
      </c>
      <c r="H292" s="44"/>
      <c r="I292" s="81">
        <v>45962.583657407406</v>
      </c>
      <c r="J292" t="b">
        <f t="shared" si="4"/>
        <v>0</v>
      </c>
    </row>
    <row r="293" spans="1:10" hidden="1" x14ac:dyDescent="0.25">
      <c r="A293">
        <v>9833681821</v>
      </c>
      <c r="D293" t="s">
        <v>1010</v>
      </c>
      <c r="E293" t="s">
        <v>81</v>
      </c>
      <c r="F293" t="s">
        <v>277</v>
      </c>
      <c r="G293">
        <v>9833681821</v>
      </c>
      <c r="H293">
        <v>0</v>
      </c>
      <c r="I293" s="81">
        <v>45957.870208333334</v>
      </c>
      <c r="J293" t="b">
        <f t="shared" si="4"/>
        <v>0</v>
      </c>
    </row>
    <row r="294" spans="1:10" ht="15.75" hidden="1" thickBot="1" x14ac:dyDescent="0.3">
      <c r="A294">
        <v>9833705425</v>
      </c>
      <c r="D294" s="21" t="s">
        <v>1211</v>
      </c>
      <c r="E294" t="s">
        <v>12</v>
      </c>
      <c r="F294" t="s">
        <v>511</v>
      </c>
      <c r="G294">
        <v>9833705425</v>
      </c>
      <c r="H294">
        <v>0</v>
      </c>
      <c r="I294" s="81">
        <v>45941.583240740743</v>
      </c>
      <c r="J294" t="b">
        <f t="shared" si="4"/>
        <v>0</v>
      </c>
    </row>
    <row r="295" spans="1:10" hidden="1" x14ac:dyDescent="0.25">
      <c r="A295">
        <v>9833729262</v>
      </c>
      <c r="B295" s="41">
        <v>45963.437442129631</v>
      </c>
      <c r="C295" s="42" t="s">
        <v>1266</v>
      </c>
      <c r="D295" s="42" t="s">
        <v>1010</v>
      </c>
      <c r="E295" s="42" t="s">
        <v>12</v>
      </c>
      <c r="F295" s="42" t="s">
        <v>654</v>
      </c>
      <c r="G295" s="43">
        <v>9833729262</v>
      </c>
      <c r="H295" s="42" t="s">
        <v>1270</v>
      </c>
      <c r="I295" s="81">
        <v>45963.437442129631</v>
      </c>
      <c r="J295" t="b">
        <f t="shared" si="4"/>
        <v>0</v>
      </c>
    </row>
    <row r="296" spans="1:10" hidden="1" x14ac:dyDescent="0.25">
      <c r="A296">
        <v>9833933540</v>
      </c>
      <c r="B296" s="39">
        <v>45962.578634259262</v>
      </c>
      <c r="C296" s="38" t="s">
        <v>1223</v>
      </c>
      <c r="D296" s="38" t="s">
        <v>1010</v>
      </c>
      <c r="E296" s="38" t="s">
        <v>1125</v>
      </c>
      <c r="F296" s="38" t="s">
        <v>588</v>
      </c>
      <c r="G296" s="37">
        <v>9833933540</v>
      </c>
      <c r="H296" s="38" t="s">
        <v>1224</v>
      </c>
      <c r="I296" s="81">
        <v>45962.578634259262</v>
      </c>
      <c r="J296" t="b">
        <f t="shared" si="4"/>
        <v>0</v>
      </c>
    </row>
    <row r="297" spans="1:10" hidden="1" x14ac:dyDescent="0.25">
      <c r="A297">
        <v>9833936221</v>
      </c>
      <c r="B297" s="41">
        <v>45963.875057870369</v>
      </c>
      <c r="C297" s="44"/>
      <c r="D297" s="42" t="s">
        <v>1010</v>
      </c>
      <c r="E297" s="42" t="s">
        <v>23</v>
      </c>
      <c r="F297" s="42" t="s">
        <v>532</v>
      </c>
      <c r="G297" s="43">
        <v>9833936221</v>
      </c>
      <c r="H297" s="42" t="s">
        <v>1030</v>
      </c>
      <c r="I297" s="81">
        <v>45963.875057870369</v>
      </c>
      <c r="J297" t="b">
        <f t="shared" si="4"/>
        <v>0</v>
      </c>
    </row>
    <row r="298" spans="1:10" ht="15.75" hidden="1" thickBot="1" x14ac:dyDescent="0.3">
      <c r="A298">
        <v>9867015031</v>
      </c>
      <c r="B298" s="41">
        <v>45963.870995370373</v>
      </c>
      <c r="C298" s="44"/>
      <c r="D298" s="21" t="s">
        <v>1211</v>
      </c>
      <c r="E298" s="42" t="s">
        <v>23</v>
      </c>
      <c r="F298" s="42" t="s">
        <v>7</v>
      </c>
      <c r="G298" s="43">
        <v>9867015031</v>
      </c>
      <c r="H298" s="42" t="s">
        <v>1312</v>
      </c>
      <c r="I298" s="81">
        <v>45963.870995370373</v>
      </c>
      <c r="J298" t="b">
        <f t="shared" si="4"/>
        <v>0</v>
      </c>
    </row>
    <row r="299" spans="1:10" ht="26.25" thickBot="1" x14ac:dyDescent="0.3">
      <c r="A299">
        <v>9867122626</v>
      </c>
      <c r="B299" s="41">
        <v>45961.923784722225</v>
      </c>
      <c r="C299" s="42" t="s">
        <v>1210</v>
      </c>
      <c r="D299" s="21" t="s">
        <v>1217</v>
      </c>
      <c r="E299" s="42" t="s">
        <v>33</v>
      </c>
      <c r="F299" s="42" t="s">
        <v>205</v>
      </c>
      <c r="G299" s="43">
        <v>9867122626</v>
      </c>
      <c r="H299" s="44"/>
      <c r="I299" s="81">
        <v>45961.923784722225</v>
      </c>
      <c r="J299" t="b">
        <f t="shared" si="4"/>
        <v>0</v>
      </c>
    </row>
    <row r="300" spans="1:10" ht="15.75" hidden="1" thickBot="1" x14ac:dyDescent="0.3">
      <c r="A300">
        <v>9867200070</v>
      </c>
      <c r="D300" s="21" t="s">
        <v>1211</v>
      </c>
      <c r="E300" t="s">
        <v>17</v>
      </c>
      <c r="F300" t="s">
        <v>720</v>
      </c>
      <c r="G300">
        <v>9867200070</v>
      </c>
      <c r="H300">
        <v>0</v>
      </c>
      <c r="I300" s="81">
        <v>45942.648564814815</v>
      </c>
      <c r="J300" t="b">
        <f t="shared" si="4"/>
        <v>0</v>
      </c>
    </row>
    <row r="301" spans="1:10" ht="15.75" hidden="1" thickBot="1" x14ac:dyDescent="0.3">
      <c r="A301">
        <v>9867252526</v>
      </c>
      <c r="B301" s="41">
        <v>45963.588171296295</v>
      </c>
      <c r="C301" s="42" t="s">
        <v>1290</v>
      </c>
      <c r="D301" s="21" t="s">
        <v>1211</v>
      </c>
      <c r="E301" s="42" t="s">
        <v>55</v>
      </c>
      <c r="F301" s="42" t="s">
        <v>168</v>
      </c>
      <c r="G301" s="43">
        <v>9867252526</v>
      </c>
      <c r="H301" s="44"/>
      <c r="I301" s="81">
        <v>45963.588171296295</v>
      </c>
      <c r="J301" t="b">
        <f t="shared" si="4"/>
        <v>0</v>
      </c>
    </row>
    <row r="302" spans="1:10" ht="15.75" hidden="1" thickBot="1" x14ac:dyDescent="0.3">
      <c r="A302">
        <v>9867277012</v>
      </c>
      <c r="B302" s="41">
        <v>45964.430960648147</v>
      </c>
      <c r="C302" s="44"/>
      <c r="D302" s="21" t="s">
        <v>1211</v>
      </c>
      <c r="E302" s="42" t="s">
        <v>1305</v>
      </c>
      <c r="F302" s="42" t="s">
        <v>122</v>
      </c>
      <c r="G302" s="43">
        <v>9867277012</v>
      </c>
      <c r="H302" s="44"/>
      <c r="I302" s="81">
        <v>45964.430960648147</v>
      </c>
      <c r="J302" t="b">
        <f t="shared" si="4"/>
        <v>0</v>
      </c>
    </row>
    <row r="303" spans="1:10" ht="15.75" thickBot="1" x14ac:dyDescent="0.3">
      <c r="A303">
        <v>9867319071</v>
      </c>
      <c r="B303" s="41">
        <v>45962.35527777778</v>
      </c>
      <c r="C303" s="42" t="s">
        <v>1151</v>
      </c>
      <c r="D303" s="21" t="s">
        <v>1217</v>
      </c>
      <c r="E303" s="42" t="s">
        <v>29</v>
      </c>
      <c r="F303" s="42" t="s">
        <v>440</v>
      </c>
      <c r="G303" s="43">
        <v>9867319071</v>
      </c>
      <c r="H303" s="42" t="s">
        <v>1115</v>
      </c>
      <c r="I303" s="81">
        <v>45962.35527777778</v>
      </c>
      <c r="J303" t="b">
        <f t="shared" si="4"/>
        <v>0</v>
      </c>
    </row>
    <row r="304" spans="1:10" ht="15.75" hidden="1" thickBot="1" x14ac:dyDescent="0.3">
      <c r="A304">
        <v>9867328282</v>
      </c>
      <c r="B304" s="39">
        <v>45962.581608796296</v>
      </c>
      <c r="C304" s="38" t="s">
        <v>1222</v>
      </c>
      <c r="D304" s="21" t="s">
        <v>1211</v>
      </c>
      <c r="E304" s="38" t="s">
        <v>41</v>
      </c>
      <c r="F304" s="38" t="s">
        <v>161</v>
      </c>
      <c r="G304" s="37">
        <v>9867328282</v>
      </c>
      <c r="H304" s="40"/>
      <c r="I304" s="81">
        <v>45962.581608796296</v>
      </c>
      <c r="J304" t="b">
        <f t="shared" si="4"/>
        <v>0</v>
      </c>
    </row>
    <row r="305" spans="1:10" ht="15.75" thickBot="1" x14ac:dyDescent="0.3">
      <c r="A305">
        <v>9867388313</v>
      </c>
      <c r="D305" s="21" t="s">
        <v>1217</v>
      </c>
      <c r="E305" t="s">
        <v>49</v>
      </c>
      <c r="F305" t="s">
        <v>165</v>
      </c>
      <c r="G305">
        <v>9867388313</v>
      </c>
      <c r="H305" t="s">
        <v>1023</v>
      </c>
      <c r="I305" s="81">
        <v>45942.45784722222</v>
      </c>
      <c r="J305" t="b">
        <f t="shared" si="4"/>
        <v>0</v>
      </c>
    </row>
    <row r="306" spans="1:10" ht="15.75" hidden="1" thickBot="1" x14ac:dyDescent="0.3">
      <c r="A306">
        <v>9867723289</v>
      </c>
      <c r="D306" s="22" t="s">
        <v>1225</v>
      </c>
      <c r="E306" t="s">
        <v>72</v>
      </c>
      <c r="F306" t="s">
        <v>225</v>
      </c>
      <c r="G306">
        <v>9867723289</v>
      </c>
      <c r="H306">
        <v>0</v>
      </c>
      <c r="I306" s="81">
        <v>45956.619444444441</v>
      </c>
      <c r="J306" t="b">
        <f t="shared" si="4"/>
        <v>0</v>
      </c>
    </row>
    <row r="307" spans="1:10" hidden="1" x14ac:dyDescent="0.25">
      <c r="A307">
        <v>9867986666</v>
      </c>
      <c r="B307" s="39">
        <v>45963.498472222222</v>
      </c>
      <c r="C307" s="38" t="s">
        <v>1257</v>
      </c>
      <c r="D307" s="38" t="s">
        <v>1010</v>
      </c>
      <c r="E307" s="38" t="s">
        <v>60</v>
      </c>
      <c r="F307" s="38" t="s">
        <v>123</v>
      </c>
      <c r="G307" s="37">
        <v>9867986666</v>
      </c>
      <c r="H307" s="38" t="s">
        <v>1276</v>
      </c>
      <c r="I307" s="81">
        <v>45963.498472222222</v>
      </c>
      <c r="J307" t="b">
        <f t="shared" si="4"/>
        <v>0</v>
      </c>
    </row>
    <row r="308" spans="1:10" hidden="1" x14ac:dyDescent="0.25">
      <c r="A308">
        <v>9869005638</v>
      </c>
      <c r="D308" t="s">
        <v>1010</v>
      </c>
      <c r="E308" t="s">
        <v>35</v>
      </c>
      <c r="F308" t="s">
        <v>110</v>
      </c>
      <c r="G308">
        <v>9869005638</v>
      </c>
      <c r="H308" t="s">
        <v>1109</v>
      </c>
      <c r="I308" s="81">
        <v>45958.432488425926</v>
      </c>
      <c r="J308" t="b">
        <f t="shared" si="4"/>
        <v>0</v>
      </c>
    </row>
    <row r="309" spans="1:10" ht="26.25" thickBot="1" x14ac:dyDescent="0.3">
      <c r="A309">
        <v>9869136046</v>
      </c>
      <c r="B309" s="41">
        <v>45963.541550925926</v>
      </c>
      <c r="C309" s="42" t="s">
        <v>1288</v>
      </c>
      <c r="D309" s="21" t="s">
        <v>1217</v>
      </c>
      <c r="E309" s="42" t="s">
        <v>785</v>
      </c>
      <c r="F309" s="42" t="s">
        <v>786</v>
      </c>
      <c r="G309" s="43">
        <v>9869136046</v>
      </c>
      <c r="H309" s="42" t="s">
        <v>1289</v>
      </c>
      <c r="I309" s="81">
        <v>45963.541550925926</v>
      </c>
      <c r="J309" t="b">
        <f t="shared" si="4"/>
        <v>0</v>
      </c>
    </row>
    <row r="310" spans="1:10" hidden="1" x14ac:dyDescent="0.25">
      <c r="A310">
        <v>9869397519</v>
      </c>
      <c r="D310" t="s">
        <v>1010</v>
      </c>
      <c r="E310" t="s">
        <v>72</v>
      </c>
      <c r="F310" t="s">
        <v>748</v>
      </c>
      <c r="G310">
        <v>9869397519</v>
      </c>
      <c r="H310">
        <v>0</v>
      </c>
      <c r="I310" s="81">
        <v>45956.617199074077</v>
      </c>
      <c r="J310" t="b">
        <f t="shared" si="4"/>
        <v>0</v>
      </c>
    </row>
    <row r="311" spans="1:10" ht="15.75" hidden="1" thickBot="1" x14ac:dyDescent="0.3">
      <c r="A311">
        <v>9869652536</v>
      </c>
      <c r="B311" s="39">
        <v>45963.462881944448</v>
      </c>
      <c r="C311" s="38" t="s">
        <v>1266</v>
      </c>
      <c r="D311" s="21" t="s">
        <v>1211</v>
      </c>
      <c r="E311" s="38" t="s">
        <v>12</v>
      </c>
      <c r="F311" s="38" t="s">
        <v>274</v>
      </c>
      <c r="G311" s="37">
        <v>9869652536</v>
      </c>
      <c r="H311" s="40"/>
      <c r="I311" s="81">
        <v>45963.462881944448</v>
      </c>
      <c r="J311" t="b">
        <f t="shared" si="4"/>
        <v>0</v>
      </c>
    </row>
    <row r="312" spans="1:10" ht="26.25" hidden="1" thickBot="1" x14ac:dyDescent="0.3">
      <c r="A312">
        <v>9869906116</v>
      </c>
      <c r="B312" s="41">
        <v>45963.433819444443</v>
      </c>
      <c r="C312" s="42" t="s">
        <v>1266</v>
      </c>
      <c r="D312" s="21" t="s">
        <v>1211</v>
      </c>
      <c r="E312" s="42" t="s">
        <v>12</v>
      </c>
      <c r="F312" s="42" t="s">
        <v>369</v>
      </c>
      <c r="G312" s="43">
        <v>9869906116</v>
      </c>
      <c r="H312" s="44"/>
      <c r="I312" s="81">
        <v>45963.433819444443</v>
      </c>
      <c r="J312" t="b">
        <f t="shared" si="4"/>
        <v>0</v>
      </c>
    </row>
    <row r="313" spans="1:10" ht="15.75" hidden="1" thickBot="1" x14ac:dyDescent="0.3">
      <c r="A313">
        <v>9874376748</v>
      </c>
      <c r="D313" s="21" t="s">
        <v>1211</v>
      </c>
      <c r="E313" t="s">
        <v>43</v>
      </c>
      <c r="F313" t="s">
        <v>590</v>
      </c>
      <c r="G313">
        <v>9874376748</v>
      </c>
      <c r="H313" t="s">
        <v>1110</v>
      </c>
      <c r="I313" s="81">
        <v>45958.873298611114</v>
      </c>
      <c r="J313" t="b">
        <f t="shared" si="4"/>
        <v>0</v>
      </c>
    </row>
    <row r="314" spans="1:10" ht="39" thickBot="1" x14ac:dyDescent="0.3">
      <c r="A314">
        <v>9879060094</v>
      </c>
      <c r="B314" s="39">
        <v>45963.435057870367</v>
      </c>
      <c r="C314" s="38" t="s">
        <v>1220</v>
      </c>
      <c r="D314" s="21" t="s">
        <v>1217</v>
      </c>
      <c r="E314" s="38" t="s">
        <v>57</v>
      </c>
      <c r="F314" s="38" t="s">
        <v>169</v>
      </c>
      <c r="G314" s="37">
        <v>9879060094</v>
      </c>
      <c r="H314" s="38" t="s">
        <v>1269</v>
      </c>
      <c r="I314" s="81">
        <v>45963.435057870367</v>
      </c>
      <c r="J314" t="b">
        <f t="shared" si="4"/>
        <v>0</v>
      </c>
    </row>
    <row r="315" spans="1:10" hidden="1" x14ac:dyDescent="0.25">
      <c r="A315">
        <v>9890208968</v>
      </c>
      <c r="B315" s="41">
        <v>45962.669965277775</v>
      </c>
      <c r="C315" s="42" t="s">
        <v>1241</v>
      </c>
      <c r="D315" s="42" t="s">
        <v>1010</v>
      </c>
      <c r="E315" s="42" t="s">
        <v>95</v>
      </c>
      <c r="F315" s="42" t="s">
        <v>379</v>
      </c>
      <c r="G315" s="43">
        <v>9890208968</v>
      </c>
      <c r="H315" s="42" t="s">
        <v>1248</v>
      </c>
      <c r="I315" s="81">
        <v>45962.669965277775</v>
      </c>
      <c r="J315" t="b">
        <f t="shared" si="4"/>
        <v>0</v>
      </c>
    </row>
    <row r="316" spans="1:10" ht="25.5" hidden="1" x14ac:dyDescent="0.25">
      <c r="A316">
        <v>9892062311</v>
      </c>
      <c r="B316" s="41">
        <v>45963.874097222222</v>
      </c>
      <c r="C316" s="44"/>
      <c r="D316" s="42" t="s">
        <v>1010</v>
      </c>
      <c r="E316" s="42" t="s">
        <v>23</v>
      </c>
      <c r="F316" s="42" t="s">
        <v>580</v>
      </c>
      <c r="G316" s="43">
        <v>9892062311</v>
      </c>
      <c r="H316" s="42" t="s">
        <v>1313</v>
      </c>
      <c r="I316" s="81">
        <v>45963.874097222222</v>
      </c>
      <c r="J316" t="b">
        <f t="shared" si="4"/>
        <v>0</v>
      </c>
    </row>
    <row r="317" spans="1:10" hidden="1" x14ac:dyDescent="0.25">
      <c r="A317">
        <v>9892123876</v>
      </c>
      <c r="B317" s="39">
        <v>45962.585474537038</v>
      </c>
      <c r="C317" s="38" t="s">
        <v>1163</v>
      </c>
      <c r="D317" s="38" t="s">
        <v>1010</v>
      </c>
      <c r="E317" s="38" t="s">
        <v>31</v>
      </c>
      <c r="F317" s="38" t="s">
        <v>108</v>
      </c>
      <c r="G317" s="37">
        <v>9892123876</v>
      </c>
      <c r="H317" s="40"/>
      <c r="I317" s="81">
        <v>45962.585474537038</v>
      </c>
      <c r="J317" t="b">
        <f t="shared" si="4"/>
        <v>0</v>
      </c>
    </row>
    <row r="318" spans="1:10" ht="26.25" hidden="1" thickBot="1" x14ac:dyDescent="0.3">
      <c r="A318">
        <v>9892146517</v>
      </c>
      <c r="B318" s="41">
        <v>45962.600532407407</v>
      </c>
      <c r="C318" s="42" t="s">
        <v>1223</v>
      </c>
      <c r="D318" s="21" t="s">
        <v>1211</v>
      </c>
      <c r="E318" s="42" t="s">
        <v>1125</v>
      </c>
      <c r="F318" s="42" t="s">
        <v>256</v>
      </c>
      <c r="G318" s="43">
        <v>9892146517</v>
      </c>
      <c r="H318" s="42" t="s">
        <v>1227</v>
      </c>
      <c r="I318" s="81">
        <v>45962.600532407407</v>
      </c>
      <c r="J318" t="b">
        <f t="shared" si="4"/>
        <v>0</v>
      </c>
    </row>
    <row r="319" spans="1:10" ht="15.75" hidden="1" thickBot="1" x14ac:dyDescent="0.3">
      <c r="A319">
        <v>9892199169</v>
      </c>
      <c r="D319" s="21" t="s">
        <v>1211</v>
      </c>
      <c r="E319" t="s">
        <v>49</v>
      </c>
      <c r="F319" t="s">
        <v>736</v>
      </c>
      <c r="G319">
        <v>9892199169</v>
      </c>
      <c r="H319">
        <v>0</v>
      </c>
      <c r="I319" s="81">
        <v>45956.510613425926</v>
      </c>
      <c r="J319" t="b">
        <f t="shared" si="4"/>
        <v>0</v>
      </c>
    </row>
    <row r="320" spans="1:10" ht="26.25" thickBot="1" x14ac:dyDescent="0.3">
      <c r="A320">
        <v>9892303256</v>
      </c>
      <c r="B320" s="41">
        <v>45964.716307870367</v>
      </c>
      <c r="C320" s="44"/>
      <c r="D320" s="21" t="s">
        <v>1217</v>
      </c>
      <c r="E320" s="42" t="s">
        <v>805</v>
      </c>
      <c r="F320" s="42" t="s">
        <v>793</v>
      </c>
      <c r="G320" s="43">
        <v>9892303256</v>
      </c>
      <c r="H320" s="44"/>
      <c r="I320" s="81">
        <v>45964.716307870367</v>
      </c>
      <c r="J320" t="b">
        <f t="shared" si="4"/>
        <v>0</v>
      </c>
    </row>
    <row r="321" spans="1:10" ht="26.25" hidden="1" thickBot="1" x14ac:dyDescent="0.3">
      <c r="A321">
        <v>9892340588</v>
      </c>
      <c r="B321" s="39">
        <v>45962.615833333337</v>
      </c>
      <c r="C321" s="38" t="s">
        <v>1223</v>
      </c>
      <c r="D321" s="21" t="s">
        <v>1211</v>
      </c>
      <c r="E321" s="38" t="s">
        <v>1125</v>
      </c>
      <c r="F321" s="38" t="s">
        <v>492</v>
      </c>
      <c r="G321" s="37">
        <v>9892340588</v>
      </c>
      <c r="H321" s="38" t="s">
        <v>1227</v>
      </c>
      <c r="I321" s="81">
        <v>45962.615833333337</v>
      </c>
      <c r="J321" t="b">
        <f t="shared" si="4"/>
        <v>0</v>
      </c>
    </row>
    <row r="322" spans="1:10" hidden="1" x14ac:dyDescent="0.25">
      <c r="A322">
        <v>9892444456</v>
      </c>
      <c r="B322" s="39">
        <v>45964.430671296293</v>
      </c>
      <c r="C322" s="40"/>
      <c r="D322" s="38" t="s">
        <v>1010</v>
      </c>
      <c r="E322" s="38" t="s">
        <v>1305</v>
      </c>
      <c r="F322" s="38" t="s">
        <v>59</v>
      </c>
      <c r="G322" s="37">
        <v>9892444456</v>
      </c>
      <c r="H322" s="40"/>
      <c r="I322" s="81">
        <v>45964.430671296293</v>
      </c>
      <c r="J322" t="b">
        <f t="shared" si="4"/>
        <v>0</v>
      </c>
    </row>
    <row r="323" spans="1:10" ht="15.75" hidden="1" thickBot="1" x14ac:dyDescent="0.3">
      <c r="A323">
        <v>9892535646</v>
      </c>
      <c r="D323" s="21" t="s">
        <v>1211</v>
      </c>
      <c r="E323" t="s">
        <v>81</v>
      </c>
      <c r="F323" t="s">
        <v>467</v>
      </c>
      <c r="G323">
        <v>9892535646</v>
      </c>
      <c r="H323">
        <v>0</v>
      </c>
      <c r="I323" s="81">
        <v>45957.863437499997</v>
      </c>
      <c r="J323" t="b">
        <f t="shared" si="4"/>
        <v>0</v>
      </c>
    </row>
    <row r="324" spans="1:10" ht="15.75" hidden="1" thickBot="1" x14ac:dyDescent="0.3">
      <c r="A324">
        <v>9892537304</v>
      </c>
      <c r="B324" s="39">
        <v>45963.443773148145</v>
      </c>
      <c r="C324" s="38" t="s">
        <v>1266</v>
      </c>
      <c r="D324" s="21" t="s">
        <v>1211</v>
      </c>
      <c r="E324" s="38" t="s">
        <v>12</v>
      </c>
      <c r="F324" s="38" t="s">
        <v>607</v>
      </c>
      <c r="G324" s="37">
        <v>9892537304</v>
      </c>
      <c r="H324" s="40"/>
      <c r="I324" s="81">
        <v>45963.443773148145</v>
      </c>
      <c r="J324" t="b">
        <f t="shared" ref="J324:J378" si="5">G323=G324</f>
        <v>0</v>
      </c>
    </row>
    <row r="325" spans="1:10" ht="15.75" hidden="1" thickBot="1" x14ac:dyDescent="0.3">
      <c r="A325">
        <v>9892590626</v>
      </c>
      <c r="B325" s="39">
        <v>45963.531469907408</v>
      </c>
      <c r="C325" s="38" t="s">
        <v>1281</v>
      </c>
      <c r="D325" s="22" t="s">
        <v>1225</v>
      </c>
      <c r="E325" s="38" t="s">
        <v>70</v>
      </c>
      <c r="F325" s="38" t="s">
        <v>699</v>
      </c>
      <c r="G325" s="37">
        <v>9892590626</v>
      </c>
      <c r="H325" s="38" t="s">
        <v>1284</v>
      </c>
      <c r="I325" s="81">
        <v>45963.531469907408</v>
      </c>
      <c r="J325" t="b">
        <f t="shared" si="5"/>
        <v>0</v>
      </c>
    </row>
    <row r="326" spans="1:10" ht="15.75" hidden="1" thickBot="1" x14ac:dyDescent="0.3">
      <c r="A326">
        <v>9892635936</v>
      </c>
      <c r="D326" s="21" t="s">
        <v>1211</v>
      </c>
      <c r="E326" t="s">
        <v>45</v>
      </c>
      <c r="F326" t="s">
        <v>46</v>
      </c>
      <c r="G326">
        <v>9892635936</v>
      </c>
      <c r="H326">
        <v>0</v>
      </c>
      <c r="I326" s="81">
        <v>45943.697094907409</v>
      </c>
      <c r="J326" t="b">
        <f t="shared" si="5"/>
        <v>0</v>
      </c>
    </row>
    <row r="327" spans="1:10" ht="26.25" hidden="1" thickBot="1" x14ac:dyDescent="0.3">
      <c r="A327">
        <v>9892686153</v>
      </c>
      <c r="B327" s="39">
        <v>45962.651875000003</v>
      </c>
      <c r="C327" s="38" t="s">
        <v>1223</v>
      </c>
      <c r="D327" s="21" t="s">
        <v>1211</v>
      </c>
      <c r="E327" s="38" t="s">
        <v>1125</v>
      </c>
      <c r="F327" s="38" t="s">
        <v>779</v>
      </c>
      <c r="G327" s="37">
        <v>9892686153</v>
      </c>
      <c r="H327" s="38" t="s">
        <v>1227</v>
      </c>
      <c r="I327" s="81">
        <v>45962.651875000003</v>
      </c>
      <c r="J327" t="b">
        <f t="shared" si="5"/>
        <v>0</v>
      </c>
    </row>
    <row r="328" spans="1:10" ht="25.5" hidden="1" x14ac:dyDescent="0.25">
      <c r="A328">
        <v>9892879893</v>
      </c>
      <c r="B328" s="41">
        <v>45962.581006944441</v>
      </c>
      <c r="C328" s="42" t="s">
        <v>1163</v>
      </c>
      <c r="D328" s="42" t="s">
        <v>1010</v>
      </c>
      <c r="E328" s="42" t="s">
        <v>31</v>
      </c>
      <c r="F328" s="42" t="s">
        <v>441</v>
      </c>
      <c r="G328" s="43">
        <v>9892879893</v>
      </c>
      <c r="H328" s="44"/>
      <c r="I328" s="81">
        <v>45962.581006944441</v>
      </c>
      <c r="J328" t="b">
        <f t="shared" si="5"/>
        <v>0</v>
      </c>
    </row>
    <row r="329" spans="1:10" hidden="1" x14ac:dyDescent="0.25">
      <c r="A329">
        <v>9912062970</v>
      </c>
      <c r="B329" s="41">
        <v>45962.768553240741</v>
      </c>
      <c r="C329" s="42" t="s">
        <v>1259</v>
      </c>
      <c r="D329" s="42" t="s">
        <v>1010</v>
      </c>
      <c r="E329" s="42" t="s">
        <v>797</v>
      </c>
      <c r="F329" s="42" t="s">
        <v>928</v>
      </c>
      <c r="G329" s="43">
        <v>9912062970</v>
      </c>
      <c r="H329" s="44"/>
      <c r="I329" s="81">
        <v>45962.768553240741</v>
      </c>
      <c r="J329" t="b">
        <f t="shared" si="5"/>
        <v>0</v>
      </c>
    </row>
    <row r="330" spans="1:10" ht="15.75" hidden="1" thickBot="1" x14ac:dyDescent="0.3">
      <c r="A330">
        <v>9920115155</v>
      </c>
      <c r="D330" s="21" t="s">
        <v>1211</v>
      </c>
      <c r="E330" t="s">
        <v>49</v>
      </c>
      <c r="F330" t="s">
        <v>450</v>
      </c>
      <c r="G330">
        <v>9920115155</v>
      </c>
      <c r="H330">
        <v>0</v>
      </c>
      <c r="I330" s="81">
        <v>45942.451180555552</v>
      </c>
      <c r="J330" t="b">
        <f t="shared" si="5"/>
        <v>0</v>
      </c>
    </row>
    <row r="331" spans="1:10" hidden="1" x14ac:dyDescent="0.25">
      <c r="A331">
        <v>9920135003</v>
      </c>
      <c r="D331" t="s">
        <v>1024</v>
      </c>
      <c r="E331" t="s">
        <v>789</v>
      </c>
      <c r="F331" t="s">
        <v>894</v>
      </c>
      <c r="G331">
        <v>9920135003</v>
      </c>
      <c r="H331">
        <v>0</v>
      </c>
      <c r="I331" s="81">
        <v>45957.916180555556</v>
      </c>
      <c r="J331" t="b">
        <f t="shared" si="5"/>
        <v>0</v>
      </c>
    </row>
    <row r="332" spans="1:10" hidden="1" x14ac:dyDescent="0.25">
      <c r="A332">
        <v>9920145200</v>
      </c>
      <c r="D332" t="s">
        <v>1024</v>
      </c>
      <c r="E332" t="s">
        <v>789</v>
      </c>
      <c r="F332" t="s">
        <v>795</v>
      </c>
      <c r="G332">
        <v>9920145200</v>
      </c>
      <c r="H332">
        <v>0</v>
      </c>
      <c r="I332" s="81">
        <v>45957.915300925924</v>
      </c>
      <c r="J332" t="b">
        <f t="shared" si="5"/>
        <v>0</v>
      </c>
    </row>
    <row r="333" spans="1:10" hidden="1" x14ac:dyDescent="0.25">
      <c r="A333">
        <v>9920151221</v>
      </c>
      <c r="D333" t="s">
        <v>1010</v>
      </c>
      <c r="E333" t="s">
        <v>789</v>
      </c>
      <c r="F333" t="s">
        <v>790</v>
      </c>
      <c r="G333">
        <v>9920151221</v>
      </c>
      <c r="H333">
        <v>0</v>
      </c>
      <c r="I333" s="81">
        <v>45957.934675925928</v>
      </c>
      <c r="J333" t="b">
        <f t="shared" si="5"/>
        <v>0</v>
      </c>
    </row>
    <row r="334" spans="1:10" ht="15.75" thickBot="1" x14ac:dyDescent="0.3">
      <c r="A334">
        <v>9920202022</v>
      </c>
      <c r="B334" s="39">
        <v>45962.689571759256</v>
      </c>
      <c r="C334" s="38" t="s">
        <v>1256</v>
      </c>
      <c r="D334" s="21" t="s">
        <v>1217</v>
      </c>
      <c r="E334" s="38" t="s">
        <v>77</v>
      </c>
      <c r="F334" s="38" t="s">
        <v>418</v>
      </c>
      <c r="G334" s="37">
        <v>9920202022</v>
      </c>
      <c r="H334" s="40"/>
      <c r="I334" s="81">
        <v>45962.689571759256</v>
      </c>
      <c r="J334" t="b">
        <f t="shared" si="5"/>
        <v>0</v>
      </c>
    </row>
    <row r="335" spans="1:10" ht="15.75" hidden="1" thickBot="1" x14ac:dyDescent="0.3">
      <c r="A335">
        <v>9920233447</v>
      </c>
      <c r="D335" s="22" t="s">
        <v>1225</v>
      </c>
      <c r="E335" t="s">
        <v>799</v>
      </c>
      <c r="F335" t="s">
        <v>800</v>
      </c>
      <c r="G335">
        <v>9920233447</v>
      </c>
      <c r="H335">
        <v>0</v>
      </c>
      <c r="I335" s="81">
        <v>45943.494016203702</v>
      </c>
      <c r="J335" t="b">
        <f t="shared" si="5"/>
        <v>0</v>
      </c>
    </row>
    <row r="336" spans="1:10" ht="15.75" hidden="1" thickBot="1" x14ac:dyDescent="0.3">
      <c r="A336">
        <v>9920242371</v>
      </c>
      <c r="D336" s="22" t="s">
        <v>1225</v>
      </c>
      <c r="E336" t="s">
        <v>35</v>
      </c>
      <c r="F336" t="s">
        <v>538</v>
      </c>
      <c r="G336">
        <v>9920242371</v>
      </c>
      <c r="H336">
        <v>0</v>
      </c>
      <c r="I336" s="81">
        <v>45958.432708333334</v>
      </c>
      <c r="J336" t="b">
        <f t="shared" si="5"/>
        <v>0</v>
      </c>
    </row>
    <row r="337" spans="1:10" ht="15.75" hidden="1" thickBot="1" x14ac:dyDescent="0.3">
      <c r="A337">
        <v>9920247736</v>
      </c>
      <c r="B337" s="39">
        <v>45962.769571759258</v>
      </c>
      <c r="C337" s="38" t="s">
        <v>1259</v>
      </c>
      <c r="D337" s="22" t="s">
        <v>1225</v>
      </c>
      <c r="E337" s="38" t="s">
        <v>797</v>
      </c>
      <c r="F337" s="38" t="s">
        <v>961</v>
      </c>
      <c r="G337" s="37">
        <v>9920247736</v>
      </c>
      <c r="H337" s="40"/>
      <c r="I337" s="81">
        <v>45962.769571759258</v>
      </c>
      <c r="J337" t="b">
        <f t="shared" si="5"/>
        <v>0</v>
      </c>
    </row>
    <row r="338" spans="1:10" hidden="1" x14ac:dyDescent="0.25">
      <c r="A338">
        <v>9920299939</v>
      </c>
      <c r="B338" s="39">
        <v>45963.432314814818</v>
      </c>
      <c r="C338" s="38" t="s">
        <v>1220</v>
      </c>
      <c r="D338" s="38" t="s">
        <v>1010</v>
      </c>
      <c r="E338" s="38" t="s">
        <v>57</v>
      </c>
      <c r="F338" s="38" t="s">
        <v>597</v>
      </c>
      <c r="G338" s="37">
        <v>9920299939</v>
      </c>
      <c r="H338" s="40"/>
      <c r="I338" s="81">
        <v>45963.432314814818</v>
      </c>
      <c r="J338" t="b">
        <f t="shared" si="5"/>
        <v>0</v>
      </c>
    </row>
    <row r="339" spans="1:10" ht="15.75" hidden="1" thickBot="1" x14ac:dyDescent="0.3">
      <c r="A339">
        <v>9920305070</v>
      </c>
      <c r="B339" s="41">
        <v>45963.869768518518</v>
      </c>
      <c r="C339" s="44"/>
      <c r="D339" s="21" t="s">
        <v>1211</v>
      </c>
      <c r="E339" s="42" t="s">
        <v>23</v>
      </c>
      <c r="F339" s="42" t="s">
        <v>390</v>
      </c>
      <c r="G339" s="43">
        <v>9920305070</v>
      </c>
      <c r="H339" s="42" t="s">
        <v>1312</v>
      </c>
      <c r="I339" s="81">
        <v>45963.869768518518</v>
      </c>
      <c r="J339" t="b">
        <f t="shared" si="5"/>
        <v>0</v>
      </c>
    </row>
    <row r="340" spans="1:10" ht="15.75" hidden="1" thickBot="1" x14ac:dyDescent="0.3">
      <c r="A340">
        <v>9920307573</v>
      </c>
      <c r="D340" s="21" t="s">
        <v>1211</v>
      </c>
      <c r="E340" t="s">
        <v>49</v>
      </c>
      <c r="F340" t="s">
        <v>593</v>
      </c>
      <c r="G340">
        <v>9920307573</v>
      </c>
      <c r="H340">
        <v>0</v>
      </c>
      <c r="I340" s="81">
        <v>45942.445092592592</v>
      </c>
      <c r="J340" t="b">
        <f t="shared" si="5"/>
        <v>0</v>
      </c>
    </row>
    <row r="341" spans="1:10" ht="15.75" thickBot="1" x14ac:dyDescent="0.3">
      <c r="A341">
        <v>9920341990</v>
      </c>
      <c r="B341" s="41">
        <v>45963.804780092592</v>
      </c>
      <c r="C341" s="42" t="s">
        <v>1303</v>
      </c>
      <c r="D341" s="21" t="s">
        <v>1217</v>
      </c>
      <c r="E341" s="42" t="s">
        <v>799</v>
      </c>
      <c r="F341" s="42" t="s">
        <v>839</v>
      </c>
      <c r="G341" s="43">
        <v>9920341990</v>
      </c>
      <c r="H341" s="44"/>
      <c r="I341" s="81">
        <v>45963.804780092592</v>
      </c>
      <c r="J341" t="b">
        <f t="shared" si="5"/>
        <v>0</v>
      </c>
    </row>
    <row r="342" spans="1:10" hidden="1" x14ac:dyDescent="0.25">
      <c r="A342">
        <v>9920425307</v>
      </c>
      <c r="D342" t="s">
        <v>1010</v>
      </c>
      <c r="E342" t="s">
        <v>81</v>
      </c>
      <c r="F342" t="s">
        <v>753</v>
      </c>
      <c r="G342">
        <v>9920425307</v>
      </c>
      <c r="H342" t="s">
        <v>1039</v>
      </c>
      <c r="I342" s="81">
        <v>45957.858726851853</v>
      </c>
      <c r="J342" t="b">
        <f t="shared" si="5"/>
        <v>0</v>
      </c>
    </row>
    <row r="343" spans="1:10" ht="25.5" hidden="1" x14ac:dyDescent="0.25">
      <c r="A343">
        <v>9920445444</v>
      </c>
      <c r="B343" s="39">
        <v>45962.587500000001</v>
      </c>
      <c r="C343" s="38" t="s">
        <v>1163</v>
      </c>
      <c r="D343" s="38" t="s">
        <v>1010</v>
      </c>
      <c r="E343" s="38" t="s">
        <v>31</v>
      </c>
      <c r="F343" s="38" t="s">
        <v>679</v>
      </c>
      <c r="G343" s="37">
        <v>9920445444</v>
      </c>
      <c r="H343" s="40"/>
      <c r="I343" s="81">
        <v>45962.587500000001</v>
      </c>
      <c r="J343" t="b">
        <f t="shared" si="5"/>
        <v>0</v>
      </c>
    </row>
    <row r="344" spans="1:10" ht="15.75" hidden="1" thickBot="1" x14ac:dyDescent="0.3">
      <c r="A344">
        <v>9920485387</v>
      </c>
      <c r="D344" s="21" t="s">
        <v>1211</v>
      </c>
      <c r="E344" t="s">
        <v>33</v>
      </c>
      <c r="F344" t="s">
        <v>300</v>
      </c>
      <c r="G344">
        <v>9920485387</v>
      </c>
      <c r="H344" t="s">
        <v>1044</v>
      </c>
      <c r="I344" s="81">
        <v>45957.891631944447</v>
      </c>
      <c r="J344" t="b">
        <f t="shared" si="5"/>
        <v>0</v>
      </c>
    </row>
    <row r="345" spans="1:10" hidden="1" x14ac:dyDescent="0.25">
      <c r="A345">
        <v>9920598986</v>
      </c>
      <c r="B345" s="39">
        <v>45964.012476851851</v>
      </c>
      <c r="C345" s="40"/>
      <c r="D345" s="38" t="s">
        <v>1010</v>
      </c>
      <c r="E345" s="38" t="s">
        <v>1306</v>
      </c>
      <c r="F345" s="38" t="s">
        <v>939</v>
      </c>
      <c r="G345" s="37">
        <v>9920598986</v>
      </c>
      <c r="H345" s="40"/>
      <c r="I345" s="81">
        <v>45964.012476851851</v>
      </c>
      <c r="J345" t="b">
        <f t="shared" si="5"/>
        <v>0</v>
      </c>
    </row>
    <row r="346" spans="1:10" hidden="1" x14ac:dyDescent="0.25">
      <c r="A346">
        <v>9920772647</v>
      </c>
      <c r="B346" s="39">
        <v>45962.756018518521</v>
      </c>
      <c r="C346" s="38" t="s">
        <v>1259</v>
      </c>
      <c r="D346" s="40"/>
      <c r="E346" s="38" t="s">
        <v>797</v>
      </c>
      <c r="F346" s="38" t="s">
        <v>992</v>
      </c>
      <c r="G346" s="37">
        <v>9920772647</v>
      </c>
      <c r="H346" s="38" t="s">
        <v>1260</v>
      </c>
      <c r="I346" s="81">
        <v>45962.756018518521</v>
      </c>
      <c r="J346" t="b">
        <f t="shared" si="5"/>
        <v>0</v>
      </c>
    </row>
    <row r="347" spans="1:10" ht="26.25" hidden="1" thickBot="1" x14ac:dyDescent="0.3">
      <c r="A347">
        <v>9920816543</v>
      </c>
      <c r="B347" s="41">
        <v>45962.687777777777</v>
      </c>
      <c r="C347" s="42" t="s">
        <v>1256</v>
      </c>
      <c r="D347" s="22" t="s">
        <v>1225</v>
      </c>
      <c r="E347" s="42" t="s">
        <v>77</v>
      </c>
      <c r="F347" s="42" t="s">
        <v>751</v>
      </c>
      <c r="G347" s="43">
        <v>9920816543</v>
      </c>
      <c r="H347" s="44"/>
      <c r="I347" s="81">
        <v>45962.687777777777</v>
      </c>
      <c r="J347" t="b">
        <f t="shared" si="5"/>
        <v>0</v>
      </c>
    </row>
    <row r="348" spans="1:10" ht="15.75" thickBot="1" x14ac:dyDescent="0.3">
      <c r="A348">
        <v>9923332469</v>
      </c>
      <c r="B348" s="41">
        <v>45962.62259259259</v>
      </c>
      <c r="C348" s="42" t="s">
        <v>1230</v>
      </c>
      <c r="D348" s="21" t="s">
        <v>1217</v>
      </c>
      <c r="E348" s="42" t="s">
        <v>83</v>
      </c>
      <c r="F348" s="42" t="s">
        <v>421</v>
      </c>
      <c r="G348" s="43">
        <v>9923332469</v>
      </c>
      <c r="H348" s="42" t="s">
        <v>1235</v>
      </c>
      <c r="I348" s="81">
        <v>45962.62259259259</v>
      </c>
      <c r="J348" t="b">
        <f t="shared" si="5"/>
        <v>0</v>
      </c>
    </row>
    <row r="349" spans="1:10" ht="25.5" hidden="1" x14ac:dyDescent="0.25">
      <c r="A349">
        <v>9928444867</v>
      </c>
      <c r="B349" s="39">
        <v>45961.914560185185</v>
      </c>
      <c r="C349" s="38" t="s">
        <v>1210</v>
      </c>
      <c r="D349" s="38" t="s">
        <v>1010</v>
      </c>
      <c r="E349" s="38" t="s">
        <v>33</v>
      </c>
      <c r="F349" s="38" t="s">
        <v>34</v>
      </c>
      <c r="G349" s="37">
        <v>9928444867</v>
      </c>
      <c r="H349" s="38" t="s">
        <v>1214</v>
      </c>
      <c r="I349" s="81">
        <v>45961.914560185185</v>
      </c>
      <c r="J349" t="b">
        <f t="shared" si="5"/>
        <v>0</v>
      </c>
    </row>
    <row r="350" spans="1:10" ht="15.75" hidden="1" thickBot="1" x14ac:dyDescent="0.3">
      <c r="A350">
        <v>9930298981</v>
      </c>
      <c r="D350" s="21" t="s">
        <v>1211</v>
      </c>
      <c r="E350" t="s">
        <v>45</v>
      </c>
      <c r="F350" t="s">
        <v>495</v>
      </c>
      <c r="G350">
        <v>9930298981</v>
      </c>
      <c r="H350">
        <v>0</v>
      </c>
      <c r="I350" s="81">
        <v>45944.773368055554</v>
      </c>
      <c r="J350" t="b">
        <f t="shared" si="5"/>
        <v>0</v>
      </c>
    </row>
    <row r="351" spans="1:10" ht="15.75" hidden="1" thickBot="1" x14ac:dyDescent="0.3">
      <c r="A351">
        <v>9930459981</v>
      </c>
      <c r="D351" s="21" t="s">
        <v>1211</v>
      </c>
      <c r="E351" t="s">
        <v>49</v>
      </c>
      <c r="F351" t="s">
        <v>308</v>
      </c>
      <c r="G351">
        <v>9930459981</v>
      </c>
      <c r="H351">
        <v>0</v>
      </c>
      <c r="I351" s="81">
        <v>45942.46665509259</v>
      </c>
      <c r="J351" t="b">
        <f t="shared" si="5"/>
        <v>0</v>
      </c>
    </row>
    <row r="352" spans="1:10" ht="15.75" hidden="1" thickBot="1" x14ac:dyDescent="0.3">
      <c r="A352">
        <v>9930723354</v>
      </c>
      <c r="B352" s="39">
        <v>45962.571296296293</v>
      </c>
      <c r="C352" s="38" t="s">
        <v>1222</v>
      </c>
      <c r="D352" s="21" t="s">
        <v>1211</v>
      </c>
      <c r="E352" s="38" t="s">
        <v>41</v>
      </c>
      <c r="F352" s="38" t="s">
        <v>684</v>
      </c>
      <c r="G352" s="37">
        <v>9930723354</v>
      </c>
      <c r="H352" s="40"/>
      <c r="I352" s="81">
        <v>45962.571296296293</v>
      </c>
      <c r="J352" t="b">
        <f t="shared" si="5"/>
        <v>0</v>
      </c>
    </row>
    <row r="353" spans="1:10" ht="15.75" hidden="1" thickBot="1" x14ac:dyDescent="0.3">
      <c r="A353">
        <v>9930770867</v>
      </c>
      <c r="B353" s="39">
        <v>45963.588472222225</v>
      </c>
      <c r="C353" s="38" t="s">
        <v>1290</v>
      </c>
      <c r="D353" s="22" t="s">
        <v>1225</v>
      </c>
      <c r="E353" s="38" t="s">
        <v>55</v>
      </c>
      <c r="F353" s="38" t="s">
        <v>311</v>
      </c>
      <c r="G353" s="37">
        <v>9930770867</v>
      </c>
      <c r="H353" s="40"/>
      <c r="I353" s="81">
        <v>45963.588472222225</v>
      </c>
      <c r="J353" t="b">
        <f t="shared" si="5"/>
        <v>0</v>
      </c>
    </row>
    <row r="354" spans="1:10" ht="25.5" hidden="1" x14ac:dyDescent="0.25">
      <c r="A354">
        <v>9930799429</v>
      </c>
      <c r="B354" s="39">
        <v>45963.589895833335</v>
      </c>
      <c r="C354" s="38" t="s">
        <v>1290</v>
      </c>
      <c r="D354" s="38" t="s">
        <v>1024</v>
      </c>
      <c r="E354" s="38" t="s">
        <v>55</v>
      </c>
      <c r="F354" s="38" t="s">
        <v>643</v>
      </c>
      <c r="G354" s="37">
        <v>9930799429</v>
      </c>
      <c r="H354" s="40"/>
      <c r="I354" s="81">
        <v>45963.589895833335</v>
      </c>
      <c r="J354" t="b">
        <f t="shared" si="5"/>
        <v>0</v>
      </c>
    </row>
    <row r="355" spans="1:10" ht="15.75" hidden="1" thickBot="1" x14ac:dyDescent="0.3">
      <c r="A355">
        <v>9930868776</v>
      </c>
      <c r="D355" s="21" t="s">
        <v>1211</v>
      </c>
      <c r="E355" t="s">
        <v>72</v>
      </c>
      <c r="F355" t="s">
        <v>320</v>
      </c>
      <c r="G355">
        <v>9930868776</v>
      </c>
      <c r="H355">
        <v>0</v>
      </c>
      <c r="I355" s="81">
        <v>45956.615057870367</v>
      </c>
      <c r="J355" t="b">
        <f t="shared" si="5"/>
        <v>0</v>
      </c>
    </row>
    <row r="356" spans="1:10" ht="15.75" hidden="1" thickBot="1" x14ac:dyDescent="0.3">
      <c r="A356">
        <v>9964005943</v>
      </c>
      <c r="D356" s="21" t="s">
        <v>1211</v>
      </c>
      <c r="E356" t="s">
        <v>17</v>
      </c>
      <c r="F356" t="s">
        <v>387</v>
      </c>
      <c r="G356">
        <v>9964005943</v>
      </c>
      <c r="H356">
        <v>0</v>
      </c>
      <c r="I356" s="81">
        <v>45942.679293981484</v>
      </c>
      <c r="J356" t="b">
        <f t="shared" si="5"/>
        <v>0</v>
      </c>
    </row>
    <row r="357" spans="1:10" ht="26.25" thickBot="1" x14ac:dyDescent="0.3">
      <c r="A357">
        <v>9967015641</v>
      </c>
      <c r="B357" s="41">
        <v>45962.677847222221</v>
      </c>
      <c r="C357" s="42" t="s">
        <v>1241</v>
      </c>
      <c r="D357" s="21" t="s">
        <v>1217</v>
      </c>
      <c r="E357" s="42" t="s">
        <v>95</v>
      </c>
      <c r="F357" s="42" t="s">
        <v>617</v>
      </c>
      <c r="G357" s="43">
        <v>9967015641</v>
      </c>
      <c r="H357" s="42" t="s">
        <v>1255</v>
      </c>
      <c r="I357" s="81">
        <v>45962.677847222221</v>
      </c>
      <c r="J357" t="b">
        <f t="shared" si="5"/>
        <v>0</v>
      </c>
    </row>
    <row r="358" spans="1:10" ht="26.25" hidden="1" thickBot="1" x14ac:dyDescent="0.3">
      <c r="A358">
        <v>9967045520</v>
      </c>
      <c r="B358" s="39">
        <v>45962.622766203705</v>
      </c>
      <c r="C358" s="38" t="s">
        <v>1230</v>
      </c>
      <c r="D358" s="21" t="s">
        <v>1211</v>
      </c>
      <c r="E358" s="38" t="s">
        <v>83</v>
      </c>
      <c r="F358" s="38" t="s">
        <v>84</v>
      </c>
      <c r="G358" s="37">
        <v>9967045520</v>
      </c>
      <c r="H358" s="40"/>
      <c r="I358" s="81">
        <v>45962.622766203705</v>
      </c>
      <c r="J358" t="b">
        <f t="shared" si="5"/>
        <v>0</v>
      </c>
    </row>
    <row r="359" spans="1:10" hidden="1" x14ac:dyDescent="0.25">
      <c r="A359">
        <v>9967071927</v>
      </c>
      <c r="B359" s="39">
        <v>45963.590717592589</v>
      </c>
      <c r="C359" s="38" t="s">
        <v>1290</v>
      </c>
      <c r="D359" s="38" t="s">
        <v>1024</v>
      </c>
      <c r="E359" s="38" t="s">
        <v>55</v>
      </c>
      <c r="F359" s="38" t="s">
        <v>596</v>
      </c>
      <c r="G359" s="37">
        <v>9967071927</v>
      </c>
      <c r="H359" s="40"/>
      <c r="I359" s="81">
        <v>45963.590717592589</v>
      </c>
      <c r="J359" t="b">
        <f t="shared" si="5"/>
        <v>0</v>
      </c>
    </row>
    <row r="360" spans="1:10" ht="26.25" hidden="1" thickBot="1" x14ac:dyDescent="0.3">
      <c r="A360">
        <v>9967235652</v>
      </c>
      <c r="B360" s="39">
        <v>45963.431250000001</v>
      </c>
      <c r="C360" s="38" t="s">
        <v>1220</v>
      </c>
      <c r="D360" s="21" t="s">
        <v>1211</v>
      </c>
      <c r="E360" s="38" t="s">
        <v>57</v>
      </c>
      <c r="F360" s="38" t="s">
        <v>454</v>
      </c>
      <c r="G360" s="37">
        <v>9967235652</v>
      </c>
      <c r="H360" s="38" t="s">
        <v>1267</v>
      </c>
      <c r="I360" s="81">
        <v>45963.431250000001</v>
      </c>
      <c r="J360" t="b">
        <f t="shared" si="5"/>
        <v>0</v>
      </c>
    </row>
    <row r="361" spans="1:10" ht="15.75" hidden="1" thickBot="1" x14ac:dyDescent="0.3">
      <c r="A361">
        <v>9967236456</v>
      </c>
      <c r="D361" s="21" t="s">
        <v>1211</v>
      </c>
      <c r="E361" t="s">
        <v>49</v>
      </c>
      <c r="F361" t="s">
        <v>261</v>
      </c>
      <c r="G361">
        <v>9967236456</v>
      </c>
      <c r="H361">
        <v>0</v>
      </c>
      <c r="I361" s="81">
        <v>45942.447337962964</v>
      </c>
      <c r="J361" t="b">
        <f t="shared" si="5"/>
        <v>0</v>
      </c>
    </row>
    <row r="362" spans="1:10" hidden="1" x14ac:dyDescent="0.25">
      <c r="A362">
        <v>9967265584</v>
      </c>
      <c r="B362" s="41">
        <v>45964.420011574075</v>
      </c>
      <c r="C362" s="44"/>
      <c r="D362" s="42" t="s">
        <v>1010</v>
      </c>
      <c r="E362" s="42" t="s">
        <v>1305</v>
      </c>
      <c r="F362" s="42" t="s">
        <v>265</v>
      </c>
      <c r="G362" s="43">
        <v>9967265584</v>
      </c>
      <c r="H362" s="44"/>
      <c r="I362" s="81">
        <v>45964.420011574075</v>
      </c>
      <c r="J362" t="b">
        <f t="shared" si="5"/>
        <v>0</v>
      </c>
    </row>
    <row r="363" spans="1:10" ht="15.75" hidden="1" thickBot="1" x14ac:dyDescent="0.3">
      <c r="A363">
        <v>9967587634</v>
      </c>
      <c r="D363" s="21" t="s">
        <v>1211</v>
      </c>
      <c r="E363" t="s">
        <v>47</v>
      </c>
      <c r="F363" t="s">
        <v>735</v>
      </c>
      <c r="G363">
        <v>9967587634</v>
      </c>
      <c r="H363">
        <v>0</v>
      </c>
      <c r="I363" s="81">
        <v>45941.587962962964</v>
      </c>
      <c r="J363" t="b">
        <f t="shared" si="5"/>
        <v>0</v>
      </c>
    </row>
    <row r="364" spans="1:10" ht="15.75" thickBot="1" x14ac:dyDescent="0.3">
      <c r="A364">
        <v>9967592693</v>
      </c>
      <c r="B364" s="41">
        <v>45962.622164351851</v>
      </c>
      <c r="C364" s="42" t="s">
        <v>1230</v>
      </c>
      <c r="D364" s="21" t="s">
        <v>1217</v>
      </c>
      <c r="E364" s="42" t="s">
        <v>83</v>
      </c>
      <c r="F364" s="42" t="s">
        <v>658</v>
      </c>
      <c r="G364" s="43">
        <v>9967592693</v>
      </c>
      <c r="H364" s="44"/>
      <c r="I364" s="81">
        <v>45962.622164351851</v>
      </c>
      <c r="J364" t="b">
        <f t="shared" si="5"/>
        <v>0</v>
      </c>
    </row>
    <row r="365" spans="1:10" ht="15.75" thickBot="1" x14ac:dyDescent="0.3">
      <c r="A365">
        <v>9967979838</v>
      </c>
      <c r="D365" s="21" t="s">
        <v>1217</v>
      </c>
      <c r="E365" t="s">
        <v>789</v>
      </c>
      <c r="F365" t="s">
        <v>988</v>
      </c>
      <c r="G365">
        <v>9967979838</v>
      </c>
      <c r="H365">
        <v>0</v>
      </c>
      <c r="I365" s="81">
        <v>45957.908379629633</v>
      </c>
      <c r="J365" t="b">
        <f t="shared" si="5"/>
        <v>0</v>
      </c>
    </row>
    <row r="366" spans="1:10" ht="25.5" hidden="1" x14ac:dyDescent="0.25">
      <c r="A366">
        <v>9969121458</v>
      </c>
      <c r="B366" s="39">
        <v>45964.72384259259</v>
      </c>
      <c r="C366" s="40"/>
      <c r="D366" s="38" t="s">
        <v>1024</v>
      </c>
      <c r="E366" s="38" t="s">
        <v>805</v>
      </c>
      <c r="F366" s="38" t="s">
        <v>948</v>
      </c>
      <c r="G366" s="37">
        <v>9969121458</v>
      </c>
      <c r="H366" s="40"/>
      <c r="I366" s="81">
        <v>45964.72384259259</v>
      </c>
      <c r="J366" t="b">
        <f t="shared" si="5"/>
        <v>0</v>
      </c>
    </row>
    <row r="367" spans="1:10" ht="25.5" hidden="1" x14ac:dyDescent="0.25">
      <c r="A367">
        <v>9969403870</v>
      </c>
      <c r="B367" s="41">
        <v>45964.42291666667</v>
      </c>
      <c r="C367" s="44"/>
      <c r="D367" s="42" t="s">
        <v>1010</v>
      </c>
      <c r="E367" s="42" t="s">
        <v>1305</v>
      </c>
      <c r="F367" s="42" t="s">
        <v>170</v>
      </c>
      <c r="G367" s="43">
        <v>9969403870</v>
      </c>
      <c r="H367" s="44"/>
      <c r="I367" s="81">
        <v>45964.42291666667</v>
      </c>
      <c r="J367" t="b">
        <f t="shared" si="5"/>
        <v>0</v>
      </c>
    </row>
    <row r="368" spans="1:10" ht="15.75" thickBot="1" x14ac:dyDescent="0.3">
      <c r="A368">
        <v>9975629760</v>
      </c>
      <c r="B368" s="41">
        <v>45963.589143518519</v>
      </c>
      <c r="C368" s="42" t="s">
        <v>1290</v>
      </c>
      <c r="D368" s="21" t="s">
        <v>1217</v>
      </c>
      <c r="E368" s="42" t="s">
        <v>55</v>
      </c>
      <c r="F368" s="42" t="s">
        <v>216</v>
      </c>
      <c r="G368" s="43">
        <v>9975629760</v>
      </c>
      <c r="H368" s="42" t="s">
        <v>1295</v>
      </c>
      <c r="I368" s="81">
        <v>45963.589143518519</v>
      </c>
      <c r="J368" t="b">
        <f t="shared" si="5"/>
        <v>0</v>
      </c>
    </row>
    <row r="369" spans="1:10" ht="15.75" hidden="1" thickBot="1" x14ac:dyDescent="0.3">
      <c r="A369">
        <v>9987005185</v>
      </c>
      <c r="D369" s="21" t="s">
        <v>1211</v>
      </c>
      <c r="E369" t="s">
        <v>45</v>
      </c>
      <c r="F369" t="s">
        <v>638</v>
      </c>
      <c r="G369">
        <v>9987005185</v>
      </c>
      <c r="H369">
        <v>0</v>
      </c>
      <c r="I369" s="81">
        <v>45943.700196759259</v>
      </c>
      <c r="J369" t="b">
        <f t="shared" si="5"/>
        <v>0</v>
      </c>
    </row>
    <row r="370" spans="1:10" ht="26.25" hidden="1" thickBot="1" x14ac:dyDescent="0.3">
      <c r="A370">
        <v>9987019726</v>
      </c>
      <c r="B370" s="41">
        <v>45963.501493055555</v>
      </c>
      <c r="C370" s="42" t="s">
        <v>1257</v>
      </c>
      <c r="D370" s="22" t="s">
        <v>1225</v>
      </c>
      <c r="E370" s="42" t="s">
        <v>60</v>
      </c>
      <c r="F370" s="42" t="s">
        <v>171</v>
      </c>
      <c r="G370" s="43">
        <v>9987019726</v>
      </c>
      <c r="H370" s="42" t="s">
        <v>1280</v>
      </c>
      <c r="I370" s="81">
        <v>45963.501493055555</v>
      </c>
      <c r="J370" t="b">
        <f t="shared" si="5"/>
        <v>0</v>
      </c>
    </row>
    <row r="371" spans="1:10" ht="15.75" hidden="1" thickBot="1" x14ac:dyDescent="0.3">
      <c r="A371">
        <v>9987026732</v>
      </c>
      <c r="D371" s="21" t="s">
        <v>1211</v>
      </c>
      <c r="E371" t="s">
        <v>45</v>
      </c>
      <c r="F371" t="s">
        <v>354</v>
      </c>
      <c r="G371">
        <v>9987026732</v>
      </c>
      <c r="H371">
        <v>0</v>
      </c>
      <c r="I371" s="81">
        <v>45943.522199074076</v>
      </c>
      <c r="J371" t="b">
        <f t="shared" si="5"/>
        <v>0</v>
      </c>
    </row>
    <row r="372" spans="1:10" ht="15.75" hidden="1" thickBot="1" x14ac:dyDescent="0.3">
      <c r="A372">
        <v>9987241860</v>
      </c>
      <c r="B372" s="39">
        <v>45962.692743055559</v>
      </c>
      <c r="C372" s="38" t="s">
        <v>1256</v>
      </c>
      <c r="D372" s="21" t="s">
        <v>1211</v>
      </c>
      <c r="E372" s="38" t="s">
        <v>77</v>
      </c>
      <c r="F372" s="38" t="s">
        <v>228</v>
      </c>
      <c r="G372" s="37">
        <v>9987241860</v>
      </c>
      <c r="H372" s="40"/>
      <c r="I372" s="81">
        <v>45962.692743055559</v>
      </c>
      <c r="J372" t="b">
        <f t="shared" si="5"/>
        <v>0</v>
      </c>
    </row>
    <row r="373" spans="1:10" ht="15.75" hidden="1" thickBot="1" x14ac:dyDescent="0.3">
      <c r="A373">
        <v>9987297056</v>
      </c>
      <c r="D373" s="22" t="s">
        <v>1225</v>
      </c>
      <c r="E373" t="s">
        <v>81</v>
      </c>
      <c r="F373" t="s">
        <v>657</v>
      </c>
      <c r="G373">
        <v>9987297056</v>
      </c>
      <c r="H373">
        <v>0</v>
      </c>
      <c r="I373" s="81">
        <v>45957.87263888889</v>
      </c>
      <c r="J373" t="b">
        <f t="shared" si="5"/>
        <v>0</v>
      </c>
    </row>
    <row r="374" spans="1:10" ht="15.75" hidden="1" thickBot="1" x14ac:dyDescent="0.3">
      <c r="A374">
        <v>9987753824</v>
      </c>
      <c r="B374" s="41">
        <v>45964.519467592596</v>
      </c>
      <c r="C374" s="44"/>
      <c r="D374" s="21" t="s">
        <v>1211</v>
      </c>
      <c r="E374" s="42" t="s">
        <v>11</v>
      </c>
      <c r="F374" s="42" t="s">
        <v>432</v>
      </c>
      <c r="G374" s="43">
        <v>9987753824</v>
      </c>
      <c r="H374" s="42" t="s">
        <v>1323</v>
      </c>
      <c r="I374" s="81">
        <v>45964.519467592596</v>
      </c>
      <c r="J374" t="b">
        <f t="shared" si="5"/>
        <v>0</v>
      </c>
    </row>
    <row r="375" spans="1:10" ht="15.75" hidden="1" thickBot="1" x14ac:dyDescent="0.3">
      <c r="A375">
        <v>9993325021</v>
      </c>
      <c r="D375" s="21" t="s">
        <v>1211</v>
      </c>
      <c r="E375" t="s">
        <v>17</v>
      </c>
      <c r="F375" t="s">
        <v>149</v>
      </c>
      <c r="G375">
        <v>9993325021</v>
      </c>
      <c r="H375">
        <v>0</v>
      </c>
      <c r="I375" s="81">
        <v>45942.666539351849</v>
      </c>
      <c r="J375" t="b">
        <f t="shared" si="5"/>
        <v>0</v>
      </c>
    </row>
    <row r="376" spans="1:10" hidden="1" x14ac:dyDescent="0.25">
      <c r="A376">
        <v>9994144544</v>
      </c>
      <c r="D376" t="s">
        <v>1010</v>
      </c>
      <c r="E376" t="s">
        <v>799</v>
      </c>
      <c r="F376" t="s">
        <v>882</v>
      </c>
      <c r="G376">
        <v>9994144544</v>
      </c>
      <c r="H376" t="s">
        <v>1028</v>
      </c>
      <c r="I376" s="81">
        <v>45943.493854166663</v>
      </c>
      <c r="J376" t="b">
        <f t="shared" si="5"/>
        <v>0</v>
      </c>
    </row>
    <row r="377" spans="1:10" ht="26.25" thickBot="1" x14ac:dyDescent="0.3">
      <c r="A377">
        <v>9999845745</v>
      </c>
      <c r="B377" s="41">
        <v>45962.675613425927</v>
      </c>
      <c r="C377" s="42" t="s">
        <v>1058</v>
      </c>
      <c r="D377" s="21" t="s">
        <v>1217</v>
      </c>
      <c r="E377" s="42" t="s">
        <v>35</v>
      </c>
      <c r="F377" s="42" t="s">
        <v>254</v>
      </c>
      <c r="G377" s="43">
        <v>9999845745</v>
      </c>
      <c r="H377" s="42" t="s">
        <v>1251</v>
      </c>
      <c r="I377" s="81">
        <v>45962.675613425927</v>
      </c>
      <c r="J377" t="b">
        <f t="shared" si="5"/>
        <v>0</v>
      </c>
    </row>
    <row r="378" spans="1:10" ht="26.25" thickBot="1" x14ac:dyDescent="0.3">
      <c r="A378" t="s">
        <v>1239</v>
      </c>
      <c r="B378" s="41">
        <v>45962.641296296293</v>
      </c>
      <c r="C378" s="42" t="s">
        <v>1058</v>
      </c>
      <c r="D378" s="21" t="s">
        <v>1217</v>
      </c>
      <c r="E378" s="42" t="s">
        <v>1005</v>
      </c>
      <c r="F378" s="42" t="s">
        <v>1238</v>
      </c>
      <c r="G378" s="42" t="s">
        <v>1239</v>
      </c>
      <c r="H378" s="42" t="s">
        <v>1240</v>
      </c>
      <c r="I378" s="81">
        <v>45962.641296296293</v>
      </c>
      <c r="J378" t="b">
        <f t="shared" si="5"/>
        <v>0</v>
      </c>
    </row>
  </sheetData>
  <autoFilter ref="B1:J378" xr:uid="{E16DB35F-50CA-4339-9286-940B6E0466B6}">
    <filterColumn colId="2">
      <filters>
        <filter val="Not Coming"/>
        <filter val="Not Coming 🚫"/>
      </filters>
    </filterColumn>
  </autoFilter>
  <sortState xmlns:xlrd2="http://schemas.microsoft.com/office/spreadsheetml/2017/richdata2" ref="B2:I378">
    <sortCondition ref="G2:G378"/>
    <sortCondition descending="1" ref="I2:I37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1B62-56A7-490A-80A8-A8C55C4FC03E}">
  <dimension ref="A1:H403"/>
  <sheetViews>
    <sheetView topLeftCell="A394" workbookViewId="0">
      <selection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A467-6967-473F-87FE-B009131A3C5B}">
  <dimension ref="A1:I136"/>
  <sheetViews>
    <sheetView topLeftCell="A103" workbookViewId="0">
      <selection activeCell="B136" sqref="B136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topLeftCell="A961" workbookViewId="0">
      <selection activeCell="A966" sqref="A966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1003</v>
      </c>
      <c r="E1" t="s">
        <v>1017</v>
      </c>
      <c r="F1" t="s">
        <v>1016</v>
      </c>
      <c r="G1" t="s">
        <v>1022</v>
      </c>
      <c r="H1" t="s">
        <v>1126</v>
      </c>
    </row>
    <row r="2" spans="1:8" x14ac:dyDescent="0.25">
      <c r="A2" t="s">
        <v>77</v>
      </c>
      <c r="B2" t="s">
        <v>4</v>
      </c>
      <c r="C2">
        <v>9821381810</v>
      </c>
      <c r="D2" t="str">
        <f>_xlfn.IFNA(VLOOKUP(C2,UpdateLogToUse!A:D,4,FALSE),"Not Called")</f>
        <v>Not Called</v>
      </c>
      <c r="E2" t="str">
        <f>IF(ISNA(VLOOKUP(C2,Registration!A:A,1,FALSE)),"Not Registered","Registered")</f>
        <v>Not Registered</v>
      </c>
      <c r="F2">
        <f>VLOOKUP(A2,'Karykarta List'!A:B,2,FALSE)</f>
        <v>9029105124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70</v>
      </c>
      <c r="B3" t="s">
        <v>6</v>
      </c>
      <c r="C3">
        <v>9324420871</v>
      </c>
      <c r="D3" t="str">
        <f>_xlfn.IFNA(VLOOKUP(C3,UpdateLogToUse!A:D,4,FALSE),"Not Called")</f>
        <v>Not Called</v>
      </c>
      <c r="E3" t="str">
        <f>IF(ISNA(VLOOKUP(C3,Registration!A:A,1,FALSE)),"Not Registered","Registered")</f>
        <v>Not Registered</v>
      </c>
      <c r="F3">
        <f>VLOOKUP(A3,'Karykarta List'!A:B,2,FALSE)</f>
        <v>9405263833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81</v>
      </c>
      <c r="B4" t="s">
        <v>8</v>
      </c>
      <c r="C4">
        <v>9820265640</v>
      </c>
      <c r="D4" t="str">
        <f>_xlfn.IFNA(VLOOKUP(C4,UpdateLogToUse!A:D,4,FALSE),"Not Called")</f>
        <v>Not Called</v>
      </c>
      <c r="E4" t="str">
        <f>IF(ISNA(VLOOKUP(C4,Registration!A:A,1,FALSE)),"Not Registered","Registered")</f>
        <v>Not Registered</v>
      </c>
      <c r="F4">
        <f>VLOOKUP(A4,'Karykarta List'!A:B,2,FALSE)</f>
        <v>9824100412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23</v>
      </c>
      <c r="B5" t="s">
        <v>10</v>
      </c>
      <c r="C5">
        <v>9821460734</v>
      </c>
      <c r="D5" t="str">
        <f>_xlfn.IFNA(VLOOKUP(C5,UpdateLogToUse!A:D,4,FALSE),"Not Called")</f>
        <v>Not Called</v>
      </c>
      <c r="E5" t="str">
        <f>IF(ISNA(VLOOKUP(C5,Registration!A:A,1,FALSE)),"Not Registered","Registered")</f>
        <v>Not Registered</v>
      </c>
      <c r="F5">
        <f>VLOOKUP(A5,'Karykarta List'!A:B,2,FALSE)</f>
        <v>7977439717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41</v>
      </c>
      <c r="B6" t="s">
        <v>12</v>
      </c>
      <c r="C6">
        <v>9820454734</v>
      </c>
      <c r="D6" t="str">
        <f>_xlfn.IFNA(VLOOKUP(C6,UpdateLogToUse!A:D,4,FALSE),"Not Called")</f>
        <v>Confirmed Presence</v>
      </c>
      <c r="E6" t="str">
        <f>IF(ISNA(VLOOKUP(C6,Registration!A:A,1,FALSE)),"Not Registered","Registered")</f>
        <v>Not Registered</v>
      </c>
      <c r="F6">
        <f>VLOOKUP(A6,'Karykarta List'!A:B,2,FALSE)</f>
        <v>8058973809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797</v>
      </c>
      <c r="B7" t="s">
        <v>14</v>
      </c>
      <c r="C7">
        <v>9920318503</v>
      </c>
      <c r="D7" t="str">
        <f>_xlfn.IFNA(VLOOKUP(C7,UpdateLogToUse!A:D,4,FALSE),"Not Called")</f>
        <v>Not Called</v>
      </c>
      <c r="E7" t="str">
        <f>IF(ISNA(VLOOKUP(C7,Registration!A:A,1,FALSE)),"Not Registered","Registered")</f>
        <v>Not Registered</v>
      </c>
      <c r="F7">
        <f>VLOOKUP(A7,'Karykarta List'!A:B,2,FALSE)</f>
        <v>9320309630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785</v>
      </c>
      <c r="B8" t="s">
        <v>16</v>
      </c>
      <c r="C8">
        <v>9322854440</v>
      </c>
      <c r="D8" t="str">
        <f>_xlfn.IFNA(VLOOKUP(C8,UpdateLogToUse!A:D,4,FALSE),"Not Called")</f>
        <v>Not Called</v>
      </c>
      <c r="E8" t="str">
        <f>IF(ISNA(VLOOKUP(C8,Registration!A:A,1,FALSE)),"Not Registered","Registered")</f>
        <v>Not Registered</v>
      </c>
      <c r="F8">
        <f>VLOOKUP(A8,'Karykarta List'!A:B,2,FALSE)</f>
        <v>9321532327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83</v>
      </c>
      <c r="B9" t="s">
        <v>18</v>
      </c>
      <c r="C9">
        <v>9892486921</v>
      </c>
      <c r="D9" t="str">
        <f>_xlfn.IFNA(VLOOKUP(C9,UpdateLogToUse!A:D,4,FALSE),"Not Called")</f>
        <v>Not Called</v>
      </c>
      <c r="E9" t="str">
        <f>IF(ISNA(VLOOKUP(C9,Registration!A:A,1,FALSE)),"Not Registered","Registered")</f>
        <v>Not Registered</v>
      </c>
      <c r="F9">
        <f>VLOOKUP(A9,'Karykarta List'!A:B,2,FALSE)</f>
        <v>9225211083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799</v>
      </c>
      <c r="B10" t="s">
        <v>20</v>
      </c>
      <c r="C10">
        <v>9869309871</v>
      </c>
      <c r="D10" t="str">
        <f>_xlfn.IFNA(VLOOKUP(C10,UpdateLogToUse!A:D,4,FALSE),"Not Called")</f>
        <v>Not Called</v>
      </c>
      <c r="E10" t="str">
        <f>IF(ISNA(VLOOKUP(C10,Registration!A:A,1,FALSE)),"Not Registered","Registered")</f>
        <v>Not Registered</v>
      </c>
      <c r="F10">
        <f>VLOOKUP(A10,'Karykarta List'!A:B,2,FALSE)</f>
        <v>9324233820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805</v>
      </c>
      <c r="B11" t="s">
        <v>22</v>
      </c>
      <c r="C11">
        <v>9820506066</v>
      </c>
      <c r="D11" t="str">
        <f>_xlfn.IFNA(VLOOKUP(C11,UpdateLogToUse!A:D,4,FALSE),"Not Called")</f>
        <v>Not Called</v>
      </c>
      <c r="E11" t="str">
        <f>IF(ISNA(VLOOKUP(C11,Registration!A:A,1,FALSE)),"Not Registered","Registered")</f>
        <v>Not Registered</v>
      </c>
      <c r="F11">
        <f>VLOOKUP(A11,'Karykarta List'!A:B,2,FALSE)</f>
        <v>9320770849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95</v>
      </c>
      <c r="B12" t="s">
        <v>24</v>
      </c>
      <c r="C12">
        <v>9820620702</v>
      </c>
      <c r="D12" t="str">
        <f>_xlfn.IFNA(VLOOKUP(C12,UpdateLogToUse!A:D,4,FALSE),"Not Called")</f>
        <v>Not Reachable</v>
      </c>
      <c r="E12" t="str">
        <f>IF(ISNA(VLOOKUP(C12,Registration!A:A,1,FALSE)),"Not Registered","Registered")</f>
        <v>Not Registered</v>
      </c>
      <c r="F12">
        <f>VLOOKUP(A12,'Karykarta List'!A:B,2,FALSE)</f>
        <v>9424584007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55</v>
      </c>
      <c r="B13" t="s">
        <v>26</v>
      </c>
      <c r="C13">
        <v>8108066289</v>
      </c>
      <c r="D13" t="str">
        <f>_xlfn.IFNA(VLOOKUP(C13,UpdateLogToUse!A:D,4,FALSE),"Not Called")</f>
        <v>Not Called</v>
      </c>
      <c r="E13" t="str">
        <f>IF(ISNA(VLOOKUP(C13,Registration!A:A,1,FALSE)),"Not Registered","Registered")</f>
        <v>Not Registered</v>
      </c>
      <c r="F13">
        <f>VLOOKUP(A13,'Karykarta List'!A:B,2,FALSE)</f>
        <v>9819083540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29</v>
      </c>
      <c r="B14" t="s">
        <v>28</v>
      </c>
      <c r="C14">
        <v>9819721858</v>
      </c>
      <c r="D14" t="str">
        <f>_xlfn.IFNA(VLOOKUP(C14,UpdateLogToUse!A:D,4,FALSE),"Not Called")</f>
        <v>Not Called</v>
      </c>
      <c r="E14" t="str">
        <f>IF(ISNA(VLOOKUP(C14,Registration!A:A,1,FALSE)),"Not Registered","Registered")</f>
        <v>Not Registered</v>
      </c>
      <c r="F14">
        <f>VLOOKUP(A14,'Karykarta List'!A:B,2,FALSE)</f>
        <v>9819364345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1306</v>
      </c>
      <c r="B15" t="s">
        <v>30</v>
      </c>
      <c r="C15">
        <v>9820290360</v>
      </c>
      <c r="D15" t="str">
        <f>_xlfn.IFNA(VLOOKUP(C15,UpdateLogToUse!A:D,4,FALSE),"Not Called")</f>
        <v>Not Called</v>
      </c>
      <c r="E15" t="str">
        <f>IF(ISNA(VLOOKUP(C15,Registration!A:A,1,FALSE)),"Not Registered","Registered")</f>
        <v>Not Registered</v>
      </c>
      <c r="F15">
        <f>VLOOKUP(A15,'Karykarta List'!A:B,2,FALSE)</f>
        <v>7977147591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789</v>
      </c>
      <c r="B16" t="s">
        <v>32</v>
      </c>
      <c r="C16">
        <v>9819789523</v>
      </c>
      <c r="D16" t="str">
        <f>_xlfn.IFNA(VLOOKUP(C16,UpdateLogToUse!A:D,4,FALSE),"Not Called")</f>
        <v>Confirmed Presence</v>
      </c>
      <c r="E16" t="str">
        <f>IF(ISNA(VLOOKUP(C16,Registration!A:A,1,FALSE)),"Not Registered","Registered")</f>
        <v>Not Registered</v>
      </c>
      <c r="F16">
        <f>VLOOKUP(A16,'Karykarta List'!A:B,2,FALSE)</f>
        <v>9702260383</v>
      </c>
      <c r="G16" t="str">
        <f>_xlfn.IFNA(VLOOKUP(C16,CallLog_Latest!A:H,8,FALSE),"")</f>
        <v/>
      </c>
      <c r="H16" t="str">
        <f>VLOOKUP(C16,[1]Sheet1!$F:$H,3,FALSE)</f>
        <v>302  Snehal Building  Adarsh lane, Malad west</v>
      </c>
    </row>
    <row r="17" spans="1:8" x14ac:dyDescent="0.25">
      <c r="A17" t="s">
        <v>11</v>
      </c>
      <c r="B17" t="s">
        <v>34</v>
      </c>
      <c r="C17">
        <v>9928444867</v>
      </c>
      <c r="D17" t="str">
        <f>_xlfn.IFNA(VLOOKUP(C17,UpdateLogToUse!A:D,4,FALSE),"Not Called")</f>
        <v>Not Reachable</v>
      </c>
      <c r="E17" t="str">
        <f>IF(ISNA(VLOOKUP(C17,Registration!A:A,1,FALSE)),"Not Registered","Registered")</f>
        <v>Not Registered</v>
      </c>
      <c r="F17">
        <f>VLOOKUP(A17,'Karykarta List'!A:B,2,FALSE)</f>
        <v>9322598681</v>
      </c>
      <c r="G17" t="str">
        <f>_xlfn.IFNA(VLOOKUP(C17,CallLog_Latest!A:H,8,FALSE),"")</f>
        <v/>
      </c>
      <c r="H17" t="str">
        <f>VLOOKUP(C17,[1]Sheet1!$F:$H,3,FALSE)</f>
        <v>302  Snehal Building  Adarsh lane, Malad west</v>
      </c>
    </row>
    <row r="18" spans="1:8" x14ac:dyDescent="0.25">
      <c r="A18" t="s">
        <v>1308</v>
      </c>
      <c r="B18" t="s">
        <v>36</v>
      </c>
      <c r="C18">
        <v>9892460090</v>
      </c>
      <c r="D18" t="str">
        <f>_xlfn.IFNA(VLOOKUP(C18,UpdateLogToUse!A:D,4,FALSE),"Not Called")</f>
        <v>Not Called</v>
      </c>
      <c r="E18" t="str">
        <f>IF(ISNA(VLOOKUP(C18,Registration!A:A,1,FALSE)),"Not Registered","Registered")</f>
        <v>Not Registered</v>
      </c>
      <c r="F18">
        <f>VLOOKUP(A18,'Karykarta List'!A:B,2,FALSE)</f>
        <v>9022922620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39</v>
      </c>
      <c r="B19" t="s">
        <v>38</v>
      </c>
      <c r="C19">
        <v>9323938639</v>
      </c>
      <c r="D19" t="str">
        <f>_xlfn.IFNA(VLOOKUP(C19,UpdateLogToUse!A:D,4,FALSE),"Not Called")</f>
        <v>Not Called</v>
      </c>
      <c r="E19" t="str">
        <f>IF(ISNA(VLOOKUP(C19,Registration!A:A,1,FALSE)),"Not Registered","Registered")</f>
        <v>Not Registered</v>
      </c>
      <c r="F19">
        <f>VLOOKUP(A19,'Karykarta List'!A:B,2,FALSE)</f>
        <v>9820505363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21</v>
      </c>
      <c r="B20" t="s">
        <v>40</v>
      </c>
      <c r="C20">
        <v>9833184392</v>
      </c>
      <c r="D20" t="str">
        <f>_xlfn.IFNA(VLOOKUP(C20,UpdateLogToUse!A:D,4,FALSE),"Not Called")</f>
        <v>Confirmed Presence</v>
      </c>
      <c r="E20" t="str">
        <f>IF(ISNA(VLOOKUP(C20,Registration!A:A,1,FALSE)),"Not Registered","Registered")</f>
        <v>Not Registered</v>
      </c>
      <c r="F20">
        <f>VLOOKUP(A20,'Karykarta List'!A:B,2,FALSE)</f>
        <v>9820636392</v>
      </c>
      <c r="G20" t="str">
        <f>_xlfn.IFNA(VLOOKUP(C20,CallLog_Latest!A:H,8,FALSE),"")</f>
        <v/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31</v>
      </c>
      <c r="B21" t="s">
        <v>42</v>
      </c>
      <c r="C21">
        <v>9321169646</v>
      </c>
      <c r="D21" t="str">
        <f>_xlfn.IFNA(VLOOKUP(C21,UpdateLogToUse!A:D,4,FALSE),"Not Called")</f>
        <v>May be Attending</v>
      </c>
      <c r="E21" t="str">
        <f>IF(ISNA(VLOOKUP(C21,Registration!A:A,1,FALSE)),"Not Registered","Registered")</f>
        <v>Not Registered</v>
      </c>
      <c r="F21">
        <f>VLOOKUP(A21,'Karykarta List'!A:B,2,FALSE)</f>
        <v>9869064553</v>
      </c>
      <c r="G21" t="str">
        <f>_xlfn.IFNA(VLOOKUP(C21,CallLog_Latest!A:H,8,FALSE),"")</f>
        <v/>
      </c>
      <c r="H21" t="str">
        <f>VLOOKUP(C21,[1]Sheet1!$F:$H,3,FALSE)</f>
        <v>504 Bharat Apartmant  Bhadran Nagar Khajurya Tank Road</v>
      </c>
    </row>
    <row r="22" spans="1:8" x14ac:dyDescent="0.25">
      <c r="A22" t="s">
        <v>49</v>
      </c>
      <c r="B22" t="s">
        <v>44</v>
      </c>
      <c r="C22">
        <v>9323852536</v>
      </c>
      <c r="D22" t="str">
        <f>_xlfn.IFNA(VLOOKUP(C22,UpdateLogToUse!A:D,4,FALSE),"Not Called")</f>
        <v>Confirmed Presence</v>
      </c>
      <c r="E22" t="str">
        <f>IF(ISNA(VLOOKUP(C22,Registration!A:A,1,FALSE)),"Not Registered","Registered")</f>
        <v>Not Registered</v>
      </c>
      <c r="F22">
        <f>VLOOKUP(A22,'Karykarta List'!A:B,2,FALSE)</f>
        <v>9322206108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35</v>
      </c>
      <c r="B23" t="s">
        <v>46</v>
      </c>
      <c r="C23">
        <v>9892635936</v>
      </c>
      <c r="D23" t="str">
        <f>_xlfn.IFNA(VLOOKUP(C23,UpdateLogToUse!A:D,4,FALSE),"Not Called")</f>
        <v>Confirmed Presence</v>
      </c>
      <c r="E23" t="str">
        <f>IF(ISNA(VLOOKUP(C23,Registration!A:A,1,FALSE)),"Not Registered","Registered")</f>
        <v>Not Registered</v>
      </c>
      <c r="F23">
        <f>VLOOKUP(A23,'Karykarta List'!A:B,2,FALSE)</f>
        <v>9833705425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17</v>
      </c>
      <c r="B24" t="s">
        <v>48</v>
      </c>
      <c r="C24">
        <v>9324309045</v>
      </c>
      <c r="D24" t="str">
        <f>_xlfn.IFNA(VLOOKUP(C24,UpdateLogToUse!A:D,4,FALSE),"Not Called")</f>
        <v>Confirmed Presence</v>
      </c>
      <c r="E24" t="str">
        <f>IF(ISNA(VLOOKUP(C24,Registration!A:A,1,FALSE)),"Not Registered","Registered")</f>
        <v>Not Registered</v>
      </c>
      <c r="F24">
        <f>VLOOKUP(A24,'Karykarta List'!A:B,2,FALSE)</f>
        <v>9869798705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23</v>
      </c>
      <c r="B25" t="s">
        <v>50</v>
      </c>
      <c r="C25">
        <v>9820913318</v>
      </c>
      <c r="D25" t="str">
        <f>_xlfn.IFNA(VLOOKUP(C25,UpdateLogToUse!A:D,4,FALSE),"Not Called")</f>
        <v>Confirmed Presence</v>
      </c>
      <c r="E25" t="str">
        <f>IF(ISNA(VLOOKUP(C25,Registration!A:A,1,FALSE)),"Not Registered","Registered")</f>
        <v>Not Registered</v>
      </c>
      <c r="F25">
        <f>VLOOKUP(A25,'Karykarta List'!A:B,2,FALSE)</f>
        <v>7977439717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43</v>
      </c>
      <c r="B26" t="s">
        <v>52</v>
      </c>
      <c r="C26">
        <v>9820026235</v>
      </c>
      <c r="D26" t="str">
        <f>_xlfn.IFNA(VLOOKUP(C26,UpdateLogToUse!A:D,4,FALSE),"Not Called")</f>
        <v>Not Called</v>
      </c>
      <c r="E26" t="str">
        <f>IF(ISNA(VLOOKUP(C26,Registration!A:A,1,FALSE)),"Not Registered","Registered")</f>
        <v>Not Registered</v>
      </c>
      <c r="F26">
        <f>VLOOKUP(A26,'Karykarta List'!A:B,2,FALSE)</f>
        <v>9320683201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57</v>
      </c>
      <c r="B27" t="s">
        <v>54</v>
      </c>
      <c r="C27">
        <v>9819407540</v>
      </c>
      <c r="D27" t="str">
        <f>_xlfn.IFNA(VLOOKUP(C27,UpdateLogToUse!A:D,4,FALSE),"Not Called")</f>
        <v>Not Called</v>
      </c>
      <c r="E27" t="str">
        <f>IF(ISNA(VLOOKUP(C27,Registration!A:A,1,FALSE)),"Not Registered","Registered")</f>
        <v>Not Registered</v>
      </c>
      <c r="F27">
        <f>VLOOKUP(A27,'Karykarta List'!A:B,2,FALSE)</f>
        <v>9101910341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72</v>
      </c>
      <c r="B28" t="s">
        <v>56</v>
      </c>
      <c r="C28">
        <v>9821013859</v>
      </c>
      <c r="D28" t="str">
        <f>_xlfn.IFNA(VLOOKUP(C28,UpdateLogToUse!A:D,4,FALSE),"Not Called")</f>
        <v>Confirmed Presence</v>
      </c>
      <c r="E28" t="str">
        <f>IF(ISNA(VLOOKUP(C28,Registration!A:A,1,FALSE)),"Not Registered","Registered")</f>
        <v>Not Registered</v>
      </c>
      <c r="F28">
        <f>VLOOKUP(A28,'Karykarta List'!A:B,2,FALSE)</f>
        <v>8879433174</v>
      </c>
      <c r="G28" t="str">
        <f>_xlfn.IFNA(VLOOKUP(C28,CallLog_Latest!A:H,8,FALSE),"")</f>
        <v/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60</v>
      </c>
      <c r="B29" t="s">
        <v>58</v>
      </c>
      <c r="C29">
        <v>9322252410</v>
      </c>
      <c r="D29" t="str">
        <f>_xlfn.IFNA(VLOOKUP(C29,UpdateLogToUse!A:D,4,FALSE),"Not Called")</f>
        <v>Not Called</v>
      </c>
      <c r="E29" t="str">
        <f>IF(ISNA(VLOOKUP(C29,Registration!A:A,1,FALSE)),"Not Registered","Registered")</f>
        <v>Not Registered</v>
      </c>
      <c r="F29">
        <f>VLOOKUP(A29,'Karykarta List'!A:B,2,FALSE)</f>
        <v>9820779873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1337</v>
      </c>
      <c r="B30" t="s">
        <v>59</v>
      </c>
      <c r="C30">
        <v>9892444456</v>
      </c>
      <c r="D30" t="str">
        <f>_xlfn.IFNA(VLOOKUP(C30,UpdateLogToUse!A:D,4,FALSE),"Not Called")</f>
        <v>Not Reachable</v>
      </c>
      <c r="E30" t="str">
        <f>IF(ISNA(VLOOKUP(C30,Registration!A:A,1,FALSE)),"Not Registered","Registered")</f>
        <v>Not Registered</v>
      </c>
      <c r="F30">
        <f>VLOOKUP(A30,'Karykarta List'!A:B,2,FALSE)</f>
        <v>9820130862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77</v>
      </c>
      <c r="B31" t="s">
        <v>61</v>
      </c>
      <c r="C31">
        <v>9819345040</v>
      </c>
      <c r="D31" t="str">
        <f>_xlfn.IFNA(VLOOKUP(C31,UpdateLogToUse!A:D,4,FALSE),"Not Called")</f>
        <v>Phone Busy</v>
      </c>
      <c r="E31" t="str">
        <f>IF(ISNA(VLOOKUP(C31,Registration!A:A,1,FALSE)),"Not Registered","Registered")</f>
        <v>Not Registered</v>
      </c>
      <c r="F31">
        <f>VLOOKUP(A31,'Karykarta List'!A:B,2,FALSE)</f>
        <v>9029105124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70</v>
      </c>
      <c r="B32" t="s">
        <v>63</v>
      </c>
      <c r="C32">
        <v>9820798531</v>
      </c>
      <c r="D32" t="str">
        <f>_xlfn.IFNA(VLOOKUP(C32,UpdateLogToUse!A:D,4,FALSE),"Not Called")</f>
        <v>Not Called</v>
      </c>
      <c r="E32" t="str">
        <f>IF(ISNA(VLOOKUP(C32,Registration!A:A,1,FALSE)),"Not Registered","Registered")</f>
        <v>Not Registered</v>
      </c>
      <c r="F32">
        <f>VLOOKUP(A32,'Karykarta List'!A:B,2,FALSE)</f>
        <v>9405263833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81</v>
      </c>
      <c r="B33" t="s">
        <v>65</v>
      </c>
      <c r="C33">
        <v>9821104708</v>
      </c>
      <c r="D33" t="str">
        <f>_xlfn.IFNA(VLOOKUP(C33,UpdateLogToUse!A:D,4,FALSE),"Not Called")</f>
        <v>Not Called</v>
      </c>
      <c r="E33" t="str">
        <f>IF(ISNA(VLOOKUP(C33,Registration!A:A,1,FALSE)),"Not Registered","Registered")</f>
        <v>Not Registered</v>
      </c>
      <c r="F33">
        <f>VLOOKUP(A33,'Karykarta List'!A:B,2,FALSE)</f>
        <v>9824100412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23</v>
      </c>
      <c r="B34" t="s">
        <v>67</v>
      </c>
      <c r="C34">
        <v>7666612335</v>
      </c>
      <c r="D34" t="str">
        <f>_xlfn.IFNA(VLOOKUP(C34,UpdateLogToUse!A:D,4,FALSE),"Not Called")</f>
        <v>Not Called</v>
      </c>
      <c r="E34" t="str">
        <f>IF(ISNA(VLOOKUP(C34,Registration!A:A,1,FALSE)),"Not Registered","Registered")</f>
        <v>Not Registered</v>
      </c>
      <c r="F34">
        <f>VLOOKUP(A34,'Karykarta List'!A:B,2,FALSE)</f>
        <v>7977439717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41</v>
      </c>
      <c r="B35" t="s">
        <v>69</v>
      </c>
      <c r="C35">
        <v>9820746836</v>
      </c>
      <c r="D35" t="str">
        <f>_xlfn.IFNA(VLOOKUP(C35,UpdateLogToUse!A:D,4,FALSE),"Not Called")</f>
        <v>Not Called</v>
      </c>
      <c r="E35" t="str">
        <f>IF(ISNA(VLOOKUP(C35,Registration!A:A,1,FALSE)),"Not Registered","Registered")</f>
        <v>Not Registered</v>
      </c>
      <c r="F35">
        <f>VLOOKUP(A35,'Karykarta List'!A:B,2,FALSE)</f>
        <v>8058973809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797</v>
      </c>
      <c r="B36" t="s">
        <v>71</v>
      </c>
      <c r="C36">
        <v>9820960490</v>
      </c>
      <c r="D36" t="str">
        <f>_xlfn.IFNA(VLOOKUP(C36,UpdateLogToUse!A:D,4,FALSE),"Not Called")</f>
        <v>Not Coming</v>
      </c>
      <c r="E36" t="str">
        <f>IF(ISNA(VLOOKUP(C36,Registration!A:A,1,FALSE)),"Not Registered","Registered")</f>
        <v>Not Registered</v>
      </c>
      <c r="F36">
        <f>VLOOKUP(A36,'Karykarta List'!A:B,2,FALSE)</f>
        <v>9320309630</v>
      </c>
      <c r="G36" t="str">
        <f>_xlfn.IFNA(VLOOKUP(C36,CallLog_Latest!A:H,8,FALSE),"")</f>
        <v/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785</v>
      </c>
      <c r="B37" t="s">
        <v>73</v>
      </c>
      <c r="C37">
        <v>9819383377</v>
      </c>
      <c r="D37" t="str">
        <f>_xlfn.IFNA(VLOOKUP(C37,UpdateLogToUse!A:D,4,FALSE),"Not Called")</f>
        <v>Not Coming</v>
      </c>
      <c r="E37" t="str">
        <f>IF(ISNA(VLOOKUP(C37,Registration!A:A,1,FALSE)),"Not Registered","Registered")</f>
        <v>Not Registered</v>
      </c>
      <c r="F37">
        <f>VLOOKUP(A37,'Karykarta List'!A:B,2,FALSE)</f>
        <v>9321532327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83</v>
      </c>
      <c r="B38" t="s">
        <v>75</v>
      </c>
      <c r="C38">
        <v>9829049614</v>
      </c>
      <c r="D38" t="str">
        <f>_xlfn.IFNA(VLOOKUP(C38,UpdateLogToUse!A:D,4,FALSE),"Not Called")</f>
        <v>Not Called</v>
      </c>
      <c r="E38" t="str">
        <f>IF(ISNA(VLOOKUP(C38,Registration!A:A,1,FALSE)),"Not Registered","Registered")</f>
        <v>Not Registered</v>
      </c>
      <c r="F38">
        <f>VLOOKUP(A38,'Karykarta List'!A:B,2,FALSE)</f>
        <v>9225211083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799</v>
      </c>
      <c r="B39" t="s">
        <v>76</v>
      </c>
      <c r="C39">
        <v>9819920011</v>
      </c>
      <c r="D39" t="str">
        <f>_xlfn.IFNA(VLOOKUP(C39,UpdateLogToUse!A:D,4,FALSE),"Not Called")</f>
        <v>Not Coming</v>
      </c>
      <c r="E39" t="str">
        <f>IF(ISNA(VLOOKUP(C39,Registration!A:A,1,FALSE)),"Not Registered","Registered")</f>
        <v>Not Registered</v>
      </c>
      <c r="F39">
        <f>VLOOKUP(A39,'Karykarta List'!A:B,2,FALSE)</f>
        <v>9324233820</v>
      </c>
      <c r="G39" t="str">
        <f>_xlfn.IFNA(VLOOKUP(C39,CallLog_Latest!A:H,8,FALSE),"")</f>
        <v/>
      </c>
      <c r="H39" t="str">
        <f>VLOOKUP(C39,[1]Sheet1!$F:$H,3,FALSE)</f>
        <v>B 607  Dheeraj Pooja Chincholi Bunder Road</v>
      </c>
    </row>
    <row r="40" spans="1:8" x14ac:dyDescent="0.25">
      <c r="A40" t="s">
        <v>805</v>
      </c>
      <c r="B40" t="s">
        <v>78</v>
      </c>
      <c r="C40">
        <v>9833202274</v>
      </c>
      <c r="D40" t="str">
        <f>_xlfn.IFNA(VLOOKUP(C40,UpdateLogToUse!A:D,4,FALSE),"Not Called")</f>
        <v>May be Attending</v>
      </c>
      <c r="E40" t="str">
        <f>IF(ISNA(VLOOKUP(C40,Registration!A:A,1,FALSE)),"Not Registered","Registered")</f>
        <v>Not Registered</v>
      </c>
      <c r="F40">
        <f>VLOOKUP(A40,'Karykarta List'!A:B,2,FALSE)</f>
        <v>9320770849</v>
      </c>
      <c r="G40" t="str">
        <f>_xlfn.IFNA(VLOOKUP(C40,CallLog_Latest!A:H,8,FALSE),"")</f>
        <v/>
      </c>
      <c r="H40" t="str">
        <f>VLOOKUP(C40,[1]Sheet1!$F:$H,3,FALSE)</f>
        <v>1102 a-wing  Jaswanti Garden Behind Liberty Garden</v>
      </c>
    </row>
    <row r="41" spans="1:8" x14ac:dyDescent="0.25">
      <c r="A41" t="s">
        <v>95</v>
      </c>
      <c r="B41" t="s">
        <v>80</v>
      </c>
      <c r="C41">
        <v>9820968744</v>
      </c>
      <c r="D41" t="str">
        <f>_xlfn.IFNA(VLOOKUP(C41,UpdateLogToUse!A:D,4,FALSE),"Not Called")</f>
        <v>Not Called</v>
      </c>
      <c r="E41" t="str">
        <f>IF(ISNA(VLOOKUP(C41,Registration!A:A,1,FALSE)),"Not Registered","Registered")</f>
        <v>Not Registered</v>
      </c>
      <c r="F41">
        <f>VLOOKUP(A41,'Karykarta List'!A:B,2,FALSE)</f>
        <v>9424584007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55</v>
      </c>
      <c r="B42" t="s">
        <v>82</v>
      </c>
      <c r="C42">
        <v>9326379737</v>
      </c>
      <c r="D42" t="str">
        <f>_xlfn.IFNA(VLOOKUP(C42,UpdateLogToUse!A:D,4,FALSE),"Not Called")</f>
        <v>Confirmed Presence</v>
      </c>
      <c r="E42" t="str">
        <f>IF(ISNA(VLOOKUP(C42,Registration!A:A,1,FALSE)),"Not Registered","Registered")</f>
        <v>Not Registered</v>
      </c>
      <c r="F42">
        <f>VLOOKUP(A42,'Karykarta List'!A:B,2,FALSE)</f>
        <v>9819083540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29</v>
      </c>
      <c r="B43" t="s">
        <v>84</v>
      </c>
      <c r="C43">
        <v>9967045520</v>
      </c>
      <c r="D43" t="str">
        <f>_xlfn.IFNA(VLOOKUP(C43,UpdateLogToUse!A:D,4,FALSE),"Not Called")</f>
        <v>Confirmed Presence</v>
      </c>
      <c r="E43" t="str">
        <f>IF(ISNA(VLOOKUP(C43,Registration!A:A,1,FALSE)),"Not Registered","Registered")</f>
        <v>Not Registered</v>
      </c>
      <c r="F43">
        <f>VLOOKUP(A43,'Karykarta List'!A:B,2,FALSE)</f>
        <v>9819364345</v>
      </c>
      <c r="G43" t="str">
        <f>_xlfn.IFNA(VLOOKUP(C43,CallLog_Latest!A:H,8,FALSE),"")</f>
        <v/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1306</v>
      </c>
      <c r="B44" t="s">
        <v>86</v>
      </c>
      <c r="C44">
        <v>9892989978</v>
      </c>
      <c r="D44" t="str">
        <f>_xlfn.IFNA(VLOOKUP(C44,UpdateLogToUse!A:D,4,FALSE),"Not Called")</f>
        <v>Not Called</v>
      </c>
      <c r="E44" t="str">
        <f>IF(ISNA(VLOOKUP(C44,Registration!A:A,1,FALSE)),"Not Registered","Registered")</f>
        <v>Not Registered</v>
      </c>
      <c r="F44">
        <f>VLOOKUP(A44,'Karykarta List'!A:B,2,FALSE)</f>
        <v>7977147591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789</v>
      </c>
      <c r="B45" t="s">
        <v>88</v>
      </c>
      <c r="C45">
        <v>9920121726</v>
      </c>
      <c r="D45" t="str">
        <f>_xlfn.IFNA(VLOOKUP(C45,UpdateLogToUse!A:D,4,FALSE),"Not Called")</f>
        <v>Not Called</v>
      </c>
      <c r="E45" t="str">
        <f>IF(ISNA(VLOOKUP(C45,Registration!A:A,1,FALSE)),"Not Registered","Registered")</f>
        <v>Not Registered</v>
      </c>
      <c r="F45">
        <f>VLOOKUP(A45,'Karykarta List'!A:B,2,FALSE)</f>
        <v>9702260383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11</v>
      </c>
      <c r="B46" t="s">
        <v>90</v>
      </c>
      <c r="C46">
        <v>9820432076</v>
      </c>
      <c r="D46" t="str">
        <f>_xlfn.IFNA(VLOOKUP(C46,UpdateLogToUse!A:D,4,FALSE),"Not Called")</f>
        <v>Not Called</v>
      </c>
      <c r="E46" t="str">
        <f>IF(ISNA(VLOOKUP(C46,Registration!A:A,1,FALSE)),"Not Registered","Registered")</f>
        <v>Not Registered</v>
      </c>
      <c r="F46">
        <f>VLOOKUP(A46,'Karykarta List'!A:B,2,FALSE)</f>
        <v>9322598681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1308</v>
      </c>
      <c r="B47" t="s">
        <v>92</v>
      </c>
      <c r="C47">
        <v>9833224506</v>
      </c>
      <c r="D47" t="str">
        <f>_xlfn.IFNA(VLOOKUP(C47,UpdateLogToUse!A:D,4,FALSE),"Not Called")</f>
        <v>Not Called</v>
      </c>
      <c r="E47" t="str">
        <f>IF(ISNA(VLOOKUP(C47,Registration!A:A,1,FALSE)),"Not Registered","Registered")</f>
        <v>Not Registered</v>
      </c>
      <c r="F47">
        <f>VLOOKUP(A47,'Karykarta List'!A:B,2,FALSE)</f>
        <v>9022922620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39</v>
      </c>
      <c r="B48" t="s">
        <v>94</v>
      </c>
      <c r="C48">
        <v>9324268981</v>
      </c>
      <c r="D48" t="str">
        <f>_xlfn.IFNA(VLOOKUP(C48,UpdateLogToUse!A:D,4,FALSE),"Not Called")</f>
        <v>Not Called</v>
      </c>
      <c r="E48" t="str">
        <f>IF(ISNA(VLOOKUP(C48,Registration!A:A,1,FALSE)),"Not Registered","Registered")</f>
        <v>Not Registered</v>
      </c>
      <c r="F48">
        <f>VLOOKUP(A48,'Karykarta List'!A:B,2,FALSE)</f>
        <v>9820505363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21</v>
      </c>
      <c r="B49" t="s">
        <v>96</v>
      </c>
      <c r="C49">
        <v>9820144705</v>
      </c>
      <c r="D49" t="str">
        <f>_xlfn.IFNA(VLOOKUP(C49,UpdateLogToUse!A:D,4,FALSE),"Not Called")</f>
        <v>Not Reachable</v>
      </c>
      <c r="E49" t="str">
        <f>IF(ISNA(VLOOKUP(C49,Registration!A:A,1,FALSE)),"Not Registered","Registered")</f>
        <v>Not Registered</v>
      </c>
      <c r="F49">
        <f>VLOOKUP(A49,'Karykarta List'!A:B,2,FALSE)</f>
        <v>9820636392</v>
      </c>
      <c r="G49" t="str">
        <f>_xlfn.IFNA(VLOOKUP(C49,CallLog_Latest!A:H,8,FALSE),"")</f>
        <v/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31</v>
      </c>
      <c r="B50" t="s">
        <v>97</v>
      </c>
      <c r="C50">
        <v>9322019125</v>
      </c>
      <c r="D50" t="str">
        <f>_xlfn.IFNA(VLOOKUP(C50,UpdateLogToUse!A:D,4,FALSE),"Not Called")</f>
        <v>Not Called</v>
      </c>
      <c r="E50" t="str">
        <f>IF(ISNA(VLOOKUP(C50,Registration!A:A,1,FALSE)),"Not Registered","Registered")</f>
        <v>Not Registered</v>
      </c>
      <c r="F50">
        <f>VLOOKUP(A50,'Karykarta List'!A:B,2,FALSE)</f>
        <v>9869064553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49</v>
      </c>
      <c r="B51" t="s">
        <v>98</v>
      </c>
      <c r="C51">
        <v>9987888951</v>
      </c>
      <c r="D51" t="str">
        <f>_xlfn.IFNA(VLOOKUP(C51,UpdateLogToUse!A:D,4,FALSE),"Not Called")</f>
        <v>Not Called</v>
      </c>
      <c r="E51" t="str">
        <f>IF(ISNA(VLOOKUP(C51,Registration!A:A,1,FALSE)),"Not Registered","Registered")</f>
        <v>Not Registered</v>
      </c>
      <c r="F51">
        <f>VLOOKUP(A51,'Karykarta List'!A:B,2,FALSE)</f>
        <v>9322206108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35</v>
      </c>
      <c r="B52" t="s">
        <v>70</v>
      </c>
      <c r="C52">
        <v>9405263833</v>
      </c>
      <c r="D52" t="str">
        <f>_xlfn.IFNA(VLOOKUP(C52,UpdateLogToUse!A:D,4,FALSE),"Not Called")</f>
        <v>Not Called</v>
      </c>
      <c r="E52" t="str">
        <f>IF(ISNA(VLOOKUP(C52,Registration!A:A,1,FALSE)),"Not Registered","Registered")</f>
        <v>Not Registered</v>
      </c>
      <c r="F52">
        <f>VLOOKUP(A52,'Karykarta List'!A:B,2,FALSE)</f>
        <v>9833705425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17</v>
      </c>
      <c r="B53" t="s">
        <v>99</v>
      </c>
      <c r="C53">
        <v>9324234555</v>
      </c>
      <c r="D53" t="str">
        <f>_xlfn.IFNA(VLOOKUP(C53,UpdateLogToUse!A:D,4,FALSE),"Not Called")</f>
        <v>Not Called</v>
      </c>
      <c r="E53" t="str">
        <f>IF(ISNA(VLOOKUP(C53,Registration!A:A,1,FALSE)),"Not Registered","Registered")</f>
        <v>Not Registered</v>
      </c>
      <c r="F53">
        <f>VLOOKUP(A53,'Karykarta List'!A:B,2,FALSE)</f>
        <v>9869798705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23</v>
      </c>
      <c r="B54" t="s">
        <v>100</v>
      </c>
      <c r="C54">
        <v>9820450815</v>
      </c>
      <c r="D54" t="str">
        <f>_xlfn.IFNA(VLOOKUP(C54,UpdateLogToUse!A:D,4,FALSE),"Not Called")</f>
        <v>Confirmed Presence</v>
      </c>
      <c r="E54" t="str">
        <f>IF(ISNA(VLOOKUP(C54,Registration!A:A,1,FALSE)),"Not Registered","Registered")</f>
        <v>Not Registered</v>
      </c>
      <c r="F54">
        <f>VLOOKUP(A54,'Karykarta List'!A:B,2,FALSE)</f>
        <v>7977439717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43</v>
      </c>
      <c r="B55" t="s">
        <v>101</v>
      </c>
      <c r="C55">
        <v>9867745206</v>
      </c>
      <c r="D55" t="str">
        <f>_xlfn.IFNA(VLOOKUP(C55,UpdateLogToUse!A:D,4,FALSE),"Not Called")</f>
        <v>Not Called</v>
      </c>
      <c r="E55" t="str">
        <f>IF(ISNA(VLOOKUP(C55,Registration!A:A,1,FALSE)),"Not Registered","Registered")</f>
        <v>Not Registered</v>
      </c>
      <c r="F55">
        <f>VLOOKUP(A55,'Karykarta List'!A:B,2,FALSE)</f>
        <v>9320683201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57</v>
      </c>
      <c r="B56" t="s">
        <v>57</v>
      </c>
      <c r="C56">
        <v>9101910341</v>
      </c>
      <c r="D56" t="str">
        <f>_xlfn.IFNA(VLOOKUP(C56,UpdateLogToUse!A:D,4,FALSE),"Not Called")</f>
        <v>Not Called</v>
      </c>
      <c r="E56" t="str">
        <f>IF(ISNA(VLOOKUP(C56,Registration!A:A,1,FALSE)),"Not Registered","Registered")</f>
        <v>Not Registered</v>
      </c>
      <c r="F56">
        <f>VLOOKUP(A56,'Karykarta List'!A:B,2,FALSE)</f>
        <v>9101910341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72</v>
      </c>
      <c r="B57" t="s">
        <v>102</v>
      </c>
      <c r="C57">
        <v>9224198417</v>
      </c>
      <c r="D57" t="str">
        <f>_xlfn.IFNA(VLOOKUP(C57,UpdateLogToUse!A:D,4,FALSE),"Not Called")</f>
        <v>Confirmed Presence</v>
      </c>
      <c r="E57" t="str">
        <f>IF(ISNA(VLOOKUP(C57,Registration!A:A,1,FALSE)),"Not Registered","Registered")</f>
        <v>Not Registered</v>
      </c>
      <c r="F57">
        <f>VLOOKUP(A57,'Karykarta List'!A:B,2,FALSE)</f>
        <v>8879433174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60</v>
      </c>
      <c r="B58" t="s">
        <v>103</v>
      </c>
      <c r="C58">
        <v>9321046554</v>
      </c>
      <c r="D58" t="str">
        <f>_xlfn.IFNA(VLOOKUP(C58,UpdateLogToUse!A:D,4,FALSE),"Not Called")</f>
        <v>Not Called</v>
      </c>
      <c r="E58" t="str">
        <f>IF(ISNA(VLOOKUP(C58,Registration!A:A,1,FALSE)),"Not Registered","Registered")</f>
        <v>Not Registered</v>
      </c>
      <c r="F58">
        <f>VLOOKUP(A58,'Karykarta List'!A:B,2,FALSE)</f>
        <v>9820779873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1337</v>
      </c>
      <c r="B59" t="s">
        <v>104</v>
      </c>
      <c r="C59">
        <v>9987001430</v>
      </c>
      <c r="D59" t="str">
        <f>_xlfn.IFNA(VLOOKUP(C59,UpdateLogToUse!A:D,4,FALSE),"Not Called")</f>
        <v>Not Called</v>
      </c>
      <c r="E59" t="str">
        <f>IF(ISNA(VLOOKUP(C59,Registration!A:A,1,FALSE)),"Not Registered","Registered")</f>
        <v>Not Registered</v>
      </c>
      <c r="F59">
        <f>VLOOKUP(A59,'Karykarta List'!A:B,2,FALSE)</f>
        <v>9820130862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77</v>
      </c>
      <c r="B60" t="s">
        <v>105</v>
      </c>
      <c r="C60">
        <v>9322553303</v>
      </c>
      <c r="D60" t="str">
        <f>_xlfn.IFNA(VLOOKUP(C60,UpdateLogToUse!A:D,4,FALSE),"Not Called")</f>
        <v>Not Coming</v>
      </c>
      <c r="E60" t="str">
        <f>IF(ISNA(VLOOKUP(C60,Registration!A:A,1,FALSE)),"Not Registered","Registered")</f>
        <v>Not Registered</v>
      </c>
      <c r="F60">
        <f>VLOOKUP(A60,'Karykarta List'!A:B,2,FALSE)</f>
        <v>9029105124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70</v>
      </c>
      <c r="B61" t="s">
        <v>55</v>
      </c>
      <c r="C61">
        <v>9819083540</v>
      </c>
      <c r="D61" t="str">
        <f>_xlfn.IFNA(VLOOKUP(C61,UpdateLogToUse!A:D,4,FALSE),"Not Called")</f>
        <v>Not Called</v>
      </c>
      <c r="E61" t="str">
        <f>IF(ISNA(VLOOKUP(C61,Registration!A:A,1,FALSE)),"Not Registered","Registered")</f>
        <v>Not Registered</v>
      </c>
      <c r="F61">
        <f>VLOOKUP(A61,'Karykarta List'!A:B,2,FALSE)</f>
        <v>9405263833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81</v>
      </c>
      <c r="B62" t="s">
        <v>106</v>
      </c>
      <c r="C62">
        <v>9892055604</v>
      </c>
      <c r="D62" t="str">
        <f>_xlfn.IFNA(VLOOKUP(C62,UpdateLogToUse!A:D,4,FALSE),"Not Called")</f>
        <v>Not Called</v>
      </c>
      <c r="E62" t="str">
        <f>IF(ISNA(VLOOKUP(C62,Registration!A:A,1,FALSE)),"Not Registered","Registered")</f>
        <v>Not Registered</v>
      </c>
      <c r="F62">
        <f>VLOOKUP(A62,'Karykarta List'!A:B,2,FALSE)</f>
        <v>9824100412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23</v>
      </c>
      <c r="B63" t="s">
        <v>107</v>
      </c>
      <c r="C63">
        <v>9324425857</v>
      </c>
      <c r="D63" t="str">
        <f>_xlfn.IFNA(VLOOKUP(C63,UpdateLogToUse!A:D,4,FALSE),"Not Called")</f>
        <v>Not Called</v>
      </c>
      <c r="E63" t="str">
        <f>IF(ISNA(VLOOKUP(C63,Registration!A:A,1,FALSE)),"Not Registered","Registered")</f>
        <v>Not Registered</v>
      </c>
      <c r="F63">
        <f>VLOOKUP(A63,'Karykarta List'!A:B,2,FALSE)</f>
        <v>7977439717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41</v>
      </c>
      <c r="B64" t="s">
        <v>108</v>
      </c>
      <c r="C64">
        <v>9892123876</v>
      </c>
      <c r="D64" t="str">
        <f>_xlfn.IFNA(VLOOKUP(C64,UpdateLogToUse!A:D,4,FALSE),"Not Called")</f>
        <v>Not Reachable</v>
      </c>
      <c r="E64" t="str">
        <f>IF(ISNA(VLOOKUP(C64,Registration!A:A,1,FALSE)),"Not Registered","Registered")</f>
        <v>Not Registered</v>
      </c>
      <c r="F64">
        <f>VLOOKUP(A64,'Karykarta List'!A:B,2,FALSE)</f>
        <v>8058973809</v>
      </c>
      <c r="G64" t="str">
        <f>_xlfn.IFNA(VLOOKUP(C64,CallLog_Latest!A:H,8,FALSE),"")</f>
        <v/>
      </c>
      <c r="H64" t="str">
        <f>VLOOKUP(C64,[1]Sheet1!$F:$H,3,FALSE)</f>
        <v>C-4/5  Sunder Nagar S V Road</v>
      </c>
    </row>
    <row r="65" spans="1:8" x14ac:dyDescent="0.25">
      <c r="A65" t="s">
        <v>797</v>
      </c>
      <c r="B65" t="s">
        <v>109</v>
      </c>
      <c r="C65">
        <v>9321602436</v>
      </c>
      <c r="D65" t="str">
        <f>_xlfn.IFNA(VLOOKUP(C65,UpdateLogToUse!A:D,4,FALSE),"Not Called")</f>
        <v>Not Called</v>
      </c>
      <c r="E65" t="str">
        <f>IF(ISNA(VLOOKUP(C65,Registration!A:A,1,FALSE)),"Not Registered","Registered")</f>
        <v>Not Registered</v>
      </c>
      <c r="F65">
        <f>VLOOKUP(A65,'Karykarta List'!A:B,2,FALSE)</f>
        <v>9320309630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785</v>
      </c>
      <c r="B66" t="s">
        <v>110</v>
      </c>
      <c r="C66">
        <v>9869005638</v>
      </c>
      <c r="D66" t="str">
        <f>_xlfn.IFNA(VLOOKUP(C66,UpdateLogToUse!A:D,4,FALSE),"Not Called")</f>
        <v>Not Reachable</v>
      </c>
      <c r="E66" t="str">
        <f>IF(ISNA(VLOOKUP(C66,Registration!A:A,1,FALSE)),"Not Registered","Registered")</f>
        <v>Not Registered</v>
      </c>
      <c r="F66">
        <f>VLOOKUP(A66,'Karykarta List'!A:B,2,FALSE)</f>
        <v>9321532327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83</v>
      </c>
      <c r="B67" t="s">
        <v>111</v>
      </c>
      <c r="C67">
        <v>9820385328</v>
      </c>
      <c r="D67" t="str">
        <f>_xlfn.IFNA(VLOOKUP(C67,UpdateLogToUse!A:D,4,FALSE),"Not Called")</f>
        <v>Not Called</v>
      </c>
      <c r="E67" t="str">
        <f>IF(ISNA(VLOOKUP(C67,Registration!A:A,1,FALSE)),"Not Registered","Registered")</f>
        <v>Not Registered</v>
      </c>
      <c r="F67">
        <f>VLOOKUP(A67,'Karykarta List'!A:B,2,FALSE)</f>
        <v>9225211083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799</v>
      </c>
      <c r="B68" t="s">
        <v>112</v>
      </c>
      <c r="C68">
        <v>9167342290</v>
      </c>
      <c r="D68" t="str">
        <f>_xlfn.IFNA(VLOOKUP(C68,UpdateLogToUse!A:D,4,FALSE),"Not Called")</f>
        <v>Not Called</v>
      </c>
      <c r="E68" t="str">
        <f>IF(ISNA(VLOOKUP(C68,Registration!A:A,1,FALSE)),"Not Registered","Registered")</f>
        <v>Not Registered</v>
      </c>
      <c r="F68">
        <f>VLOOKUP(A68,'Karykarta List'!A:B,2,FALSE)</f>
        <v>9324233820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805</v>
      </c>
      <c r="B69" t="s">
        <v>113</v>
      </c>
      <c r="C69">
        <v>9320969649</v>
      </c>
      <c r="D69" t="str">
        <f>_xlfn.IFNA(VLOOKUP(C69,UpdateLogToUse!A:D,4,FALSE),"Not Called")</f>
        <v>Confirmed Presence</v>
      </c>
      <c r="E69" t="str">
        <f>IF(ISNA(VLOOKUP(C69,Registration!A:A,1,FALSE)),"Not Registered","Registered")</f>
        <v>Not Registered</v>
      </c>
      <c r="F69">
        <f>VLOOKUP(A69,'Karykarta List'!A:B,2,FALSE)</f>
        <v>9320770849</v>
      </c>
      <c r="G69" t="str">
        <f>_xlfn.IFNA(VLOOKUP(C69,CallLog_Latest!A:H,8,FALSE),"")</f>
        <v/>
      </c>
      <c r="H69" t="str">
        <f>VLOOKUP(C69,[1]Sheet1!$F:$H,3,FALSE)</f>
        <v>D-503  Krishna Residency Sundar nagar, Malad West</v>
      </c>
    </row>
    <row r="70" spans="1:8" x14ac:dyDescent="0.25">
      <c r="A70" t="s">
        <v>95</v>
      </c>
      <c r="B70" t="s">
        <v>114</v>
      </c>
      <c r="C70">
        <v>9820001618</v>
      </c>
      <c r="D70" t="str">
        <f>_xlfn.IFNA(VLOOKUP(C70,UpdateLogToUse!A:D,4,FALSE),"Not Called")</f>
        <v>Confirmed Presence</v>
      </c>
      <c r="E70" t="str">
        <f>IF(ISNA(VLOOKUP(C70,Registration!A:A,1,FALSE)),"Not Registered","Registered")</f>
        <v>Registered</v>
      </c>
      <c r="F70">
        <f>VLOOKUP(A70,'Karykarta List'!A:B,2,FALSE)</f>
        <v>9424584007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55</v>
      </c>
      <c r="B71" t="s">
        <v>115</v>
      </c>
      <c r="C71">
        <v>9820969649</v>
      </c>
      <c r="D71" t="str">
        <f>_xlfn.IFNA(VLOOKUP(C71,UpdateLogToUse!A:D,4,FALSE),"Not Called")</f>
        <v>Not Reachable</v>
      </c>
      <c r="E71" t="str">
        <f>IF(ISNA(VLOOKUP(C71,Registration!A:A,1,FALSE)),"Not Registered","Registered")</f>
        <v>Not Registered</v>
      </c>
      <c r="F71">
        <f>VLOOKUP(A71,'Karykarta List'!A:B,2,FALSE)</f>
        <v>9819083540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29</v>
      </c>
      <c r="B72" t="s">
        <v>116</v>
      </c>
      <c r="C72">
        <v>9769422928</v>
      </c>
      <c r="D72" t="str">
        <f>_xlfn.IFNA(VLOOKUP(C72,UpdateLogToUse!A:D,4,FALSE),"Not Called")</f>
        <v>Not Coming</v>
      </c>
      <c r="E72" t="str">
        <f>IF(ISNA(VLOOKUP(C72,Registration!A:A,1,FALSE)),"Not Registered","Registered")</f>
        <v>Not Registered</v>
      </c>
      <c r="F72">
        <f>VLOOKUP(A72,'Karykarta List'!A:B,2,FALSE)</f>
        <v>9819364345</v>
      </c>
      <c r="G72" t="str">
        <f>_xlfn.IFNA(VLOOKUP(C72,CallLog_Latest!A:H,8,FALSE),"")</f>
        <v/>
      </c>
      <c r="H72" t="str">
        <f>VLOOKUP(C72,[1]Sheet1!$F:$H,3,FALSE)</f>
        <v>606  Agrawal Triniti Tower Kanchpada, Malad (W</v>
      </c>
    </row>
    <row r="73" spans="1:8" x14ac:dyDescent="0.25">
      <c r="A73" t="s">
        <v>1306</v>
      </c>
      <c r="B73" t="s">
        <v>117</v>
      </c>
      <c r="C73">
        <v>9004259412</v>
      </c>
      <c r="D73" t="str">
        <f>_xlfn.IFNA(VLOOKUP(C73,UpdateLogToUse!A:D,4,FALSE),"Not Called")</f>
        <v>Confirmed Presence</v>
      </c>
      <c r="E73" t="str">
        <f>IF(ISNA(VLOOKUP(C73,Registration!A:A,1,FALSE)),"Not Registered","Registered")</f>
        <v>Not Registered</v>
      </c>
      <c r="F73">
        <f>VLOOKUP(A73,'Karykarta List'!A:B,2,FALSE)</f>
        <v>7977147591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789</v>
      </c>
      <c r="B74" t="s">
        <v>118</v>
      </c>
      <c r="C74">
        <v>9967060564</v>
      </c>
      <c r="D74" t="str">
        <f>_xlfn.IFNA(VLOOKUP(C74,UpdateLogToUse!A:D,4,FALSE),"Not Called")</f>
        <v>Not Called</v>
      </c>
      <c r="E74" t="str">
        <f>IF(ISNA(VLOOKUP(C74,Registration!A:A,1,FALSE)),"Not Registered","Registered")</f>
        <v>Not Registered</v>
      </c>
      <c r="F74">
        <f>VLOOKUP(A74,'Karykarta List'!A:B,2,FALSE)</f>
        <v>9702260383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11</v>
      </c>
      <c r="B75" t="s">
        <v>119</v>
      </c>
      <c r="C75">
        <v>9820026780</v>
      </c>
      <c r="D75" t="str">
        <f>_xlfn.IFNA(VLOOKUP(C75,UpdateLogToUse!A:D,4,FALSE),"Not Called")</f>
        <v>Not Called</v>
      </c>
      <c r="E75" t="str">
        <f>IF(ISNA(VLOOKUP(C75,Registration!A:A,1,FALSE)),"Not Registered","Registered")</f>
        <v>Not Registered</v>
      </c>
      <c r="F75">
        <f>VLOOKUP(A75,'Karykarta List'!A:B,2,FALSE)</f>
        <v>9322598681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1308</v>
      </c>
      <c r="B76" t="s">
        <v>120</v>
      </c>
      <c r="C76">
        <v>9594929376</v>
      </c>
      <c r="D76" t="str">
        <f>_xlfn.IFNA(VLOOKUP(C76,UpdateLogToUse!A:D,4,FALSE),"Not Called")</f>
        <v>Phone Busy</v>
      </c>
      <c r="E76" t="str">
        <f>IF(ISNA(VLOOKUP(C76,Registration!A:A,1,FALSE)),"Not Registered","Registered")</f>
        <v>Not Registered</v>
      </c>
      <c r="F76">
        <f>VLOOKUP(A76,'Karykarta List'!A:B,2,FALSE)</f>
        <v>9022922620</v>
      </c>
      <c r="G76" t="str">
        <f>_xlfn.IFNA(VLOOKUP(C76,CallLog_Latest!A:H,8,FALSE),"")</f>
        <v/>
      </c>
      <c r="H76" t="str">
        <f>VLOOKUP(C76,[1]Sheet1!$F:$H,3,FALSE)</f>
        <v>B-103  Evershine Grandeur  Off Link Road</v>
      </c>
    </row>
    <row r="77" spans="1:8" x14ac:dyDescent="0.25">
      <c r="A77" t="s">
        <v>39</v>
      </c>
      <c r="B77" t="s">
        <v>121</v>
      </c>
      <c r="C77">
        <v>9324812699</v>
      </c>
      <c r="D77" t="str">
        <f>_xlfn.IFNA(VLOOKUP(C77,UpdateLogToUse!A:D,4,FALSE),"Not Called")</f>
        <v>Not Reachable</v>
      </c>
      <c r="E77" t="str">
        <f>IF(ISNA(VLOOKUP(C77,Registration!A:A,1,FALSE)),"Not Registered","Registered")</f>
        <v>Not Registered</v>
      </c>
      <c r="F77">
        <f>VLOOKUP(A77,'Karykarta List'!A:B,2,FALSE)</f>
        <v>9820505363</v>
      </c>
      <c r="G77" t="str">
        <f>_xlfn.IFNA(VLOOKUP(C77,CallLog_Latest!A:H,8,FALSE),"")</f>
        <v/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21</v>
      </c>
      <c r="B78" t="s">
        <v>122</v>
      </c>
      <c r="C78">
        <v>9867277012</v>
      </c>
      <c r="D78" t="str">
        <f>_xlfn.IFNA(VLOOKUP(C78,UpdateLogToUse!A:D,4,FALSE),"Not Called")</f>
        <v>Confirmed Presence</v>
      </c>
      <c r="E78" t="str">
        <f>IF(ISNA(VLOOKUP(C78,Registration!A:A,1,FALSE)),"Not Registered","Registered")</f>
        <v>Not Registered</v>
      </c>
      <c r="F78">
        <f>VLOOKUP(A78,'Karykarta List'!A:B,2,FALSE)</f>
        <v>9820636392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31</v>
      </c>
      <c r="B79" t="s">
        <v>123</v>
      </c>
      <c r="C79">
        <v>9867986666</v>
      </c>
      <c r="D79" t="str">
        <f>_xlfn.IFNA(VLOOKUP(C79,UpdateLogToUse!A:D,4,FALSE),"Not Called")</f>
        <v>Not Reachable</v>
      </c>
      <c r="E79" t="str">
        <f>IF(ISNA(VLOOKUP(C79,Registration!A:A,1,FALSE)),"Not Registered","Registered")</f>
        <v>Not Registered</v>
      </c>
      <c r="F79">
        <f>VLOOKUP(A79,'Karykarta List'!A:B,2,FALSE)</f>
        <v>9869064553</v>
      </c>
      <c r="G79" t="str">
        <f>_xlfn.IFNA(VLOOKUP(C79,CallLog_Latest!A:H,8,FALSE),"")</f>
        <v/>
      </c>
      <c r="H79" t="str">
        <f>VLOOKUP(C79,[1]Sheet1!$F:$H,3,FALSE)</f>
        <v>A-404/2 Shiv Ganga  Off Chincholi Bunder Road, Malad (W</v>
      </c>
    </row>
    <row r="80" spans="1:8" x14ac:dyDescent="0.25">
      <c r="A80" t="s">
        <v>49</v>
      </c>
      <c r="B80" t="s">
        <v>124</v>
      </c>
      <c r="C80">
        <v>9867688889</v>
      </c>
      <c r="D80" t="str">
        <f>_xlfn.IFNA(VLOOKUP(C80,UpdateLogToUse!A:D,4,FALSE),"Not Called")</f>
        <v>Not Called</v>
      </c>
      <c r="E80" t="str">
        <f>IF(ISNA(VLOOKUP(C80,Registration!A:A,1,FALSE)),"Not Registered","Registered")</f>
        <v>Not Registered</v>
      </c>
      <c r="F80">
        <f>VLOOKUP(A80,'Karykarta List'!A:B,2,FALSE)</f>
        <v>9322206108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35</v>
      </c>
      <c r="B81" t="s">
        <v>125</v>
      </c>
      <c r="C81">
        <v>9004591113</v>
      </c>
      <c r="D81" t="str">
        <f>_xlfn.IFNA(VLOOKUP(C81,UpdateLogToUse!A:D,4,FALSE),"Not Called")</f>
        <v>Not Called</v>
      </c>
      <c r="E81" t="str">
        <f>IF(ISNA(VLOOKUP(C81,Registration!A:A,1,FALSE)),"Not Registered","Registered")</f>
        <v>Not Registered</v>
      </c>
      <c r="F81">
        <f>VLOOKUP(A81,'Karykarta List'!A:B,2,FALSE)</f>
        <v>9833705425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17</v>
      </c>
      <c r="B82" t="s">
        <v>126</v>
      </c>
      <c r="C82">
        <v>9820158417</v>
      </c>
      <c r="D82" t="str">
        <f>_xlfn.IFNA(VLOOKUP(C82,UpdateLogToUse!A:D,4,FALSE),"Not Called")</f>
        <v>Not Called</v>
      </c>
      <c r="E82" t="str">
        <f>IF(ISNA(VLOOKUP(C82,Registration!A:A,1,FALSE)),"Not Registered","Registered")</f>
        <v>Not Registered</v>
      </c>
      <c r="F82">
        <f>VLOOKUP(A82,'Karykarta List'!A:B,2,FALSE)</f>
        <v>9869798705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23</v>
      </c>
      <c r="B83" t="s">
        <v>127</v>
      </c>
      <c r="C83">
        <v>9821167085</v>
      </c>
      <c r="D83" t="str">
        <f>_xlfn.IFNA(VLOOKUP(C83,UpdateLogToUse!A:D,4,FALSE),"Not Called")</f>
        <v>Not Called</v>
      </c>
      <c r="E83" t="str">
        <f>IF(ISNA(VLOOKUP(C83,Registration!A:A,1,FALSE)),"Not Registered","Registered")</f>
        <v>Not Registered</v>
      </c>
      <c r="F83">
        <f>VLOOKUP(A83,'Karykarta List'!A:B,2,FALSE)</f>
        <v>7977439717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43</v>
      </c>
      <c r="B84" t="s">
        <v>128</v>
      </c>
      <c r="C84">
        <v>9820070274</v>
      </c>
      <c r="D84" t="str">
        <f>_xlfn.IFNA(VLOOKUP(C84,UpdateLogToUse!A:D,4,FALSE),"Not Called")</f>
        <v>Confirmed Presence</v>
      </c>
      <c r="E84" t="str">
        <f>IF(ISNA(VLOOKUP(C84,Registration!A:A,1,FALSE)),"Not Registered","Registered")</f>
        <v>Not Registered</v>
      </c>
      <c r="F84">
        <f>VLOOKUP(A84,'Karykarta List'!A:B,2,FALSE)</f>
        <v>9320683201</v>
      </c>
      <c r="G84" t="str">
        <f>_xlfn.IFNA(VLOOKUP(C84,CallLog_Latest!A:H,8,FALSE),"")</f>
        <v/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57</v>
      </c>
      <c r="B85" t="s">
        <v>129</v>
      </c>
      <c r="C85">
        <v>9619444648</v>
      </c>
      <c r="D85" t="str">
        <f>_xlfn.IFNA(VLOOKUP(C85,UpdateLogToUse!A:D,4,FALSE),"Not Called")</f>
        <v>Not Called</v>
      </c>
      <c r="E85" t="str">
        <f>IF(ISNA(VLOOKUP(C85,Registration!A:A,1,FALSE)),"Not Registered","Registered")</f>
        <v>Not Registered</v>
      </c>
      <c r="F85">
        <f>VLOOKUP(A85,'Karykarta List'!A:B,2,FALSE)</f>
        <v>9101910341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72</v>
      </c>
      <c r="B86" t="s">
        <v>130</v>
      </c>
      <c r="C86">
        <v>9821167085</v>
      </c>
      <c r="D86" t="str">
        <f>_xlfn.IFNA(VLOOKUP(C86,UpdateLogToUse!A:D,4,FALSE),"Not Called")</f>
        <v>Not Called</v>
      </c>
      <c r="E86" t="str">
        <f>IF(ISNA(VLOOKUP(C86,Registration!A:A,1,FALSE)),"Not Registered","Registered")</f>
        <v>Not Registered</v>
      </c>
      <c r="F86">
        <f>VLOOKUP(A86,'Karykarta List'!A:B,2,FALSE)</f>
        <v>8879433174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60</v>
      </c>
      <c r="B87" t="s">
        <v>131</v>
      </c>
      <c r="C87">
        <v>9820460950</v>
      </c>
      <c r="D87" t="str">
        <f>_xlfn.IFNA(VLOOKUP(C87,UpdateLogToUse!A:D,4,FALSE),"Not Called")</f>
        <v>May be Attending</v>
      </c>
      <c r="E87" t="str">
        <f>IF(ISNA(VLOOKUP(C87,Registration!A:A,1,FALSE)),"Not Registered","Registered")</f>
        <v>Not Registered</v>
      </c>
      <c r="F87">
        <f>VLOOKUP(A87,'Karykarta List'!A:B,2,FALSE)</f>
        <v>9820779873</v>
      </c>
      <c r="G87" t="str">
        <f>_xlfn.IFNA(VLOOKUP(C87,CallLog_Latest!A:H,8,FALSE),"")</f>
        <v/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1337</v>
      </c>
      <c r="B88" t="s">
        <v>132</v>
      </c>
      <c r="C88">
        <v>9323549794</v>
      </c>
      <c r="D88" t="str">
        <f>_xlfn.IFNA(VLOOKUP(C88,UpdateLogToUse!A:D,4,FALSE),"Not Called")</f>
        <v>Confirmed Presence</v>
      </c>
      <c r="E88" t="str">
        <f>IF(ISNA(VLOOKUP(C88,Registration!A:A,1,FALSE)),"Not Registered","Registered")</f>
        <v>Not Registered</v>
      </c>
      <c r="F88">
        <f>VLOOKUP(A88,'Karykarta List'!A:B,2,FALSE)</f>
        <v>9820130862</v>
      </c>
      <c r="G88" t="str">
        <f>_xlfn.IFNA(VLOOKUP(C88,CallLog_Latest!A:H,8,FALSE),"")</f>
        <v/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77</v>
      </c>
      <c r="B89" t="s">
        <v>133</v>
      </c>
      <c r="C89">
        <v>9320821229</v>
      </c>
      <c r="D89" t="str">
        <f>_xlfn.IFNA(VLOOKUP(C89,UpdateLogToUse!A:D,4,FALSE),"Not Called")</f>
        <v>Not Called</v>
      </c>
      <c r="E89" t="str">
        <f>IF(ISNA(VLOOKUP(C89,Registration!A:A,1,FALSE)),"Not Registered","Registered")</f>
        <v>Not Registered</v>
      </c>
      <c r="F89">
        <f>VLOOKUP(A89,'Karykarta List'!A:B,2,FALSE)</f>
        <v>9029105124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70</v>
      </c>
      <c r="B90" t="s">
        <v>134</v>
      </c>
      <c r="C90">
        <v>9029355691</v>
      </c>
      <c r="D90" t="str">
        <f>_xlfn.IFNA(VLOOKUP(C90,UpdateLogToUse!A:D,4,FALSE),"Not Called")</f>
        <v>Not Coming</v>
      </c>
      <c r="E90" t="str">
        <f>IF(ISNA(VLOOKUP(C90,Registration!A:A,1,FALSE)),"Not Registered","Registered")</f>
        <v>Not Registered</v>
      </c>
      <c r="F90">
        <f>VLOOKUP(A90,'Karykarta List'!A:B,2,FALSE)</f>
        <v>9405263833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81</v>
      </c>
      <c r="B91" t="s">
        <v>135</v>
      </c>
      <c r="C91">
        <v>9768245456</v>
      </c>
      <c r="D91" t="str">
        <f>_xlfn.IFNA(VLOOKUP(C91,UpdateLogToUse!A:D,4,FALSE),"Not Called")</f>
        <v>Not Reachable</v>
      </c>
      <c r="E91" t="str">
        <f>IF(ISNA(VLOOKUP(C91,Registration!A:A,1,FALSE)),"Not Registered","Registered")</f>
        <v>Not Registered</v>
      </c>
      <c r="F91">
        <f>VLOOKUP(A91,'Karykarta List'!A:B,2,FALSE)</f>
        <v>9824100412</v>
      </c>
      <c r="G91" t="str">
        <f>_xlfn.IFNA(VLOOKUP(C91,CallLog_Latest!A:H,8,FALSE),"")</f>
        <v/>
      </c>
      <c r="H91" t="str">
        <f>VLOOKUP(C91,[1]Sheet1!$F:$H,3,FALSE)</f>
        <v>F-805/806  Sonmarg  S V. Road</v>
      </c>
    </row>
    <row r="92" spans="1:8" x14ac:dyDescent="0.25">
      <c r="A92" t="s">
        <v>23</v>
      </c>
      <c r="B92" t="s">
        <v>136</v>
      </c>
      <c r="C92">
        <v>9820085026</v>
      </c>
      <c r="D92" t="str">
        <f>_xlfn.IFNA(VLOOKUP(C92,UpdateLogToUse!A:D,4,FALSE),"Not Called")</f>
        <v>Not Called</v>
      </c>
      <c r="E92" t="str">
        <f>IF(ISNA(VLOOKUP(C92,Registration!A:A,1,FALSE)),"Not Registered","Registered")</f>
        <v>Not Registered</v>
      </c>
      <c r="F92">
        <f>VLOOKUP(A92,'Karykarta List'!A:B,2,FALSE)</f>
        <v>7977439717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41</v>
      </c>
      <c r="B93" t="s">
        <v>137</v>
      </c>
      <c r="C93">
        <v>9819947177</v>
      </c>
      <c r="D93" t="str">
        <f>_xlfn.IFNA(VLOOKUP(C93,UpdateLogToUse!A:D,4,FALSE),"Not Called")</f>
        <v>Not Called</v>
      </c>
      <c r="E93" t="str">
        <f>IF(ISNA(VLOOKUP(C93,Registration!A:A,1,FALSE)),"Not Registered","Registered")</f>
        <v>Not Registered</v>
      </c>
      <c r="F93">
        <f>VLOOKUP(A93,'Karykarta List'!A:B,2,FALSE)</f>
        <v>8058973809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797</v>
      </c>
      <c r="B94" t="s">
        <v>138</v>
      </c>
      <c r="C94">
        <v>9819234161</v>
      </c>
      <c r="D94" t="str">
        <f>_xlfn.IFNA(VLOOKUP(C94,UpdateLogToUse!A:D,4,FALSE),"Not Called")</f>
        <v>Not Called</v>
      </c>
      <c r="E94" t="str">
        <f>IF(ISNA(VLOOKUP(C94,Registration!A:A,1,FALSE)),"Not Registered","Registered")</f>
        <v>Not Registered</v>
      </c>
      <c r="F94">
        <f>VLOOKUP(A94,'Karykarta List'!A:B,2,FALSE)</f>
        <v>9320309630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785</v>
      </c>
      <c r="B95" t="s">
        <v>139</v>
      </c>
      <c r="C95">
        <v>9820539505</v>
      </c>
      <c r="D95" t="str">
        <f>_xlfn.IFNA(VLOOKUP(C95,UpdateLogToUse!A:D,4,FALSE),"Not Called")</f>
        <v>Not Called</v>
      </c>
      <c r="E95" t="str">
        <f>IF(ISNA(VLOOKUP(C95,Registration!A:A,1,FALSE)),"Not Registered","Registered")</f>
        <v>Not Registered</v>
      </c>
      <c r="F95">
        <f>VLOOKUP(A95,'Karykarta List'!A:B,2,FALSE)</f>
        <v>9321532327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83</v>
      </c>
      <c r="B96" t="s">
        <v>140</v>
      </c>
      <c r="C96">
        <v>9920019193</v>
      </c>
      <c r="D96" t="str">
        <f>_xlfn.IFNA(VLOOKUP(C96,UpdateLogToUse!A:D,4,FALSE),"Not Called")</f>
        <v>Not Called</v>
      </c>
      <c r="E96" t="str">
        <f>IF(ISNA(VLOOKUP(C96,Registration!A:A,1,FALSE)),"Not Registered","Registered")</f>
        <v>Not Registered</v>
      </c>
      <c r="F96">
        <f>VLOOKUP(A96,'Karykarta List'!A:B,2,FALSE)</f>
        <v>9225211083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799</v>
      </c>
      <c r="B97" t="s">
        <v>141</v>
      </c>
      <c r="C97">
        <v>9594936594</v>
      </c>
      <c r="D97" t="str">
        <f>_xlfn.IFNA(VLOOKUP(C97,UpdateLogToUse!A:D,4,FALSE),"Not Called")</f>
        <v>Not Reachable</v>
      </c>
      <c r="E97" t="str">
        <f>IF(ISNA(VLOOKUP(C97,Registration!A:A,1,FALSE)),"Not Registered","Registered")</f>
        <v>Not Registered</v>
      </c>
      <c r="F97">
        <f>VLOOKUP(A97,'Karykarta List'!A:B,2,FALSE)</f>
        <v>9324233820</v>
      </c>
      <c r="G97" t="str">
        <f>_xlfn.IFNA(VLOOKUP(C97,CallLog_Latest!A:H,8,FALSE),"")</f>
        <v/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805</v>
      </c>
      <c r="B98" t="s">
        <v>142</v>
      </c>
      <c r="C98">
        <v>9833366671</v>
      </c>
      <c r="D98" t="str">
        <f>_xlfn.IFNA(VLOOKUP(C98,UpdateLogToUse!A:D,4,FALSE),"Not Called")</f>
        <v>Not Called</v>
      </c>
      <c r="E98" t="str">
        <f>IF(ISNA(VLOOKUP(C98,Registration!A:A,1,FALSE)),"Not Registered","Registered")</f>
        <v>Not Registered</v>
      </c>
      <c r="F98">
        <f>VLOOKUP(A98,'Karykarta List'!A:B,2,FALSE)</f>
        <v>9320770849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95</v>
      </c>
      <c r="B99" t="s">
        <v>143</v>
      </c>
      <c r="C99">
        <v>9820153533</v>
      </c>
      <c r="D99" t="str">
        <f>_xlfn.IFNA(VLOOKUP(C99,UpdateLogToUse!A:D,4,FALSE),"Not Called")</f>
        <v>Not Called</v>
      </c>
      <c r="E99" t="str">
        <f>IF(ISNA(VLOOKUP(C99,Registration!A:A,1,FALSE)),"Not Registered","Registered")</f>
        <v>Not Registered</v>
      </c>
      <c r="F99">
        <f>VLOOKUP(A99,'Karykarta List'!A:B,2,FALSE)</f>
        <v>9424584007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55</v>
      </c>
      <c r="B100" t="s">
        <v>144</v>
      </c>
      <c r="C100">
        <v>9820145800</v>
      </c>
      <c r="D100" t="str">
        <f>_xlfn.IFNA(VLOOKUP(C100,UpdateLogToUse!A:D,4,FALSE),"Not Called")</f>
        <v>Not Called</v>
      </c>
      <c r="E100" t="str">
        <f>IF(ISNA(VLOOKUP(C100,Registration!A:A,1,FALSE)),"Not Registered","Registered")</f>
        <v>Not Registered</v>
      </c>
      <c r="F100">
        <f>VLOOKUP(A100,'Karykarta List'!A:B,2,FALSE)</f>
        <v>9819083540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29</v>
      </c>
      <c r="B101" t="s">
        <v>145</v>
      </c>
      <c r="C101">
        <v>9321451858</v>
      </c>
      <c r="D101" t="str">
        <f>_xlfn.IFNA(VLOOKUP(C101,UpdateLogToUse!A:D,4,FALSE),"Not Called")</f>
        <v>Not Called</v>
      </c>
      <c r="E101" t="str">
        <f>IF(ISNA(VLOOKUP(C101,Registration!A:A,1,FALSE)),"Not Registered","Registered")</f>
        <v>Not Registered</v>
      </c>
      <c r="F101">
        <f>VLOOKUP(A101,'Karykarta List'!A:B,2,FALSE)</f>
        <v>9819364345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1306</v>
      </c>
      <c r="B102" t="s">
        <v>146</v>
      </c>
      <c r="C102">
        <v>9820255691</v>
      </c>
      <c r="D102" t="str">
        <f>_xlfn.IFNA(VLOOKUP(C102,UpdateLogToUse!A:D,4,FALSE),"Not Called")</f>
        <v>Confirmed Presence</v>
      </c>
      <c r="E102" t="str">
        <f>IF(ISNA(VLOOKUP(C102,Registration!A:A,1,FALSE)),"Not Registered","Registered")</f>
        <v>Not Registered</v>
      </c>
      <c r="F102">
        <f>VLOOKUP(A102,'Karykarta List'!A:B,2,FALSE)</f>
        <v>7977147591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789</v>
      </c>
      <c r="B103" t="s">
        <v>147</v>
      </c>
      <c r="C103">
        <v>9820536765</v>
      </c>
      <c r="D103" t="str">
        <f>_xlfn.IFNA(VLOOKUP(C103,UpdateLogToUse!A:D,4,FALSE),"Not Called")</f>
        <v>Not Called</v>
      </c>
      <c r="E103" t="str">
        <f>IF(ISNA(VLOOKUP(C103,Registration!A:A,1,FALSE)),"Not Registered","Registered")</f>
        <v>Not Registered</v>
      </c>
      <c r="F103">
        <f>VLOOKUP(A103,'Karykarta List'!A:B,2,FALSE)</f>
        <v>9702260383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11</v>
      </c>
      <c r="B104" t="s">
        <v>148</v>
      </c>
      <c r="C104">
        <v>9833986930</v>
      </c>
      <c r="D104" t="str">
        <f>_xlfn.IFNA(VLOOKUP(C104,UpdateLogToUse!A:D,4,FALSE),"Not Called")</f>
        <v>Not Called</v>
      </c>
      <c r="E104" t="str">
        <f>IF(ISNA(VLOOKUP(C104,Registration!A:A,1,FALSE)),"Not Registered","Registered")</f>
        <v>Not Registered</v>
      </c>
      <c r="F104">
        <f>VLOOKUP(A104,'Karykarta List'!A:B,2,FALSE)</f>
        <v>9322598681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1308</v>
      </c>
      <c r="B105" t="s">
        <v>149</v>
      </c>
      <c r="C105">
        <v>9993325021</v>
      </c>
      <c r="D105" t="str">
        <f>_xlfn.IFNA(VLOOKUP(C105,UpdateLogToUse!A:D,4,FALSE),"Not Called")</f>
        <v>Confirmed Presence</v>
      </c>
      <c r="E105" t="str">
        <f>IF(ISNA(VLOOKUP(C105,Registration!A:A,1,FALSE)),"Not Registered","Registered")</f>
        <v>Registered</v>
      </c>
      <c r="F105">
        <f>VLOOKUP(A105,'Karykarta List'!A:B,2,FALSE)</f>
        <v>9022922620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39</v>
      </c>
      <c r="B106" t="s">
        <v>150</v>
      </c>
      <c r="C106">
        <v>9322724153</v>
      </c>
      <c r="D106" t="str">
        <f>_xlfn.IFNA(VLOOKUP(C106,UpdateLogToUse!A:D,4,FALSE),"Not Called")</f>
        <v>Not Called</v>
      </c>
      <c r="E106" t="str">
        <f>IF(ISNA(VLOOKUP(C106,Registration!A:A,1,FALSE)),"Not Registered","Registered")</f>
        <v>Not Registered</v>
      </c>
      <c r="F106">
        <f>VLOOKUP(A106,'Karykarta List'!A:B,2,FALSE)</f>
        <v>9820505363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151</v>
      </c>
      <c r="C107">
        <v>9820013415</v>
      </c>
      <c r="D107" t="str">
        <f>_xlfn.IFNA(VLOOKUP(C107,UpdateLogToUse!A:D,4,FALSE),"Not Called")</f>
        <v>Not Called</v>
      </c>
      <c r="E107" t="str">
        <f>IF(ISNA(VLOOKUP(C107,Registration!A:A,1,FALSE)),"Not Registered","Registered")</f>
        <v>Not Registered</v>
      </c>
      <c r="F107">
        <f>VLOOKUP(A107,'Karykarta List'!A:B,2,FALSE)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31</v>
      </c>
      <c r="B108" t="s">
        <v>152</v>
      </c>
      <c r="C108">
        <v>9820189575</v>
      </c>
      <c r="D108" t="str">
        <f>_xlfn.IFNA(VLOOKUP(C108,UpdateLogToUse!A:D,4,FALSE),"Not Called")</f>
        <v>Confirmed Presence</v>
      </c>
      <c r="E108" t="str">
        <f>IF(ISNA(VLOOKUP(C108,Registration!A:A,1,FALSE)),"Not Registered","Registered")</f>
        <v>Not Registered</v>
      </c>
      <c r="F108">
        <f>VLOOKUP(A108,'Karykarta List'!A:B,2,FALSE)</f>
        <v>9869064553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49</v>
      </c>
      <c r="B109" t="s">
        <v>153</v>
      </c>
      <c r="C109">
        <v>9322254741</v>
      </c>
      <c r="D109" t="str">
        <f>_xlfn.IFNA(VLOOKUP(C109,UpdateLogToUse!A:D,4,FALSE),"Not Called")</f>
        <v>Not Called</v>
      </c>
      <c r="E109" t="str">
        <f>IF(ISNA(VLOOKUP(C109,Registration!A:A,1,FALSE)),"Not Registered","Registered")</f>
        <v>Not Registered</v>
      </c>
      <c r="F109">
        <f>VLOOKUP(A109,'Karykarta List'!A:B,2,FALSE)</f>
        <v>9322206108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35</v>
      </c>
      <c r="B110" t="s">
        <v>154</v>
      </c>
      <c r="C110">
        <v>9820586798</v>
      </c>
      <c r="D110" t="str">
        <f>_xlfn.IFNA(VLOOKUP(C110,UpdateLogToUse!A:D,4,FALSE),"Not Called")</f>
        <v>Not Called</v>
      </c>
      <c r="E110" t="str">
        <f>IF(ISNA(VLOOKUP(C110,Registration!A:A,1,FALSE)),"Not Registered","Registered")</f>
        <v>Not Registered</v>
      </c>
      <c r="F110">
        <f>VLOOKUP(A110,'Karykarta List'!A:B,2,FALSE)</f>
        <v>9833705425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17</v>
      </c>
      <c r="B111" t="s">
        <v>155</v>
      </c>
      <c r="C111">
        <v>9820922869</v>
      </c>
      <c r="D111" t="str">
        <f>_xlfn.IFNA(VLOOKUP(C111,UpdateLogToUse!A:D,4,FALSE),"Not Called")</f>
        <v>Not Called</v>
      </c>
      <c r="E111" t="str">
        <f>IF(ISNA(VLOOKUP(C111,Registration!A:A,1,FALSE)),"Not Registered","Registered")</f>
        <v>Not Registered</v>
      </c>
      <c r="F111">
        <f>VLOOKUP(A111,'Karykarta List'!A:B,2,FALSE)</f>
        <v>9869798705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23</v>
      </c>
      <c r="B112" t="s">
        <v>156</v>
      </c>
      <c r="C112">
        <v>9820798553</v>
      </c>
      <c r="D112" t="str">
        <f>_xlfn.IFNA(VLOOKUP(C112,UpdateLogToUse!A:D,4,FALSE),"Not Called")</f>
        <v>Not Reachable</v>
      </c>
      <c r="E112" t="str">
        <f>IF(ISNA(VLOOKUP(C112,Registration!A:A,1,FALSE)),"Not Registered","Registered")</f>
        <v>Not Registered</v>
      </c>
      <c r="F112">
        <f>VLOOKUP(A112,'Karykarta List'!A:B,2,FALSE)</f>
        <v>7977439717</v>
      </c>
      <c r="G112" t="str">
        <f>_xlfn.IFNA(VLOOKUP(C112,CallLog_Latest!A:H,8,FALSE),"")</f>
        <v/>
      </c>
      <c r="H112" t="str">
        <f>VLOOKUP(C112,[1]Sheet1!$F:$H,3,FALSE)</f>
        <v>Kingston Jewel, A wing 303 Chincholi bunder, Malad west</v>
      </c>
    </row>
    <row r="113" spans="1:8" x14ac:dyDescent="0.25">
      <c r="A113" t="s">
        <v>43</v>
      </c>
      <c r="B113" t="s">
        <v>157</v>
      </c>
      <c r="C113">
        <v>9833345544</v>
      </c>
      <c r="D113" t="str">
        <f>_xlfn.IFNA(VLOOKUP(C113,UpdateLogToUse!A:D,4,FALSE),"Not Called")</f>
        <v>Confirmed Presence</v>
      </c>
      <c r="E113" t="str">
        <f>IF(ISNA(VLOOKUP(C113,Registration!A:A,1,FALSE)),"Not Registered","Registered")</f>
        <v>Not Registered</v>
      </c>
      <c r="F113">
        <f>VLOOKUP(A113,'Karykarta List'!A:B,2,FALSE)</f>
        <v>9320683201</v>
      </c>
      <c r="G113" t="str">
        <f>_xlfn.IFNA(VLOOKUP(C113,CallLog_Latest!A:H,8,FALSE),"")</f>
        <v/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57</v>
      </c>
      <c r="B114" t="s">
        <v>158</v>
      </c>
      <c r="C114">
        <v>9820348614</v>
      </c>
      <c r="D114" t="str">
        <f>_xlfn.IFNA(VLOOKUP(C114,UpdateLogToUse!A:D,4,FALSE),"Not Called")</f>
        <v>Not Reachable</v>
      </c>
      <c r="E114" t="str">
        <f>IF(ISNA(VLOOKUP(C114,Registration!A:A,1,FALSE)),"Not Registered","Registered")</f>
        <v>Not Registered</v>
      </c>
      <c r="F114">
        <f>VLOOKUP(A114,'Karykarta List'!A:B,2,FALSE)</f>
        <v>9101910341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72</v>
      </c>
      <c r="B115" t="s">
        <v>159</v>
      </c>
      <c r="C115">
        <v>9004685669</v>
      </c>
      <c r="D115" t="str">
        <f>_xlfn.IFNA(VLOOKUP(C115,UpdateLogToUse!A:D,4,FALSE),"Not Called")</f>
        <v>Not Called</v>
      </c>
      <c r="E115" t="str">
        <f>IF(ISNA(VLOOKUP(C115,Registration!A:A,1,FALSE)),"Not Registered","Registered")</f>
        <v>Not Registered</v>
      </c>
      <c r="F115">
        <f>VLOOKUP(A115,'Karykarta List'!A:B,2,FALSE)</f>
        <v>8879433174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60</v>
      </c>
      <c r="B116" t="s">
        <v>160</v>
      </c>
      <c r="C116">
        <v>9819082727</v>
      </c>
      <c r="D116" t="str">
        <f>_xlfn.IFNA(VLOOKUP(C116,UpdateLogToUse!A:D,4,FALSE),"Not Called")</f>
        <v>Not Called</v>
      </c>
      <c r="E116" t="str">
        <f>IF(ISNA(VLOOKUP(C116,Registration!A:A,1,FALSE)),"Not Registered","Registered")</f>
        <v>Not Registered</v>
      </c>
      <c r="F116">
        <f>VLOOKUP(A116,'Karykarta List'!A:B,2,FALSE)</f>
        <v>9820779873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1337</v>
      </c>
      <c r="B117" t="s">
        <v>161</v>
      </c>
      <c r="C117">
        <v>9867328282</v>
      </c>
      <c r="D117" t="str">
        <f>_xlfn.IFNA(VLOOKUP(C117,UpdateLogToUse!A:D,4,FALSE),"Not Called")</f>
        <v>Confirmed Presence</v>
      </c>
      <c r="E117" t="str">
        <f>IF(ISNA(VLOOKUP(C117,Registration!A:A,1,FALSE)),"Not Registered","Registered")</f>
        <v>Not Registered</v>
      </c>
      <c r="F117">
        <f>VLOOKUP(A117,'Karykarta List'!A:B,2,FALSE)</f>
        <v>9820130862</v>
      </c>
      <c r="G117" t="str">
        <f>_xlfn.IFNA(VLOOKUP(C117,CallLog_Latest!A:H,8,FALSE),"")</f>
        <v/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77</v>
      </c>
      <c r="B118" t="s">
        <v>162</v>
      </c>
      <c r="C118">
        <v>9322239904</v>
      </c>
      <c r="D118" t="str">
        <f>_xlfn.IFNA(VLOOKUP(C118,UpdateLogToUse!A:D,4,FALSE),"Not Called")</f>
        <v>Not Reachable</v>
      </c>
      <c r="E118" t="str">
        <f>IF(ISNA(VLOOKUP(C118,Registration!A:A,1,FALSE)),"Not Registered","Registered")</f>
        <v>Not Registered</v>
      </c>
      <c r="F118">
        <f>VLOOKUP(A118,'Karykarta List'!A:B,2,FALSE)</f>
        <v>9029105124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70</v>
      </c>
      <c r="B119" t="s">
        <v>163</v>
      </c>
      <c r="C119">
        <v>9004351568</v>
      </c>
      <c r="D119" t="str">
        <f>_xlfn.IFNA(VLOOKUP(C119,UpdateLogToUse!A:D,4,FALSE),"Not Called")</f>
        <v>Confirmed Presence</v>
      </c>
      <c r="E119" t="str">
        <f>IF(ISNA(VLOOKUP(C119,Registration!A:A,1,FALSE)),"Not Registered","Registered")</f>
        <v>Not Registered</v>
      </c>
      <c r="F119">
        <f>VLOOKUP(A119,'Karykarta List'!A:B,2,FALSE)</f>
        <v>9405263833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81</v>
      </c>
      <c r="B120" t="s">
        <v>164</v>
      </c>
      <c r="C120">
        <v>9768131767</v>
      </c>
      <c r="D120" t="str">
        <f>_xlfn.IFNA(VLOOKUP(C120,UpdateLogToUse!A:D,4,FALSE),"Not Called")</f>
        <v>Confirmed Presence</v>
      </c>
      <c r="E120" t="str">
        <f>IF(ISNA(VLOOKUP(C120,Registration!A:A,1,FALSE)),"Not Registered","Registered")</f>
        <v>Not Registered</v>
      </c>
      <c r="F120">
        <f>VLOOKUP(A120,'Karykarta List'!A:B,2,FALSE)</f>
        <v>9824100412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23</v>
      </c>
      <c r="B121" t="s">
        <v>165</v>
      </c>
      <c r="C121">
        <v>9867388313</v>
      </c>
      <c r="D121" t="str">
        <f>_xlfn.IFNA(VLOOKUP(C121,UpdateLogToUse!A:D,4,FALSE),"Not Called")</f>
        <v>Not Coming</v>
      </c>
      <c r="E121" t="str">
        <f>IF(ISNA(VLOOKUP(C121,Registration!A:A,1,FALSE)),"Not Registered","Registered")</f>
        <v>Not Registered</v>
      </c>
      <c r="F121">
        <f>VLOOKUP(A121,'Karykarta List'!A:B,2,FALSE)</f>
        <v>7977439717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41</v>
      </c>
      <c r="B122" t="s">
        <v>166</v>
      </c>
      <c r="C122">
        <v>8879433174</v>
      </c>
      <c r="D122" t="str">
        <f>_xlfn.IFNA(VLOOKUP(C122,UpdateLogToUse!A:D,4,FALSE),"Not Called")</f>
        <v>Not Called</v>
      </c>
      <c r="E122" t="str">
        <f>IF(ISNA(VLOOKUP(C122,Registration!A:A,1,FALSE)),"Not Registered","Registered")</f>
        <v>Not Registered</v>
      </c>
      <c r="F122">
        <f>VLOOKUP(A122,'Karykarta List'!A:B,2,FALSE)</f>
        <v>8058973809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797</v>
      </c>
      <c r="B123" t="s">
        <v>167</v>
      </c>
      <c r="C123">
        <v>9820471362</v>
      </c>
      <c r="D123" t="str">
        <f>_xlfn.IFNA(VLOOKUP(C123,UpdateLogToUse!A:D,4,FALSE),"Not Called")</f>
        <v>Not Called</v>
      </c>
      <c r="E123" t="str">
        <f>IF(ISNA(VLOOKUP(C123,Registration!A:A,1,FALSE)),"Not Registered","Registered")</f>
        <v>Not Registered</v>
      </c>
      <c r="F123">
        <f>VLOOKUP(A123,'Karykarta List'!A:B,2,FALSE)</f>
        <v>9320309630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785</v>
      </c>
      <c r="B124" t="s">
        <v>168</v>
      </c>
      <c r="C124">
        <v>9867252526</v>
      </c>
      <c r="D124" t="str">
        <f>_xlfn.IFNA(VLOOKUP(C124,UpdateLogToUse!A:D,4,FALSE),"Not Called")</f>
        <v>Confirmed Presence</v>
      </c>
      <c r="E124" t="str">
        <f>IF(ISNA(VLOOKUP(C124,Registration!A:A,1,FALSE)),"Not Registered","Registered")</f>
        <v>Not Registered</v>
      </c>
      <c r="F124">
        <f>VLOOKUP(A124,'Karykarta List'!A:B,2,FALSE)</f>
        <v>9321532327</v>
      </c>
      <c r="G124" t="str">
        <f>_xlfn.IFNA(VLOOKUP(C124,CallLog_Latest!A:H,8,FALSE),"")</f>
        <v/>
      </c>
      <c r="H124" t="str">
        <f>VLOOKUP(C124,[1]Sheet1!$F:$H,3,FALSE)</f>
        <v>Kingston Classic, B-704   Chincholi Bunder Road, Malad (W</v>
      </c>
    </row>
    <row r="125" spans="1:8" x14ac:dyDescent="0.25">
      <c r="A125" t="s">
        <v>83</v>
      </c>
      <c r="B125" t="s">
        <v>169</v>
      </c>
      <c r="C125">
        <v>9879060094</v>
      </c>
      <c r="D125" t="str">
        <f>_xlfn.IFNA(VLOOKUP(C125,UpdateLogToUse!A:D,4,FALSE),"Not Called")</f>
        <v>Not Coming</v>
      </c>
      <c r="E125" t="str">
        <f>IF(ISNA(VLOOKUP(C125,Registration!A:A,1,FALSE)),"Not Registered","Registered")</f>
        <v>Not Registered</v>
      </c>
      <c r="F125">
        <f>VLOOKUP(A125,'Karykarta List'!A:B,2,FALSE)</f>
        <v>9225211083</v>
      </c>
      <c r="G125" t="str">
        <f>_xlfn.IFNA(VLOOKUP(C125,CallLog_Latest!A:H,8,FALSE),"")</f>
        <v/>
      </c>
      <c r="H125" t="str">
        <f>VLOOKUP(C125,[1]Sheet1!$F:$H,3,FALSE)</f>
        <v>A -704  Krishna Regency  Behind Sunder Nagar  Malad (W</v>
      </c>
    </row>
    <row r="126" spans="1:8" x14ac:dyDescent="0.25">
      <c r="A126" t="s">
        <v>799</v>
      </c>
      <c r="B126" t="s">
        <v>170</v>
      </c>
      <c r="C126">
        <v>9969403870</v>
      </c>
      <c r="D126" t="str">
        <f>_xlfn.IFNA(VLOOKUP(C126,UpdateLogToUse!A:D,4,FALSE),"Not Called")</f>
        <v>Not Reachable</v>
      </c>
      <c r="E126" t="str">
        <f>IF(ISNA(VLOOKUP(C126,Registration!A:A,1,FALSE)),"Not Registered","Registered")</f>
        <v>Not Registered</v>
      </c>
      <c r="F126">
        <f>VLOOKUP(A126,'Karykarta List'!A:B,2,FALSE)</f>
        <v>9324233820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805</v>
      </c>
      <c r="B127" t="s">
        <v>171</v>
      </c>
      <c r="C127">
        <v>9987019726</v>
      </c>
      <c r="D127" t="str">
        <f>_xlfn.IFNA(VLOOKUP(C127,UpdateLogToUse!A:D,4,FALSE),"Not Called")</f>
        <v>May be Attending</v>
      </c>
      <c r="E127" t="str">
        <f>IF(ISNA(VLOOKUP(C127,Registration!A:A,1,FALSE)),"Not Registered","Registered")</f>
        <v>Not Registered</v>
      </c>
      <c r="F127">
        <f>VLOOKUP(A127,'Karykarta List'!A:B,2,FALSE)</f>
        <v>9320770849</v>
      </c>
      <c r="G127" t="str">
        <f>_xlfn.IFNA(VLOOKUP(C127,CallLog_Latest!A:H,8,FALSE),"")</f>
        <v/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95</v>
      </c>
      <c r="B128" t="s">
        <v>172</v>
      </c>
      <c r="C128">
        <v>9819421252</v>
      </c>
      <c r="D128" t="str">
        <f>_xlfn.IFNA(VLOOKUP(C128,UpdateLogToUse!A:D,4,FALSE),"Not Called")</f>
        <v>Confirmed Presence</v>
      </c>
      <c r="E128" t="str">
        <f>IF(ISNA(VLOOKUP(C128,Registration!A:A,1,FALSE)),"Not Registered","Registered")</f>
        <v>Not Registered</v>
      </c>
      <c r="F128">
        <f>VLOOKUP(A128,'Karykarta List'!A:B,2,FALSE)</f>
        <v>9424584007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55</v>
      </c>
      <c r="B129" t="s">
        <v>173</v>
      </c>
      <c r="C129">
        <v>9930056929</v>
      </c>
      <c r="D129" t="str">
        <f>_xlfn.IFNA(VLOOKUP(C129,UpdateLogToUse!A:D,4,FALSE),"Not Called")</f>
        <v>Not Called</v>
      </c>
      <c r="E129" t="str">
        <f>IF(ISNA(VLOOKUP(C129,Registration!A:A,1,FALSE)),"Not Registered","Registered")</f>
        <v>Not Registered</v>
      </c>
      <c r="F129">
        <f>VLOOKUP(A129,'Karykarta List'!A:B,2,FALSE)</f>
        <v>9819083540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29</v>
      </c>
      <c r="B130" t="s">
        <v>174</v>
      </c>
      <c r="C130">
        <v>9699908360</v>
      </c>
      <c r="D130" t="str">
        <f>_xlfn.IFNA(VLOOKUP(C130,UpdateLogToUse!A:D,4,FALSE),"Not Called")</f>
        <v>Not Called</v>
      </c>
      <c r="E130" t="str">
        <f>IF(ISNA(VLOOKUP(C130,Registration!A:A,1,FALSE)),"Not Registered","Registered")</f>
        <v>Not Registered</v>
      </c>
      <c r="F130">
        <f>VLOOKUP(A130,'Karykarta List'!A:B,2,FALSE)</f>
        <v>9819364345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1306</v>
      </c>
      <c r="B131" t="s">
        <v>175</v>
      </c>
      <c r="C131">
        <v>9022185452</v>
      </c>
      <c r="D131" t="str">
        <f>_xlfn.IFNA(VLOOKUP(C131,UpdateLogToUse!A:D,4,FALSE),"Not Called")</f>
        <v>Not Called</v>
      </c>
      <c r="E131" t="str">
        <f>IF(ISNA(VLOOKUP(C131,Registration!A:A,1,FALSE)),"Not Registered","Registered")</f>
        <v>Not Registered</v>
      </c>
      <c r="F131">
        <f>VLOOKUP(A131,'Karykarta List'!A:B,2,FALSE)</f>
        <v>7977147591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789</v>
      </c>
      <c r="B132" t="s">
        <v>176</v>
      </c>
      <c r="C132">
        <v>7738385694</v>
      </c>
      <c r="D132" t="str">
        <f>_xlfn.IFNA(VLOOKUP(C132,UpdateLogToUse!A:D,4,FALSE),"Not Called")</f>
        <v>Not Reachable</v>
      </c>
      <c r="E132" t="str">
        <f>IF(ISNA(VLOOKUP(C132,Registration!A:A,1,FALSE)),"Not Registered","Registered")</f>
        <v>Not Registered</v>
      </c>
      <c r="F132">
        <f>VLOOKUP(A132,'Karykarta List'!A:B,2,FALSE)</f>
        <v>9702260383</v>
      </c>
      <c r="G132" t="str">
        <f>_xlfn.IFNA(VLOOKUP(C132,CallLog_Latest!A:H,8,FALSE),"")</f>
        <v/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11</v>
      </c>
      <c r="B133" t="s">
        <v>177</v>
      </c>
      <c r="C133">
        <v>9322249379</v>
      </c>
      <c r="D133" t="str">
        <f>_xlfn.IFNA(VLOOKUP(C133,UpdateLogToUse!A:D,4,FALSE),"Not Called")</f>
        <v>May be Attending</v>
      </c>
      <c r="E133" t="str">
        <f>IF(ISNA(VLOOKUP(C133,Registration!A:A,1,FALSE)),"Not Registered","Registered")</f>
        <v>Not Registered</v>
      </c>
      <c r="F133">
        <f>VLOOKUP(A133,'Karykarta List'!A:B,2,FALSE)</f>
        <v>9322598681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1308</v>
      </c>
      <c r="B134" t="s">
        <v>178</v>
      </c>
      <c r="C134">
        <v>9869789023</v>
      </c>
      <c r="D134" t="str">
        <f>_xlfn.IFNA(VLOOKUP(C134,UpdateLogToUse!A:D,4,FALSE),"Not Called")</f>
        <v>Not Called</v>
      </c>
      <c r="E134" t="str">
        <f>IF(ISNA(VLOOKUP(C134,Registration!A:A,1,FALSE)),"Not Registered","Registered")</f>
        <v>Not Registered</v>
      </c>
      <c r="F134">
        <f>VLOOKUP(A134,'Karykarta List'!A:B,2,FALSE)</f>
        <v>9022922620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39</v>
      </c>
      <c r="B135" t="s">
        <v>179</v>
      </c>
      <c r="C135">
        <v>9820454557</v>
      </c>
      <c r="D135" t="str">
        <f>_xlfn.IFNA(VLOOKUP(C135,UpdateLogToUse!A:D,4,FALSE),"Not Called")</f>
        <v>Confirmed Presence</v>
      </c>
      <c r="E135" t="str">
        <f>IF(ISNA(VLOOKUP(C135,Registration!A:A,1,FALSE)),"Not Registered","Registered")</f>
        <v>Not Registered</v>
      </c>
      <c r="F135">
        <f>VLOOKUP(A135,'Karykarta List'!A:B,2,FALSE)</f>
        <v>9820505363</v>
      </c>
      <c r="G135" t="str">
        <f>_xlfn.IFNA(VLOOKUP(C135,CallLog_Latest!A:H,8,FALSE),"")</f>
        <v/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21</v>
      </c>
      <c r="B136" t="s">
        <v>180</v>
      </c>
      <c r="C136">
        <v>9821116827</v>
      </c>
      <c r="D136" t="str">
        <f>_xlfn.IFNA(VLOOKUP(C136,UpdateLogToUse!A:D,4,FALSE),"Not Called")</f>
        <v>Confirmed Presence</v>
      </c>
      <c r="E136" t="str">
        <f>IF(ISNA(VLOOKUP(C136,Registration!A:A,1,FALSE)),"Not Registered","Registered")</f>
        <v>Registered</v>
      </c>
      <c r="F136">
        <f>VLOOKUP(A136,'Karykarta List'!A:B,2,FALSE)</f>
        <v>9820636392</v>
      </c>
      <c r="G136" t="str">
        <f>_xlfn.IFNA(VLOOKUP(C136,CallLog_Latest!A:H,8,FALSE),"")</f>
        <v/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31</v>
      </c>
      <c r="B137" t="s">
        <v>181</v>
      </c>
      <c r="C137">
        <v>9821063883</v>
      </c>
      <c r="D137" t="str">
        <f>_xlfn.IFNA(VLOOKUP(C137,UpdateLogToUse!A:D,4,FALSE),"Not Called")</f>
        <v>Not Called</v>
      </c>
      <c r="E137" t="str">
        <f>IF(ISNA(VLOOKUP(C137,Registration!A:A,1,FALSE)),"Not Registered","Registered")</f>
        <v>Not Registered</v>
      </c>
      <c r="F137">
        <f>VLOOKUP(A137,'Karykarta List'!A:B,2,FALSE)</f>
        <v>9869064553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49</v>
      </c>
      <c r="B138" t="s">
        <v>182</v>
      </c>
      <c r="C138">
        <v>7874999912</v>
      </c>
      <c r="D138" t="str">
        <f>_xlfn.IFNA(VLOOKUP(C138,UpdateLogToUse!A:D,4,FALSE),"Not Called")</f>
        <v>Confirmed Presence</v>
      </c>
      <c r="E138" t="str">
        <f>IF(ISNA(VLOOKUP(C138,Registration!A:A,1,FALSE)),"Not Registered","Registered")</f>
        <v>Not Registered</v>
      </c>
      <c r="F138">
        <f>VLOOKUP(A138,'Karykarta List'!A:B,2,FALSE)</f>
        <v>9322206108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35</v>
      </c>
      <c r="B139" t="s">
        <v>183</v>
      </c>
      <c r="C139">
        <v>9820144077</v>
      </c>
      <c r="D139" t="str">
        <f>_xlfn.IFNA(VLOOKUP(C139,UpdateLogToUse!A:D,4,FALSE),"Not Called")</f>
        <v>May be Attending</v>
      </c>
      <c r="E139" t="str">
        <f>IF(ISNA(VLOOKUP(C139,Registration!A:A,1,FALSE)),"Not Registered","Registered")</f>
        <v>Not Registered</v>
      </c>
      <c r="F139">
        <f>VLOOKUP(A139,'Karykarta List'!A:B,2,FALSE)</f>
        <v>9833705425</v>
      </c>
      <c r="G139" t="str">
        <f>_xlfn.IFNA(VLOOKUP(C139,CallLog_Latest!A:H,8,FALSE),"")</f>
        <v/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17</v>
      </c>
      <c r="B140" t="s">
        <v>184</v>
      </c>
      <c r="C140">
        <v>7303132886</v>
      </c>
      <c r="D140" t="str">
        <f>_xlfn.IFNA(VLOOKUP(C140,UpdateLogToUse!A:D,4,FALSE),"Not Called")</f>
        <v>Not Called</v>
      </c>
      <c r="E140" t="str">
        <f>IF(ISNA(VLOOKUP(C140,Registration!A:A,1,FALSE)),"Not Registered","Registered")</f>
        <v>Not Registered</v>
      </c>
      <c r="F140">
        <f>VLOOKUP(A140,'Karykarta List'!A:B,2,FALSE)</f>
        <v>9869798705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23</v>
      </c>
      <c r="B141" t="s">
        <v>185</v>
      </c>
      <c r="C141">
        <v>9820584312</v>
      </c>
      <c r="D141" t="str">
        <f>_xlfn.IFNA(VLOOKUP(C141,UpdateLogToUse!A:D,4,FALSE),"Not Called")</f>
        <v>Not Called</v>
      </c>
      <c r="E141" t="str">
        <f>IF(ISNA(VLOOKUP(C141,Registration!A:A,1,FALSE)),"Not Registered","Registered")</f>
        <v>Not Registered</v>
      </c>
      <c r="F141">
        <f>VLOOKUP(A141,'Karykarta List'!A:B,2,FALSE)</f>
        <v>7977439717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43</v>
      </c>
      <c r="B142" t="s">
        <v>186</v>
      </c>
      <c r="C142">
        <v>8108711149</v>
      </c>
      <c r="D142" t="str">
        <f>_xlfn.IFNA(VLOOKUP(C142,UpdateLogToUse!A:D,4,FALSE),"Not Called")</f>
        <v>Not Called</v>
      </c>
      <c r="E142" t="str">
        <f>IF(ISNA(VLOOKUP(C142,Registration!A:A,1,FALSE)),"Not Registered","Registered")</f>
        <v>Not Registered</v>
      </c>
      <c r="F142">
        <f>VLOOKUP(A142,'Karykarta List'!A:B,2,FALSE)</f>
        <v>9320683201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57</v>
      </c>
      <c r="B143" t="s">
        <v>187</v>
      </c>
      <c r="C143">
        <v>9167755531</v>
      </c>
      <c r="D143" t="str">
        <f>_xlfn.IFNA(VLOOKUP(C143,UpdateLogToUse!A:D,4,FALSE),"Not Called")</f>
        <v>Not Called</v>
      </c>
      <c r="E143" t="str">
        <f>IF(ISNA(VLOOKUP(C143,Registration!A:A,1,FALSE)),"Not Registered","Registered")</f>
        <v>Not Registered</v>
      </c>
      <c r="F143">
        <f>VLOOKUP(A143,'Karykarta List'!A:B,2,FALSE)</f>
        <v>9101910341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72</v>
      </c>
      <c r="B144" t="s">
        <v>188</v>
      </c>
      <c r="C144">
        <v>9821053181</v>
      </c>
      <c r="D144" t="str">
        <f>_xlfn.IFNA(VLOOKUP(C144,UpdateLogToUse!A:D,4,FALSE),"Not Called")</f>
        <v>Not Called</v>
      </c>
      <c r="E144" t="str">
        <f>IF(ISNA(VLOOKUP(C144,Registration!A:A,1,FALSE)),"Not Registered","Registered")</f>
        <v>Not Registered</v>
      </c>
      <c r="F144">
        <f>VLOOKUP(A144,'Karykarta List'!A:B,2,FALSE)</f>
        <v>8879433174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60</v>
      </c>
      <c r="B145" t="s">
        <v>189</v>
      </c>
      <c r="C145">
        <v>9819332481</v>
      </c>
      <c r="D145" t="str">
        <f>_xlfn.IFNA(VLOOKUP(C145,UpdateLogToUse!A:D,4,FALSE),"Not Called")</f>
        <v>Not Reachable</v>
      </c>
      <c r="E145" t="str">
        <f>IF(ISNA(VLOOKUP(C145,Registration!A:A,1,FALSE)),"Not Registered","Registered")</f>
        <v>Not Registered</v>
      </c>
      <c r="F145">
        <f>VLOOKUP(A145,'Karykarta List'!A:B,2,FALSE)</f>
        <v>9820779873</v>
      </c>
      <c r="G145" t="str">
        <f>_xlfn.IFNA(VLOOKUP(C145,CallLog_Latest!A:H,8,FALSE),"")</f>
        <v/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1337</v>
      </c>
      <c r="B146" t="s">
        <v>190</v>
      </c>
      <c r="C146">
        <v>9987030208</v>
      </c>
      <c r="D146" t="str">
        <f>_xlfn.IFNA(VLOOKUP(C146,UpdateLogToUse!A:D,4,FALSE),"Not Called")</f>
        <v>Not Called</v>
      </c>
      <c r="E146" t="str">
        <f>IF(ISNA(VLOOKUP(C146,Registration!A:A,1,FALSE)),"Not Registered","Registered")</f>
        <v>Not Registered</v>
      </c>
      <c r="F146">
        <f>VLOOKUP(A146,'Karykarta List'!A:B,2,FALSE)</f>
        <v>9820130862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77</v>
      </c>
      <c r="B147" t="s">
        <v>191</v>
      </c>
      <c r="C147">
        <v>9820295197</v>
      </c>
      <c r="D147" t="str">
        <f>_xlfn.IFNA(VLOOKUP(C147,UpdateLogToUse!A:D,4,FALSE),"Not Called")</f>
        <v>Not Called</v>
      </c>
      <c r="E147" t="str">
        <f>IF(ISNA(VLOOKUP(C147,Registration!A:A,1,FALSE)),"Not Registered","Registered")</f>
        <v>Not Registered</v>
      </c>
      <c r="F147">
        <f>VLOOKUP(A147,'Karykarta List'!A:B,2,FALSE)</f>
        <v>9029105124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70</v>
      </c>
      <c r="B148" t="s">
        <v>192</v>
      </c>
      <c r="C148">
        <v>9820215732</v>
      </c>
      <c r="D148" t="str">
        <f>_xlfn.IFNA(VLOOKUP(C148,UpdateLogToUse!A:D,4,FALSE),"Not Called")</f>
        <v>Not Called</v>
      </c>
      <c r="E148" t="str">
        <f>IF(ISNA(VLOOKUP(C148,Registration!A:A,1,FALSE)),"Not Registered","Registered")</f>
        <v>Not Registered</v>
      </c>
      <c r="F148">
        <f>VLOOKUP(A148,'Karykarta List'!A:B,2,FALSE)</f>
        <v>9405263833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81</v>
      </c>
      <c r="B149" t="s">
        <v>193</v>
      </c>
      <c r="C149">
        <v>9967536641</v>
      </c>
      <c r="D149" t="str">
        <f>_xlfn.IFNA(VLOOKUP(C149,UpdateLogToUse!A:D,4,FALSE),"Not Called")</f>
        <v>Not Called</v>
      </c>
      <c r="E149" t="str">
        <f>IF(ISNA(VLOOKUP(C149,Registration!A:A,1,FALSE)),"Not Registered","Registered")</f>
        <v>Not Registered</v>
      </c>
      <c r="F149">
        <f>VLOOKUP(A149,'Karykarta List'!A:B,2,FALSE)</f>
        <v>9824100412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23</v>
      </c>
      <c r="B150" t="s">
        <v>194</v>
      </c>
      <c r="C150">
        <v>9819286245</v>
      </c>
      <c r="D150" t="str">
        <f>_xlfn.IFNA(VLOOKUP(C150,UpdateLogToUse!A:D,4,FALSE),"Not Called")</f>
        <v>Not Coming</v>
      </c>
      <c r="E150" t="str">
        <f>IF(ISNA(VLOOKUP(C150,Registration!A:A,1,FALSE)),"Not Registered","Registered")</f>
        <v>Not Registered</v>
      </c>
      <c r="F150">
        <f>VLOOKUP(A150,'Karykarta List'!A:B,2,FALSE)</f>
        <v>7977439717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41</v>
      </c>
      <c r="B151" t="s">
        <v>195</v>
      </c>
      <c r="C151">
        <v>8286800848</v>
      </c>
      <c r="D151" t="str">
        <f>_xlfn.IFNA(VLOOKUP(C151,UpdateLogToUse!A:D,4,FALSE),"Not Called")</f>
        <v>Not Called</v>
      </c>
      <c r="E151" t="str">
        <f>IF(ISNA(VLOOKUP(C151,Registration!A:A,1,FALSE)),"Not Registered","Registered")</f>
        <v>Not Registered</v>
      </c>
      <c r="F151">
        <f>VLOOKUP(A151,'Karykarta List'!A:B,2,FALSE)</f>
        <v>8058973809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797</v>
      </c>
      <c r="B152" t="s">
        <v>196</v>
      </c>
      <c r="C152">
        <v>9320708301</v>
      </c>
      <c r="D152" t="str">
        <f>_xlfn.IFNA(VLOOKUP(C152,UpdateLogToUse!A:D,4,FALSE),"Not Called")</f>
        <v>Not Called</v>
      </c>
      <c r="E152" t="str">
        <f>IF(ISNA(VLOOKUP(C152,Registration!A:A,1,FALSE)),"Not Registered","Registered")</f>
        <v>Not Registered</v>
      </c>
      <c r="F152">
        <f>VLOOKUP(A152,'Karykarta List'!A:B,2,FALSE)</f>
        <v>9320309630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785</v>
      </c>
      <c r="B153" t="s">
        <v>197</v>
      </c>
      <c r="C153">
        <v>9820043682</v>
      </c>
      <c r="D153" t="str">
        <f>_xlfn.IFNA(VLOOKUP(C153,UpdateLogToUse!A:D,4,FALSE),"Not Called")</f>
        <v>Confirmed Presence</v>
      </c>
      <c r="E153" t="str">
        <f>IF(ISNA(VLOOKUP(C153,Registration!A:A,1,FALSE)),"Not Registered","Registered")</f>
        <v>Not Registered</v>
      </c>
      <c r="F153">
        <f>VLOOKUP(A153,'Karykarta List'!A:B,2,FALSE)</f>
        <v>9321532327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83</v>
      </c>
      <c r="B154" t="s">
        <v>198</v>
      </c>
      <c r="C154">
        <v>8850483345</v>
      </c>
      <c r="D154" t="str">
        <f>_xlfn.IFNA(VLOOKUP(C154,UpdateLogToUse!A:D,4,FALSE),"Not Called")</f>
        <v>Not Called</v>
      </c>
      <c r="E154" t="str">
        <f>IF(ISNA(VLOOKUP(C154,Registration!A:A,1,FALSE)),"Not Registered","Registered")</f>
        <v>Not Registered</v>
      </c>
      <c r="F154">
        <f>VLOOKUP(A154,'Karykarta List'!A:B,2,FALSE)</f>
        <v>9225211083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799</v>
      </c>
      <c r="B155" t="s">
        <v>199</v>
      </c>
      <c r="C155">
        <v>9323401354</v>
      </c>
      <c r="D155" t="str">
        <f>_xlfn.IFNA(VLOOKUP(C155,UpdateLogToUse!A:D,4,FALSE),"Not Called")</f>
        <v>Not Called</v>
      </c>
      <c r="E155" t="str">
        <f>IF(ISNA(VLOOKUP(C155,Registration!A:A,1,FALSE)),"Not Registered","Registered")</f>
        <v>Not Registered</v>
      </c>
      <c r="F155">
        <f>VLOOKUP(A155,'Karykarta List'!A:B,2,FALSE)</f>
        <v>9324233820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805</v>
      </c>
      <c r="B156" t="s">
        <v>200</v>
      </c>
      <c r="C156">
        <v>9322273385</v>
      </c>
      <c r="D156" t="str">
        <f>_xlfn.IFNA(VLOOKUP(C156,UpdateLogToUse!A:D,4,FALSE),"Not Called")</f>
        <v>Not Coming</v>
      </c>
      <c r="E156" t="str">
        <f>IF(ISNA(VLOOKUP(C156,Registration!A:A,1,FALSE)),"Not Registered","Registered")</f>
        <v>Not Registered</v>
      </c>
      <c r="F156">
        <f>VLOOKUP(A156,'Karykarta List'!A:B,2,FALSE)</f>
        <v>9320770849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95</v>
      </c>
      <c r="B157" t="s">
        <v>201</v>
      </c>
      <c r="C157">
        <v>8879103467</v>
      </c>
      <c r="D157" t="str">
        <f>_xlfn.IFNA(VLOOKUP(C157,UpdateLogToUse!A:D,4,FALSE),"Not Called")</f>
        <v>Not Called</v>
      </c>
      <c r="E157" t="str">
        <f>IF(ISNA(VLOOKUP(C157,Registration!A:A,1,FALSE)),"Not Registered","Registered")</f>
        <v>Not Registered</v>
      </c>
      <c r="F157">
        <f>VLOOKUP(A157,'Karykarta List'!A:B,2,FALSE)</f>
        <v>9424584007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55</v>
      </c>
      <c r="B158" t="s">
        <v>202</v>
      </c>
      <c r="C158">
        <v>9869318879</v>
      </c>
      <c r="D158" t="str">
        <f>_xlfn.IFNA(VLOOKUP(C158,UpdateLogToUse!A:D,4,FALSE),"Not Called")</f>
        <v>Not Called</v>
      </c>
      <c r="E158" t="str">
        <f>IF(ISNA(VLOOKUP(C158,Registration!A:A,1,FALSE)),"Not Registered","Registered")</f>
        <v>Not Registered</v>
      </c>
      <c r="F158">
        <f>VLOOKUP(A158,'Karykarta List'!A:B,2,FALSE)</f>
        <v>9819083540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203</v>
      </c>
      <c r="C159">
        <v>9820683187</v>
      </c>
      <c r="D159" t="str">
        <f>_xlfn.IFNA(VLOOKUP(C159,UpdateLogToUse!A:D,4,FALSE),"Not Called")</f>
        <v>Not Called</v>
      </c>
      <c r="E159" t="str">
        <f>IF(ISNA(VLOOKUP(C159,Registration!A:A,1,FALSE)),"Not Registered","Registered")</f>
        <v>Not Registered</v>
      </c>
      <c r="F159">
        <f>VLOOKUP(A159,'Karykarta List'!A:B,2,FALSE)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1306</v>
      </c>
      <c r="B160" t="s">
        <v>204</v>
      </c>
      <c r="C160">
        <v>9769373893</v>
      </c>
      <c r="D160" t="str">
        <f>_xlfn.IFNA(VLOOKUP(C160,UpdateLogToUse!A:D,4,FALSE),"Not Called")</f>
        <v>Confirmed Presence</v>
      </c>
      <c r="E160" t="str">
        <f>IF(ISNA(VLOOKUP(C160,Registration!A:A,1,FALSE)),"Not Registered","Registered")</f>
        <v>Not Registered</v>
      </c>
      <c r="F160">
        <f>VLOOKUP(A160,'Karykarta List'!A:B,2,FALSE)</f>
        <v>7977147591</v>
      </c>
      <c r="G160" t="str">
        <f>_xlfn.IFNA(VLOOKUP(C160,CallLog_Latest!A:H,8,FALSE),"")</f>
        <v/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789</v>
      </c>
      <c r="B161" t="s">
        <v>205</v>
      </c>
      <c r="C161">
        <v>9867122626</v>
      </c>
      <c r="D161" t="str">
        <f>_xlfn.IFNA(VLOOKUP(C161,UpdateLogToUse!A:D,4,FALSE),"Not Called")</f>
        <v>Not Coming</v>
      </c>
      <c r="E161" t="str">
        <f>IF(ISNA(VLOOKUP(C161,Registration!A:A,1,FALSE)),"Not Registered","Registered")</f>
        <v>Not Registered</v>
      </c>
      <c r="F161">
        <f>VLOOKUP(A161,'Karykarta List'!A:B,2,FALSE)</f>
        <v>9702260383</v>
      </c>
      <c r="G161" t="str">
        <f>_xlfn.IFNA(VLOOKUP(C161,CallLog_Latest!A:H,8,FALSE),"")</f>
        <v/>
      </c>
      <c r="H161" t="str">
        <f>VLOOKUP(C161,[1]Sheet1!$F:$H,3,FALSE)</f>
        <v>H 103  Neel Kamal Co-Op Society  Chincholi Gate</v>
      </c>
    </row>
    <row r="162" spans="1:8" x14ac:dyDescent="0.25">
      <c r="A162" t="s">
        <v>11</v>
      </c>
      <c r="B162" t="s">
        <v>206</v>
      </c>
      <c r="C162">
        <v>9820130862</v>
      </c>
      <c r="D162" t="str">
        <f>_xlfn.IFNA(VLOOKUP(C162,UpdateLogToUse!A:D,4,FALSE),"Not Called")</f>
        <v>Confirmed Presence</v>
      </c>
      <c r="E162" t="str">
        <f>IF(ISNA(VLOOKUP(C162,Registration!A:A,1,FALSE)),"Not Registered","Registered")</f>
        <v>Not Registered</v>
      </c>
      <c r="F162">
        <f>VLOOKUP(A162,'Karykarta List'!A:B,2,FALSE)</f>
        <v>9322598681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1308</v>
      </c>
      <c r="B163" t="s">
        <v>207</v>
      </c>
      <c r="C163">
        <v>9820916098</v>
      </c>
      <c r="D163" t="str">
        <f>_xlfn.IFNA(VLOOKUP(C163,UpdateLogToUse!A:D,4,FALSE),"Not Called")</f>
        <v>Not Called</v>
      </c>
      <c r="E163" t="str">
        <f>IF(ISNA(VLOOKUP(C163,Registration!A:A,1,FALSE)),"Not Registered","Registered")</f>
        <v>Not Registered</v>
      </c>
      <c r="F163">
        <f>VLOOKUP(A163,'Karykarta List'!A:B,2,FALSE)</f>
        <v>9022922620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208</v>
      </c>
      <c r="C164">
        <v>9076054588</v>
      </c>
      <c r="D164" t="str">
        <f>_xlfn.IFNA(VLOOKUP(C164,UpdateLogToUse!A:D,4,FALSE),"Not Called")</f>
        <v>Confirmed Presence</v>
      </c>
      <c r="E164" t="str">
        <f>IF(ISNA(VLOOKUP(C164,Registration!A:A,1,FALSE)),"Not Registered","Registered")</f>
        <v>Not Registered</v>
      </c>
      <c r="F164">
        <f>VLOOKUP(A164,'Karykarta List'!A:B,2,FALSE)</f>
        <v>9820505363</v>
      </c>
      <c r="G164" t="str">
        <f>_xlfn.IFNA(VLOOKUP(C164,CallLog_Latest!A:H,8,FALSE),"")</f>
        <v/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21</v>
      </c>
      <c r="B165" t="s">
        <v>209</v>
      </c>
      <c r="C165">
        <v>9702292855</v>
      </c>
      <c r="D165" t="str">
        <f>_xlfn.IFNA(VLOOKUP(C165,UpdateLogToUse!A:D,4,FALSE),"Not Called")</f>
        <v>Confirmed Presence</v>
      </c>
      <c r="E165" t="str">
        <f>IF(ISNA(VLOOKUP(C165,Registration!A:A,1,FALSE)),"Not Registered","Registered")</f>
        <v>Not Registered</v>
      </c>
      <c r="F165">
        <f>VLOOKUP(A165,'Karykarta List'!A:B,2,FALSE)</f>
        <v>9820636392</v>
      </c>
      <c r="G165" t="str">
        <f>_xlfn.IFNA(VLOOKUP(C165,CallLog_Latest!A:H,8,FALSE),"")</f>
        <v/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31</v>
      </c>
      <c r="B166" t="s">
        <v>210</v>
      </c>
      <c r="C166">
        <v>9820916099</v>
      </c>
      <c r="D166" t="str">
        <f>_xlfn.IFNA(VLOOKUP(C166,UpdateLogToUse!A:D,4,FALSE),"Not Called")</f>
        <v>Confirmed Presence</v>
      </c>
      <c r="E166" t="str">
        <f>IF(ISNA(VLOOKUP(C166,Registration!A:A,1,FALSE)),"Not Registered","Registered")</f>
        <v>Not Registered</v>
      </c>
      <c r="F166">
        <f>VLOOKUP(A166,'Karykarta List'!A:B,2,FALSE)</f>
        <v>9869064553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49</v>
      </c>
      <c r="B167" t="s">
        <v>211</v>
      </c>
      <c r="C167">
        <v>9167598389</v>
      </c>
      <c r="D167" t="str">
        <f>_xlfn.IFNA(VLOOKUP(C167,UpdateLogToUse!A:D,4,FALSE),"Not Called")</f>
        <v>Not Reachable</v>
      </c>
      <c r="E167" t="str">
        <f>IF(ISNA(VLOOKUP(C167,Registration!A:A,1,FALSE)),"Not Registered","Registered")</f>
        <v>Not Registered</v>
      </c>
      <c r="F167">
        <f>VLOOKUP(A167,'Karykarta List'!A:B,2,FALSE)</f>
        <v>9322206108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35</v>
      </c>
      <c r="B168" t="s">
        <v>212</v>
      </c>
      <c r="C168">
        <v>9324287945</v>
      </c>
      <c r="D168" t="str">
        <f>_xlfn.IFNA(VLOOKUP(C168,UpdateLogToUse!A:D,4,FALSE),"Not Called")</f>
        <v>May be Attending</v>
      </c>
      <c r="E168" t="str">
        <f>IF(ISNA(VLOOKUP(C168,Registration!A:A,1,FALSE)),"Not Registered","Registered")</f>
        <v>Not Registered</v>
      </c>
      <c r="F168">
        <f>VLOOKUP(A168,'Karykarta List'!A:B,2,FALSE)</f>
        <v>9833705425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17</v>
      </c>
      <c r="B169" t="s">
        <v>213</v>
      </c>
      <c r="C169">
        <v>9769166643</v>
      </c>
      <c r="D169" t="str">
        <f>_xlfn.IFNA(VLOOKUP(C169,UpdateLogToUse!A:D,4,FALSE),"Not Called")</f>
        <v>Not Reachable</v>
      </c>
      <c r="E169" t="str">
        <f>IF(ISNA(VLOOKUP(C169,Registration!A:A,1,FALSE)),"Not Registered","Registered")</f>
        <v>Not Registered</v>
      </c>
      <c r="F169">
        <f>VLOOKUP(A169,'Karykarta List'!A:B,2,FALSE)</f>
        <v>9869798705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23</v>
      </c>
      <c r="B170" t="s">
        <v>214</v>
      </c>
      <c r="C170">
        <v>9930262472</v>
      </c>
      <c r="D170" t="str">
        <f>_xlfn.IFNA(VLOOKUP(C170,UpdateLogToUse!A:D,4,FALSE),"Not Called")</f>
        <v>Not Called</v>
      </c>
      <c r="E170" t="str">
        <f>IF(ISNA(VLOOKUP(C170,Registration!A:A,1,FALSE)),"Not Registered","Registered")</f>
        <v>Not Registered</v>
      </c>
      <c r="F170">
        <f>VLOOKUP(A170,'Karykarta List'!A:B,2,FALSE)</f>
        <v>7977439717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43</v>
      </c>
      <c r="B171" t="s">
        <v>215</v>
      </c>
      <c r="C171">
        <v>9022906023</v>
      </c>
      <c r="D171" t="str">
        <f>_xlfn.IFNA(VLOOKUP(C171,UpdateLogToUse!A:D,4,FALSE),"Not Called")</f>
        <v>Not Called</v>
      </c>
      <c r="E171" t="str">
        <f>IF(ISNA(VLOOKUP(C171,Registration!A:A,1,FALSE)),"Not Registered","Registered")</f>
        <v>Not Registered</v>
      </c>
      <c r="F171">
        <f>VLOOKUP(A171,'Karykarta List'!A:B,2,FALSE)</f>
        <v>9320683201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57</v>
      </c>
      <c r="B172" t="s">
        <v>216</v>
      </c>
      <c r="C172">
        <v>9975629760</v>
      </c>
      <c r="D172" t="str">
        <f>_xlfn.IFNA(VLOOKUP(C172,UpdateLogToUse!A:D,4,FALSE),"Not Called")</f>
        <v>Not Coming</v>
      </c>
      <c r="E172" t="str">
        <f>IF(ISNA(VLOOKUP(C172,Registration!A:A,1,FALSE)),"Not Registered","Registered")</f>
        <v>Not Registered</v>
      </c>
      <c r="F172">
        <f>VLOOKUP(A172,'Karykarta List'!A:B,2,FALSE)</f>
        <v>9101910341</v>
      </c>
      <c r="G172" t="str">
        <f>_xlfn.IFNA(VLOOKUP(C172,CallLog_Latest!A:H,8,FALSE),"")</f>
        <v/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72</v>
      </c>
      <c r="B173" t="s">
        <v>217</v>
      </c>
      <c r="C173">
        <v>9820916001</v>
      </c>
      <c r="D173" t="str">
        <f>_xlfn.IFNA(VLOOKUP(C173,UpdateLogToUse!A:D,4,FALSE),"Not Called")</f>
        <v>Confirmed Presence</v>
      </c>
      <c r="E173" t="str">
        <f>IF(ISNA(VLOOKUP(C173,Registration!A:A,1,FALSE)),"Not Registered","Registered")</f>
        <v>Not Registered</v>
      </c>
      <c r="F173">
        <f>VLOOKUP(A173,'Karykarta List'!A:B,2,FALSE)</f>
        <v>8879433174</v>
      </c>
      <c r="G173" t="str">
        <f>_xlfn.IFNA(VLOOKUP(C173,CallLog_Latest!A:H,8,FALSE),"")</f>
        <v/>
      </c>
      <c r="H173" t="str">
        <f>VLOOKUP(C173,[1]Sheet1!$F:$H,3,FALSE)</f>
        <v>710  C-wing  Dheeraj Pooja CHS Dheeraj Pooja CHS</v>
      </c>
    </row>
    <row r="174" spans="1:8" x14ac:dyDescent="0.25">
      <c r="A174" t="s">
        <v>60</v>
      </c>
      <c r="B174" t="s">
        <v>218</v>
      </c>
      <c r="C174">
        <v>9033322444</v>
      </c>
      <c r="D174" t="str">
        <f>_xlfn.IFNA(VLOOKUP(C174,UpdateLogToUse!A:D,4,FALSE),"Not Called")</f>
        <v>Confirmed Presence</v>
      </c>
      <c r="E174" t="str">
        <f>IF(ISNA(VLOOKUP(C174,Registration!A:A,1,FALSE)),"Not Registered","Registered")</f>
        <v>Not Registered</v>
      </c>
      <c r="F174">
        <f>VLOOKUP(A174,'Karykarta List'!A:B,2,FALSE)</f>
        <v>9820779873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1337</v>
      </c>
      <c r="B175" t="s">
        <v>219</v>
      </c>
      <c r="C175">
        <v>9004677979</v>
      </c>
      <c r="D175" t="str">
        <f>_xlfn.IFNA(VLOOKUP(C175,UpdateLogToUse!A:D,4,FALSE),"Not Called")</f>
        <v>May be Attending</v>
      </c>
      <c r="E175" t="str">
        <f>IF(ISNA(VLOOKUP(C175,Registration!A:A,1,FALSE)),"Not Registered","Registered")</f>
        <v>Not Registered</v>
      </c>
      <c r="F175">
        <f>VLOOKUP(A175,'Karykarta List'!A:B,2,FALSE)</f>
        <v>9820130862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77</v>
      </c>
      <c r="B176" t="s">
        <v>220</v>
      </c>
      <c r="C176">
        <v>9819674012</v>
      </c>
      <c r="D176" t="str">
        <f>_xlfn.IFNA(VLOOKUP(C176,UpdateLogToUse!A:D,4,FALSE),"Not Called")</f>
        <v>Not Called</v>
      </c>
      <c r="E176" t="str">
        <f>IF(ISNA(VLOOKUP(C176,Registration!A:A,1,FALSE)),"Not Registered","Registered")</f>
        <v>Not Registered</v>
      </c>
      <c r="F176">
        <f>VLOOKUP(A176,'Karykarta List'!A:B,2,FALSE)</f>
        <v>9029105124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70</v>
      </c>
      <c r="B177" t="s">
        <v>221</v>
      </c>
      <c r="C177">
        <v>8222092111</v>
      </c>
      <c r="D177" t="str">
        <f>_xlfn.IFNA(VLOOKUP(C177,UpdateLogToUse!A:D,4,FALSE),"Not Called")</f>
        <v>Not Called</v>
      </c>
      <c r="E177" t="str">
        <f>IF(ISNA(VLOOKUP(C177,Registration!A:A,1,FALSE)),"Not Registered","Registered")</f>
        <v>Not Registered</v>
      </c>
      <c r="F177">
        <f>VLOOKUP(A177,'Karykarta List'!A:B,2,FALSE)</f>
        <v>9405263833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81</v>
      </c>
      <c r="B178" t="s">
        <v>222</v>
      </c>
      <c r="C178">
        <v>9820809040</v>
      </c>
      <c r="D178" t="str">
        <f>_xlfn.IFNA(VLOOKUP(C178,UpdateLogToUse!A:D,4,FALSE),"Not Called")</f>
        <v>Not Called</v>
      </c>
      <c r="E178" t="str">
        <f>IF(ISNA(VLOOKUP(C178,Registration!A:A,1,FALSE)),"Not Registered","Registered")</f>
        <v>Not Registered</v>
      </c>
      <c r="F178">
        <f>VLOOKUP(A178,'Karykarta List'!A:B,2,FALSE)</f>
        <v>9824100412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23</v>
      </c>
      <c r="B179" t="s">
        <v>223</v>
      </c>
      <c r="C179">
        <v>8826776611</v>
      </c>
      <c r="D179" t="str">
        <f>_xlfn.IFNA(VLOOKUP(C179,UpdateLogToUse!A:D,4,FALSE),"Not Called")</f>
        <v>Not Called</v>
      </c>
      <c r="E179" t="str">
        <f>IF(ISNA(VLOOKUP(C179,Registration!A:A,1,FALSE)),"Not Registered","Registered")</f>
        <v>Not Registered</v>
      </c>
      <c r="F179">
        <f>VLOOKUP(A179,'Karykarta List'!A:B,2,FALSE)</f>
        <v>7977439717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41</v>
      </c>
      <c r="B180" t="s">
        <v>224</v>
      </c>
      <c r="C180">
        <v>9833249671</v>
      </c>
      <c r="D180" t="str">
        <f>_xlfn.IFNA(VLOOKUP(C180,UpdateLogToUse!A:D,4,FALSE),"Not Called")</f>
        <v>Not Called</v>
      </c>
      <c r="E180" t="str">
        <f>IF(ISNA(VLOOKUP(C180,Registration!A:A,1,FALSE)),"Not Registered","Registered")</f>
        <v>Not Registered</v>
      </c>
      <c r="F180">
        <f>VLOOKUP(A180,'Karykarta List'!A:B,2,FALSE)</f>
        <v>8058973809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797</v>
      </c>
      <c r="B181" t="s">
        <v>225</v>
      </c>
      <c r="C181">
        <v>9867723289</v>
      </c>
      <c r="D181" t="str">
        <f>_xlfn.IFNA(VLOOKUP(C181,UpdateLogToUse!A:D,4,FALSE),"Not Called")</f>
        <v>May be Attending</v>
      </c>
      <c r="E181" t="str">
        <f>IF(ISNA(VLOOKUP(C181,Registration!A:A,1,FALSE)),"Not Registered","Registered")</f>
        <v>Not Registered</v>
      </c>
      <c r="F181">
        <f>VLOOKUP(A181,'Karykarta List'!A:B,2,FALSE)</f>
        <v>9320309630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785</v>
      </c>
      <c r="B182" t="s">
        <v>226</v>
      </c>
      <c r="C182">
        <v>9702003424</v>
      </c>
      <c r="D182" t="str">
        <f>_xlfn.IFNA(VLOOKUP(C182,UpdateLogToUse!A:D,4,FALSE),"Not Called")</f>
        <v>Not Called</v>
      </c>
      <c r="E182" t="str">
        <f>IF(ISNA(VLOOKUP(C182,Registration!A:A,1,FALSE)),"Not Registered","Registered")</f>
        <v>Not Registered</v>
      </c>
      <c r="F182">
        <f>VLOOKUP(A182,'Karykarta List'!A:B,2,FALSE)</f>
        <v>9321532327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83</v>
      </c>
      <c r="B183" t="s">
        <v>227</v>
      </c>
      <c r="C183">
        <v>9322233166</v>
      </c>
      <c r="D183" t="str">
        <f>_xlfn.IFNA(VLOOKUP(C183,UpdateLogToUse!A:D,4,FALSE),"Not Called")</f>
        <v>Phone Busy</v>
      </c>
      <c r="E183" t="str">
        <f>IF(ISNA(VLOOKUP(C183,Registration!A:A,1,FALSE)),"Not Registered","Registered")</f>
        <v>Not Registered</v>
      </c>
      <c r="F183">
        <f>VLOOKUP(A183,'Karykarta List'!A:B,2,FALSE)</f>
        <v>9225211083</v>
      </c>
      <c r="G183" t="str">
        <f>_xlfn.IFNA(VLOOKUP(C183,CallLog_Latest!A:H,8,FALSE),"")</f>
        <v/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799</v>
      </c>
      <c r="B184" t="s">
        <v>228</v>
      </c>
      <c r="C184">
        <v>9987241860</v>
      </c>
      <c r="D184" t="str">
        <f>_xlfn.IFNA(VLOOKUP(C184,UpdateLogToUse!A:D,4,FALSE),"Not Called")</f>
        <v>Confirmed Presence</v>
      </c>
      <c r="E184" t="str">
        <f>IF(ISNA(VLOOKUP(C184,Registration!A:A,1,FALSE)),"Not Registered","Registered")</f>
        <v>Not Registered</v>
      </c>
      <c r="F184">
        <f>VLOOKUP(A184,'Karykarta List'!A:B,2,FALSE)</f>
        <v>9324233820</v>
      </c>
      <c r="G184" t="str">
        <f>_xlfn.IFNA(VLOOKUP(C184,CallLog_Latest!A:H,8,FALSE),"")</f>
        <v/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805</v>
      </c>
      <c r="B185" t="s">
        <v>229</v>
      </c>
      <c r="C185">
        <v>7738311131</v>
      </c>
      <c r="D185" t="str">
        <f>_xlfn.IFNA(VLOOKUP(C185,UpdateLogToUse!A:D,4,FALSE),"Not Called")</f>
        <v>Not Called</v>
      </c>
      <c r="E185" t="str">
        <f>IF(ISNA(VLOOKUP(C185,Registration!A:A,1,FALSE)),"Not Registered","Registered")</f>
        <v>Not Registered</v>
      </c>
      <c r="F185">
        <f>VLOOKUP(A185,'Karykarta List'!A:B,2,FALSE)</f>
        <v>9320770849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95</v>
      </c>
      <c r="B186" t="s">
        <v>230</v>
      </c>
      <c r="C186">
        <v>9820618488</v>
      </c>
      <c r="D186" t="str">
        <f>_xlfn.IFNA(VLOOKUP(C186,UpdateLogToUse!A:D,4,FALSE),"Not Called")</f>
        <v>May be Attending</v>
      </c>
      <c r="E186" t="str">
        <f>IF(ISNA(VLOOKUP(C186,Registration!A:A,1,FALSE)),"Not Registered","Registered")</f>
        <v>Not Registered</v>
      </c>
      <c r="F186">
        <f>VLOOKUP(A186,'Karykarta List'!A:B,2,FALSE)</f>
        <v>9424584007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55</v>
      </c>
      <c r="B187" t="s">
        <v>231</v>
      </c>
      <c r="C187">
        <v>9820569281</v>
      </c>
      <c r="D187" t="str">
        <f>_xlfn.IFNA(VLOOKUP(C187,UpdateLogToUse!A:D,4,FALSE),"Not Called")</f>
        <v>May be Attending</v>
      </c>
      <c r="E187" t="str">
        <f>IF(ISNA(VLOOKUP(C187,Registration!A:A,1,FALSE)),"Not Registered","Registered")</f>
        <v>Not Registered</v>
      </c>
      <c r="F187">
        <f>VLOOKUP(A187,'Karykarta List'!A:B,2,FALSE)</f>
        <v>9819083540</v>
      </c>
      <c r="G187" t="str">
        <f>_xlfn.IFNA(VLOOKUP(C187,CallLog_Latest!A:H,8,FALSE),"")</f>
        <v/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29</v>
      </c>
      <c r="B188" t="s">
        <v>232</v>
      </c>
      <c r="C188">
        <v>9323151225</v>
      </c>
      <c r="D188" t="str">
        <f>_xlfn.IFNA(VLOOKUP(C188,UpdateLogToUse!A:D,4,FALSE),"Not Called")</f>
        <v>Not Called</v>
      </c>
      <c r="E188" t="str">
        <f>IF(ISNA(VLOOKUP(C188,Registration!A:A,1,FALSE)),"Not Registered","Registered")</f>
        <v>Not Registered</v>
      </c>
      <c r="F188">
        <f>VLOOKUP(A188,'Karykarta List'!A:B,2,FALSE)</f>
        <v>9819364345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1306</v>
      </c>
      <c r="B189" t="s">
        <v>233</v>
      </c>
      <c r="C189">
        <v>7738052299</v>
      </c>
      <c r="D189" t="str">
        <f>_xlfn.IFNA(VLOOKUP(C189,UpdateLogToUse!A:D,4,FALSE),"Not Called")</f>
        <v>Not Called</v>
      </c>
      <c r="E189" t="str">
        <f>IF(ISNA(VLOOKUP(C189,Registration!A:A,1,FALSE)),"Not Registered","Registered")</f>
        <v>Not Registered</v>
      </c>
      <c r="F189">
        <f>VLOOKUP(A189,'Karykarta List'!A:B,2,FALSE)</f>
        <v>7977147591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789</v>
      </c>
      <c r="B190" t="s">
        <v>234</v>
      </c>
      <c r="C190">
        <v>9320241710</v>
      </c>
      <c r="D190" t="str">
        <f>_xlfn.IFNA(VLOOKUP(C190,UpdateLogToUse!A:D,4,FALSE),"Not Called")</f>
        <v>Not Called</v>
      </c>
      <c r="E190" t="str">
        <f>IF(ISNA(VLOOKUP(C190,Registration!A:A,1,FALSE)),"Not Registered","Registered")</f>
        <v>Not Registered</v>
      </c>
      <c r="F190">
        <f>VLOOKUP(A190,'Karykarta List'!A:B,2,FALSE)</f>
        <v>9702260383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11</v>
      </c>
      <c r="B191" t="s">
        <v>235</v>
      </c>
      <c r="C191">
        <v>9821559551</v>
      </c>
      <c r="D191" t="str">
        <f>_xlfn.IFNA(VLOOKUP(C191,UpdateLogToUse!A:D,4,FALSE),"Not Called")</f>
        <v>Not Called</v>
      </c>
      <c r="E191" t="str">
        <f>IF(ISNA(VLOOKUP(C191,Registration!A:A,1,FALSE)),"Not Registered","Registered")</f>
        <v>Not Registered</v>
      </c>
      <c r="F191">
        <f>VLOOKUP(A191,'Karykarta List'!A:B,2,FALSE)</f>
        <v>9322598681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1308</v>
      </c>
      <c r="B192" t="s">
        <v>236</v>
      </c>
      <c r="C192">
        <v>9920137410</v>
      </c>
      <c r="D192" t="str">
        <f>_xlfn.IFNA(VLOOKUP(C192,UpdateLogToUse!A:D,4,FALSE),"Not Called")</f>
        <v>Not Called</v>
      </c>
      <c r="E192" t="str">
        <f>IF(ISNA(VLOOKUP(C192,Registration!A:A,1,FALSE)),"Not Registered","Registered")</f>
        <v>Not Registered</v>
      </c>
      <c r="F192">
        <f>VLOOKUP(A192,'Karykarta List'!A:B,2,FALSE)</f>
        <v>9022922620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39</v>
      </c>
      <c r="B193" t="s">
        <v>237</v>
      </c>
      <c r="C193">
        <v>7387113012</v>
      </c>
      <c r="D193" t="str">
        <f>_xlfn.IFNA(VLOOKUP(C193,UpdateLogToUse!A:D,4,FALSE),"Not Called")</f>
        <v>Confirmed Presence</v>
      </c>
      <c r="E193" t="str">
        <f>IF(ISNA(VLOOKUP(C193,Registration!A:A,1,FALSE)),"Not Registered","Registered")</f>
        <v>Registered</v>
      </c>
      <c r="F193">
        <f>VLOOKUP(A193,'Karykarta List'!A:B,2,FALSE)</f>
        <v>9820505363</v>
      </c>
      <c r="G193" t="str">
        <f>_xlfn.IFNA(VLOOKUP(C193,CallLog_Latest!A:H,8,FALSE),"")</f>
        <v/>
      </c>
      <c r="H193" t="str">
        <f>VLOOKUP(C193,[1]Sheet1!$F:$H,3,FALSE)</f>
        <v>Veena Nagar CHS  E-Wing, Flat No. 405 S V Road, Malad (W</v>
      </c>
    </row>
    <row r="194" spans="1:8" x14ac:dyDescent="0.25">
      <c r="A194" t="s">
        <v>21</v>
      </c>
      <c r="B194" t="s">
        <v>238</v>
      </c>
      <c r="C194">
        <v>9820348438</v>
      </c>
      <c r="D194" t="str">
        <f>_xlfn.IFNA(VLOOKUP(C194,UpdateLogToUse!A:D,4,FALSE),"Not Called")</f>
        <v>Not Called</v>
      </c>
      <c r="E194" t="str">
        <f>IF(ISNA(VLOOKUP(C194,Registration!A:A,1,FALSE)),"Not Registered","Registered")</f>
        <v>Not Registered</v>
      </c>
      <c r="F194">
        <f>VLOOKUP(A194,'Karykarta List'!A:B,2,FALSE)</f>
        <v>9820636392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31</v>
      </c>
      <c r="B195" t="s">
        <v>239</v>
      </c>
      <c r="C195">
        <v>9867015945</v>
      </c>
      <c r="D195" t="str">
        <f>_xlfn.IFNA(VLOOKUP(C195,UpdateLogToUse!A:D,4,FALSE),"Not Called")</f>
        <v>Not Called</v>
      </c>
      <c r="E195" t="str">
        <f>IF(ISNA(VLOOKUP(C195,Registration!A:A,1,FALSE)),"Not Registered","Registered")</f>
        <v>Not Registered</v>
      </c>
      <c r="F195">
        <f>VLOOKUP(A195,'Karykarta List'!A:B,2,FALSE)</f>
        <v>9869064553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49</v>
      </c>
      <c r="B196" t="s">
        <v>240</v>
      </c>
      <c r="C196">
        <v>9819063860</v>
      </c>
      <c r="D196" t="str">
        <f>_xlfn.IFNA(VLOOKUP(C196,UpdateLogToUse!A:D,4,FALSE),"Not Called")</f>
        <v>Not Called</v>
      </c>
      <c r="E196" t="str">
        <f>IF(ISNA(VLOOKUP(C196,Registration!A:A,1,FALSE)),"Not Registered","Registered")</f>
        <v>Not Registered</v>
      </c>
      <c r="F196">
        <f>VLOOKUP(A196,'Karykarta List'!A:B,2,FALSE)</f>
        <v>9322206108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35</v>
      </c>
      <c r="B197" t="s">
        <v>241</v>
      </c>
      <c r="C197">
        <v>9867711122</v>
      </c>
      <c r="D197" t="str">
        <f>_xlfn.IFNA(VLOOKUP(C197,UpdateLogToUse!A:D,4,FALSE),"Not Called")</f>
        <v>Not Called</v>
      </c>
      <c r="E197" t="str">
        <f>IF(ISNA(VLOOKUP(C197,Registration!A:A,1,FALSE)),"Not Registered","Registered")</f>
        <v>Registered</v>
      </c>
      <c r="F197">
        <f>VLOOKUP(A197,'Karykarta List'!A:B,2,FALSE)</f>
        <v>9833705425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17</v>
      </c>
      <c r="B198" t="s">
        <v>242</v>
      </c>
      <c r="C198">
        <v>9821333259</v>
      </c>
      <c r="D198" t="str">
        <f>_xlfn.IFNA(VLOOKUP(C198,UpdateLogToUse!A:D,4,FALSE),"Not Called")</f>
        <v>Not Coming</v>
      </c>
      <c r="E198" t="str">
        <f>IF(ISNA(VLOOKUP(C198,Registration!A:A,1,FALSE)),"Not Registered","Registered")</f>
        <v>Not Registered</v>
      </c>
      <c r="F198">
        <f>VLOOKUP(A198,'Karykarta List'!A:B,2,FALSE)</f>
        <v>9869798705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23</v>
      </c>
      <c r="B199" t="s">
        <v>243</v>
      </c>
      <c r="C199">
        <v>9661270782</v>
      </c>
      <c r="D199" t="str">
        <f>_xlfn.IFNA(VLOOKUP(C199,UpdateLogToUse!A:D,4,FALSE),"Not Called")</f>
        <v>Not Called</v>
      </c>
      <c r="E199" t="str">
        <f>IF(ISNA(VLOOKUP(C199,Registration!A:A,1,FALSE)),"Not Registered","Registered")</f>
        <v>Not Registered</v>
      </c>
      <c r="F199">
        <f>VLOOKUP(A199,'Karykarta List'!A:B,2,FALSE)</f>
        <v>7977439717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43</v>
      </c>
      <c r="B200" t="s">
        <v>244</v>
      </c>
      <c r="C200">
        <v>9892486924</v>
      </c>
      <c r="D200" t="str">
        <f>_xlfn.IFNA(VLOOKUP(C200,UpdateLogToUse!A:D,4,FALSE),"Not Called")</f>
        <v>Not Called</v>
      </c>
      <c r="E200" t="str">
        <f>IF(ISNA(VLOOKUP(C200,Registration!A:A,1,FALSE)),"Not Registered","Registered")</f>
        <v>Not Registered</v>
      </c>
      <c r="F200">
        <f>VLOOKUP(A200,'Karykarta List'!A:B,2,FALSE)</f>
        <v>9320683201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57</v>
      </c>
      <c r="B201" t="s">
        <v>245</v>
      </c>
      <c r="C201">
        <v>9322297743</v>
      </c>
      <c r="D201" t="str">
        <f>_xlfn.IFNA(VLOOKUP(C201,UpdateLogToUse!A:D,4,FALSE),"Not Called")</f>
        <v>Confirmed Presence</v>
      </c>
      <c r="E201" t="str">
        <f>IF(ISNA(VLOOKUP(C201,Registration!A:A,1,FALSE)),"Not Registered","Registered")</f>
        <v>Not Registered</v>
      </c>
      <c r="F201">
        <f>VLOOKUP(A201,'Karykarta List'!A:B,2,FALSE)</f>
        <v>9101910341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72</v>
      </c>
      <c r="B202" t="s">
        <v>246</v>
      </c>
      <c r="C202">
        <v>9820636392</v>
      </c>
      <c r="D202" t="str">
        <f>_xlfn.IFNA(VLOOKUP(C202,UpdateLogToUse!A:D,4,FALSE),"Not Called")</f>
        <v>Not Called</v>
      </c>
      <c r="E202" t="str">
        <f>IF(ISNA(VLOOKUP(C202,Registration!A:A,1,FALSE)),"Not Registered","Registered")</f>
        <v>Not Registered</v>
      </c>
      <c r="F202">
        <f>VLOOKUP(A202,'Karykarta List'!A:B,2,FALSE)</f>
        <v>8879433174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60</v>
      </c>
      <c r="B203" t="s">
        <v>247</v>
      </c>
      <c r="C203">
        <v>9323192651</v>
      </c>
      <c r="D203" t="str">
        <f>_xlfn.IFNA(VLOOKUP(C203,UpdateLogToUse!A:D,4,FALSE),"Not Called")</f>
        <v>Confirmed Presence</v>
      </c>
      <c r="E203" t="str">
        <f>IF(ISNA(VLOOKUP(C203,Registration!A:A,1,FALSE)),"Not Registered","Registered")</f>
        <v>Registered</v>
      </c>
      <c r="F203">
        <f>VLOOKUP(A203,'Karykarta List'!A:B,2,FALSE)</f>
        <v>9820779873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1337</v>
      </c>
      <c r="B204" t="s">
        <v>248</v>
      </c>
      <c r="C204">
        <v>9324530346</v>
      </c>
      <c r="D204" t="str">
        <f>_xlfn.IFNA(VLOOKUP(C204,UpdateLogToUse!A:D,4,FALSE),"Not Called")</f>
        <v>Confirmed Presence</v>
      </c>
      <c r="E204" t="str">
        <f>IF(ISNA(VLOOKUP(C204,Registration!A:A,1,FALSE)),"Not Registered","Registered")</f>
        <v>Not Registered</v>
      </c>
      <c r="F204">
        <f>VLOOKUP(A204,'Karykarta List'!A:B,2,FALSE)</f>
        <v>9820130862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77</v>
      </c>
      <c r="B205" t="s">
        <v>249</v>
      </c>
      <c r="C205">
        <v>8080778686</v>
      </c>
      <c r="D205" t="str">
        <f>_xlfn.IFNA(VLOOKUP(C205,UpdateLogToUse!A:D,4,FALSE),"Not Called")</f>
        <v>Not Called</v>
      </c>
      <c r="E205" t="str">
        <f>IF(ISNA(VLOOKUP(C205,Registration!A:A,1,FALSE)),"Not Registered","Registered")</f>
        <v>Not Registered</v>
      </c>
      <c r="F205">
        <f>VLOOKUP(A205,'Karykarta List'!A:B,2,FALSE)</f>
        <v>9029105124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70</v>
      </c>
      <c r="B206" t="s">
        <v>250</v>
      </c>
      <c r="C206">
        <v>9323621466</v>
      </c>
      <c r="D206" t="str">
        <f>_xlfn.IFNA(VLOOKUP(C206,UpdateLogToUse!A:D,4,FALSE),"Not Called")</f>
        <v>Not Called</v>
      </c>
      <c r="E206" t="str">
        <f>IF(ISNA(VLOOKUP(C206,Registration!A:A,1,FALSE)),"Not Registered","Registered")</f>
        <v>Not Registered</v>
      </c>
      <c r="F206">
        <f>VLOOKUP(A206,'Karykarta List'!A:B,2,FALSE)</f>
        <v>9405263833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81</v>
      </c>
      <c r="B207" t="s">
        <v>251</v>
      </c>
      <c r="C207">
        <v>9820384931</v>
      </c>
      <c r="D207" t="str">
        <f>_xlfn.IFNA(VLOOKUP(C207,UpdateLogToUse!A:D,4,FALSE),"Not Called")</f>
        <v>Not Called</v>
      </c>
      <c r="E207" t="str">
        <f>IF(ISNA(VLOOKUP(C207,Registration!A:A,1,FALSE)),"Not Registered","Registered")</f>
        <v>Not Registered</v>
      </c>
      <c r="F207">
        <f>VLOOKUP(A207,'Karykarta List'!A:B,2,FALSE)</f>
        <v>9824100412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23</v>
      </c>
      <c r="B208" t="s">
        <v>252</v>
      </c>
      <c r="C208">
        <v>9967580400</v>
      </c>
      <c r="D208" t="str">
        <f>_xlfn.IFNA(VLOOKUP(C208,UpdateLogToUse!A:D,4,FALSE),"Not Called")</f>
        <v>Not Called</v>
      </c>
      <c r="E208" t="str">
        <f>IF(ISNA(VLOOKUP(C208,Registration!A:A,1,FALSE)),"Not Registered","Registered")</f>
        <v>Not Registered</v>
      </c>
      <c r="F208">
        <f>VLOOKUP(A208,'Karykarta List'!A:B,2,FALSE)</f>
        <v>7977439717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41</v>
      </c>
      <c r="B209" t="s">
        <v>253</v>
      </c>
      <c r="C209">
        <v>9323930259</v>
      </c>
      <c r="D209" t="str">
        <f>_xlfn.IFNA(VLOOKUP(C209,UpdateLogToUse!A:D,4,FALSE),"Not Called")</f>
        <v>Not Reachable</v>
      </c>
      <c r="E209" t="str">
        <f>IF(ISNA(VLOOKUP(C209,Registration!A:A,1,FALSE)),"Not Registered","Registered")</f>
        <v>Not Registered</v>
      </c>
      <c r="F209">
        <f>VLOOKUP(A209,'Karykarta List'!A:B,2,FALSE)</f>
        <v>8058973809</v>
      </c>
      <c r="G209" t="str">
        <f>_xlfn.IFNA(VLOOKUP(C209,CallLog_Latest!A:H,8,FALSE),"")</f>
        <v/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797</v>
      </c>
      <c r="B210" t="s">
        <v>254</v>
      </c>
      <c r="C210">
        <v>9999845745</v>
      </c>
      <c r="D210" t="str">
        <f>_xlfn.IFNA(VLOOKUP(C210,UpdateLogToUse!A:D,4,FALSE),"Not Called")</f>
        <v>Not Coming</v>
      </c>
      <c r="E210" t="str">
        <f>IF(ISNA(VLOOKUP(C210,Registration!A:A,1,FALSE)),"Not Registered","Registered")</f>
        <v>Not Registered</v>
      </c>
      <c r="F210">
        <f>VLOOKUP(A210,'Karykarta List'!A:B,2,FALSE)</f>
        <v>9320309630</v>
      </c>
      <c r="G210" t="str">
        <f>_xlfn.IFNA(VLOOKUP(C210,CallLog_Latest!A:H,8,FALSE),"")</f>
        <v/>
      </c>
      <c r="H210" t="str">
        <f>VLOOKUP(C210,[1]Sheet1!$F:$H,3,FALSE)</f>
        <v>C-1004  Rna Royal Park M.G Road</v>
      </c>
    </row>
    <row r="211" spans="1:8" x14ac:dyDescent="0.25">
      <c r="A211" t="s">
        <v>785</v>
      </c>
      <c r="B211" t="s">
        <v>255</v>
      </c>
      <c r="C211">
        <v>9619247950</v>
      </c>
      <c r="D211" t="str">
        <f>_xlfn.IFNA(VLOOKUP(C211,UpdateLogToUse!A:D,4,FALSE),"Not Called")</f>
        <v>Not Called</v>
      </c>
      <c r="E211" t="str">
        <f>IF(ISNA(VLOOKUP(C211,Registration!A:A,1,FALSE)),"Not Registered","Registered")</f>
        <v>Not Registered</v>
      </c>
      <c r="F211">
        <f>VLOOKUP(A211,'Karykarta List'!A:B,2,FALSE)</f>
        <v>9321532327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83</v>
      </c>
      <c r="B212" t="s">
        <v>256</v>
      </c>
      <c r="C212">
        <v>9892146517</v>
      </c>
      <c r="D212" t="str">
        <f>_xlfn.IFNA(VLOOKUP(C212,UpdateLogToUse!A:D,4,FALSE),"Not Called")</f>
        <v>Confirmed Presence</v>
      </c>
      <c r="E212" t="str">
        <f>IF(ISNA(VLOOKUP(C212,Registration!A:A,1,FALSE)),"Not Registered","Registered")</f>
        <v>Not Registered</v>
      </c>
      <c r="F212">
        <f>VLOOKUP(A212,'Karykarta List'!A:B,2,FALSE)</f>
        <v>9225211083</v>
      </c>
      <c r="G212" t="str">
        <f>_xlfn.IFNA(VLOOKUP(C212,CallLog_Latest!A:H,8,FALSE),"")</f>
        <v/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799</v>
      </c>
      <c r="B213" t="s">
        <v>257</v>
      </c>
      <c r="C213">
        <v>9820066427</v>
      </c>
      <c r="D213" t="str">
        <f>_xlfn.IFNA(VLOOKUP(C213,UpdateLogToUse!A:D,4,FALSE),"Not Called")</f>
        <v>Confirmed Presence</v>
      </c>
      <c r="E213" t="str">
        <f>IF(ISNA(VLOOKUP(C213,Registration!A:A,1,FALSE)),"Not Registered","Registered")</f>
        <v>Not Registered</v>
      </c>
      <c r="F213">
        <f>VLOOKUP(A213,'Karykarta List'!A:B,2,FALSE)</f>
        <v>9324233820</v>
      </c>
      <c r="G213" t="str">
        <f>_xlfn.IFNA(VLOOKUP(C213,CallLog_Latest!A:H,8,FALSE),"")</f>
        <v/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805</v>
      </c>
      <c r="B214" t="s">
        <v>258</v>
      </c>
      <c r="C214">
        <v>9323284295</v>
      </c>
      <c r="D214" t="str">
        <f>_xlfn.IFNA(VLOOKUP(C214,UpdateLogToUse!A:D,4,FALSE),"Not Called")</f>
        <v>Not Reachable</v>
      </c>
      <c r="E214" t="str">
        <f>IF(ISNA(VLOOKUP(C214,Registration!A:A,1,FALSE)),"Not Registered","Registered")</f>
        <v>Not Registered</v>
      </c>
      <c r="F214">
        <f>VLOOKUP(A214,'Karykarta List'!A:B,2,FALSE)</f>
        <v>9320770849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95</v>
      </c>
      <c r="B215" t="s">
        <v>259</v>
      </c>
      <c r="C215">
        <v>9413561108</v>
      </c>
      <c r="D215" t="str">
        <f>_xlfn.IFNA(VLOOKUP(C215,UpdateLogToUse!A:D,4,FALSE),"Not Called")</f>
        <v>Confirmed Presence</v>
      </c>
      <c r="E215" t="str">
        <f>IF(ISNA(VLOOKUP(C215,Registration!A:A,1,FALSE)),"Not Registered","Registered")</f>
        <v>Not Registered</v>
      </c>
      <c r="F215">
        <f>VLOOKUP(A215,'Karykarta List'!A:B,2,FALSE)</f>
        <v>9424584007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55</v>
      </c>
      <c r="B216" t="s">
        <v>260</v>
      </c>
      <c r="C216">
        <v>9321296213</v>
      </c>
      <c r="D216" t="str">
        <f>_xlfn.IFNA(VLOOKUP(C216,UpdateLogToUse!A:D,4,FALSE),"Not Called")</f>
        <v>May be Attending</v>
      </c>
      <c r="E216" t="str">
        <f>IF(ISNA(VLOOKUP(C216,Registration!A:A,1,FALSE)),"Not Registered","Registered")</f>
        <v>Not Registered</v>
      </c>
      <c r="F216">
        <f>VLOOKUP(A216,'Karykarta List'!A:B,2,FALSE)</f>
        <v>9819083540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29</v>
      </c>
      <c r="B217" t="s">
        <v>261</v>
      </c>
      <c r="C217">
        <v>9967236456</v>
      </c>
      <c r="D217" t="str">
        <f>_xlfn.IFNA(VLOOKUP(C217,UpdateLogToUse!A:D,4,FALSE),"Not Called")</f>
        <v>Confirmed Presence</v>
      </c>
      <c r="E217" t="str">
        <f>IF(ISNA(VLOOKUP(C217,Registration!A:A,1,FALSE)),"Not Registered","Registered")</f>
        <v>Not Registered</v>
      </c>
      <c r="F217">
        <f>VLOOKUP(A217,'Karykarta List'!A:B,2,FALSE)</f>
        <v>9819364345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1306</v>
      </c>
      <c r="B218" t="s">
        <v>62</v>
      </c>
      <c r="C218">
        <v>9930396709</v>
      </c>
      <c r="D218" t="str">
        <f>_xlfn.IFNA(VLOOKUP(C218,UpdateLogToUse!A:D,4,FALSE),"Not Called")</f>
        <v>Not Called</v>
      </c>
      <c r="E218" t="str">
        <f>IF(ISNA(VLOOKUP(C218,Registration!A:A,1,FALSE)),"Not Registered","Registered")</f>
        <v>Not Registered</v>
      </c>
      <c r="F218">
        <f>VLOOKUP(A218,'Karykarta List'!A:B,2,FALSE)</f>
        <v>7977147591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789</v>
      </c>
      <c r="B219" t="s">
        <v>262</v>
      </c>
      <c r="C219">
        <v>9869798705</v>
      </c>
      <c r="D219" t="str">
        <f>_xlfn.IFNA(VLOOKUP(C219,UpdateLogToUse!A:D,4,FALSE),"Not Called")</f>
        <v>Not Called</v>
      </c>
      <c r="E219" t="str">
        <f>IF(ISNA(VLOOKUP(C219,Registration!A:A,1,FALSE)),"Not Registered","Registered")</f>
        <v>Not Registered</v>
      </c>
      <c r="F219">
        <f>VLOOKUP(A219,'Karykarta List'!A:B,2,FALSE)</f>
        <v>9702260383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11</v>
      </c>
      <c r="B220" t="s">
        <v>263</v>
      </c>
      <c r="C220">
        <v>9320105607</v>
      </c>
      <c r="D220" t="str">
        <f>_xlfn.IFNA(VLOOKUP(C220,UpdateLogToUse!A:D,4,FALSE),"Not Called")</f>
        <v>Not Coming</v>
      </c>
      <c r="E220" t="str">
        <f>IF(ISNA(VLOOKUP(C220,Registration!A:A,1,FALSE)),"Not Registered","Registered")</f>
        <v>Not Registered</v>
      </c>
      <c r="F220">
        <f>VLOOKUP(A220,'Karykarta List'!A:B,2,FALSE)</f>
        <v>9322598681</v>
      </c>
      <c r="G220" t="str">
        <f>_xlfn.IFNA(VLOOKUP(C220,CallLog_Latest!A:H,8,FALSE),"")</f>
        <v/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1308</v>
      </c>
      <c r="B221" t="s">
        <v>264</v>
      </c>
      <c r="C221">
        <v>8291612305</v>
      </c>
      <c r="D221" t="str">
        <f>_xlfn.IFNA(VLOOKUP(C221,UpdateLogToUse!A:D,4,FALSE),"Not Called")</f>
        <v>Phone Busy</v>
      </c>
      <c r="E221" t="str">
        <f>IF(ISNA(VLOOKUP(C221,Registration!A:A,1,FALSE)),"Not Registered","Registered")</f>
        <v>Not Registered</v>
      </c>
      <c r="F221">
        <f>VLOOKUP(A221,'Karykarta List'!A:B,2,FALSE)</f>
        <v>9022922620</v>
      </c>
      <c r="G221" t="str">
        <f>_xlfn.IFNA(VLOOKUP(C221,CallLog_Latest!A:H,8,FALSE),"")</f>
        <v/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39</v>
      </c>
      <c r="B222" t="s">
        <v>265</v>
      </c>
      <c r="C222">
        <v>9967265584</v>
      </c>
      <c r="D222" t="str">
        <f>_xlfn.IFNA(VLOOKUP(C222,UpdateLogToUse!A:D,4,FALSE),"Not Called")</f>
        <v>Not Reachable</v>
      </c>
      <c r="E222" t="str">
        <f>IF(ISNA(VLOOKUP(C222,Registration!A:A,1,FALSE)),"Not Registered","Registered")</f>
        <v>Not Registered</v>
      </c>
      <c r="F222">
        <f>VLOOKUP(A222,'Karykarta List'!A:B,2,FALSE)</f>
        <v>9820505363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21</v>
      </c>
      <c r="B223" t="s">
        <v>266</v>
      </c>
      <c r="C223">
        <v>9699664643</v>
      </c>
      <c r="D223" t="str">
        <f>_xlfn.IFNA(VLOOKUP(C223,UpdateLogToUse!A:D,4,FALSE),"Not Called")</f>
        <v>Confirmed Presence</v>
      </c>
      <c r="E223" t="str">
        <f>IF(ISNA(VLOOKUP(C223,Registration!A:A,1,FALSE)),"Not Registered","Registered")</f>
        <v>Not Registered</v>
      </c>
      <c r="F223">
        <f>VLOOKUP(A223,'Karykarta List'!A:B,2,FALSE)</f>
        <v>9820636392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31</v>
      </c>
      <c r="B224" t="s">
        <v>267</v>
      </c>
      <c r="C224">
        <v>9764005162</v>
      </c>
      <c r="D224" t="str">
        <f>_xlfn.IFNA(VLOOKUP(C224,UpdateLogToUse!A:D,4,FALSE),"Not Called")</f>
        <v>Confirmed Presence</v>
      </c>
      <c r="E224" t="str">
        <f>IF(ISNA(VLOOKUP(C224,Registration!A:A,1,FALSE)),"Not Registered","Registered")</f>
        <v>Registered</v>
      </c>
      <c r="F224">
        <f>VLOOKUP(A224,'Karykarta List'!A:B,2,FALSE)</f>
        <v>9869064553</v>
      </c>
      <c r="G224" t="str">
        <f>_xlfn.IFNA(VLOOKUP(C224,CallLog_Latest!A:H,8,FALSE),"")</f>
        <v/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49</v>
      </c>
      <c r="B225" t="s">
        <v>268</v>
      </c>
      <c r="C225">
        <v>9819318417</v>
      </c>
      <c r="D225" t="str">
        <f>_xlfn.IFNA(VLOOKUP(C225,UpdateLogToUse!A:D,4,FALSE),"Not Called")</f>
        <v>Not Called</v>
      </c>
      <c r="E225" t="str">
        <f>IF(ISNA(VLOOKUP(C225,Registration!A:A,1,FALSE)),"Not Registered","Registered")</f>
        <v>Not Registered</v>
      </c>
      <c r="F225">
        <f>VLOOKUP(A225,'Karykarta List'!A:B,2,FALSE)</f>
        <v>9322206108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35</v>
      </c>
      <c r="B226" t="s">
        <v>269</v>
      </c>
      <c r="C226">
        <v>8655667565</v>
      </c>
      <c r="D226" t="str">
        <f>_xlfn.IFNA(VLOOKUP(C226,UpdateLogToUse!A:D,4,FALSE),"Not Called")</f>
        <v>Not Called</v>
      </c>
      <c r="E226" t="str">
        <f>IF(ISNA(VLOOKUP(C226,Registration!A:A,1,FALSE)),"Not Registered","Registered")</f>
        <v>Not Registered</v>
      </c>
      <c r="F226">
        <f>VLOOKUP(A226,'Karykarta List'!A:B,2,FALSE)</f>
        <v>9833705425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17</v>
      </c>
      <c r="B227" t="s">
        <v>270</v>
      </c>
      <c r="C227">
        <v>9757301107</v>
      </c>
      <c r="D227" t="str">
        <f>_xlfn.IFNA(VLOOKUP(C227,UpdateLogToUse!A:D,4,FALSE),"Not Called")</f>
        <v>Not Called</v>
      </c>
      <c r="E227" t="str">
        <f>IF(ISNA(VLOOKUP(C227,Registration!A:A,1,FALSE)),"Not Registered","Registered")</f>
        <v>Not Registered</v>
      </c>
      <c r="F227">
        <f>VLOOKUP(A227,'Karykarta List'!A:B,2,FALSE)</f>
        <v>9869798705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23</v>
      </c>
      <c r="B228" t="s">
        <v>271</v>
      </c>
      <c r="C228">
        <v>9833731212</v>
      </c>
      <c r="D228" t="str">
        <f>_xlfn.IFNA(VLOOKUP(C228,UpdateLogToUse!A:D,4,FALSE),"Not Called")</f>
        <v>Not Called</v>
      </c>
      <c r="E228" t="str">
        <f>IF(ISNA(VLOOKUP(C228,Registration!A:A,1,FALSE)),"Not Registered","Registered")</f>
        <v>Not Registered</v>
      </c>
      <c r="F228">
        <f>VLOOKUP(A228,'Karykarta List'!A:B,2,FALSE)</f>
        <v>7977439717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43</v>
      </c>
      <c r="B229" t="s">
        <v>272</v>
      </c>
      <c r="C229">
        <v>9821111601</v>
      </c>
      <c r="D229" t="str">
        <f>_xlfn.IFNA(VLOOKUP(C229,UpdateLogToUse!A:D,4,FALSE),"Not Called")</f>
        <v>May be Attending</v>
      </c>
      <c r="E229" t="str">
        <f>IF(ISNA(VLOOKUP(C229,Registration!A:A,1,FALSE)),"Not Registered","Registered")</f>
        <v>Not Registered</v>
      </c>
      <c r="F229">
        <f>VLOOKUP(A229,'Karykarta List'!A:B,2,FALSE)</f>
        <v>9320683201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57</v>
      </c>
      <c r="B230" t="s">
        <v>273</v>
      </c>
      <c r="C230">
        <v>9869652536</v>
      </c>
      <c r="D230" t="str">
        <f>_xlfn.IFNA(VLOOKUP(C230,UpdateLogToUse!A:D,4,FALSE),"Not Called")</f>
        <v>Confirmed Presence</v>
      </c>
      <c r="E230" t="str">
        <f>IF(ISNA(VLOOKUP(C230,Registration!A:A,1,FALSE)),"Not Registered","Registered")</f>
        <v>Not Registered</v>
      </c>
      <c r="F230">
        <f>VLOOKUP(A230,'Karykarta List'!A:B,2,FALSE)</f>
        <v>9101910341</v>
      </c>
      <c r="G230" t="str">
        <f>_xlfn.IFNA(VLOOKUP(C230,CallLog_Latest!A:H,8,FALSE),"")</f>
        <v/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72</v>
      </c>
      <c r="B231" t="s">
        <v>274</v>
      </c>
      <c r="C231">
        <v>9869652536</v>
      </c>
      <c r="D231" t="str">
        <f>_xlfn.IFNA(VLOOKUP(C231,UpdateLogToUse!A:D,4,FALSE),"Not Called")</f>
        <v>Confirmed Presence</v>
      </c>
      <c r="E231" t="str">
        <f>IF(ISNA(VLOOKUP(C231,Registration!A:A,1,FALSE)),"Not Registered","Registered")</f>
        <v>Not Registered</v>
      </c>
      <c r="F231">
        <f>VLOOKUP(A231,'Karykarta List'!A:B,2,FALSE)</f>
        <v>8879433174</v>
      </c>
      <c r="G231" t="str">
        <f>_xlfn.IFNA(VLOOKUP(C231,CallLog_Latest!A:H,8,FALSE),"")</f>
        <v/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60</v>
      </c>
      <c r="B232" t="s">
        <v>275</v>
      </c>
      <c r="C232">
        <v>9320102206</v>
      </c>
      <c r="D232" t="str">
        <f>_xlfn.IFNA(VLOOKUP(C232,UpdateLogToUse!A:D,4,FALSE),"Not Called")</f>
        <v>May be Attending</v>
      </c>
      <c r="E232" t="str">
        <f>IF(ISNA(VLOOKUP(C232,Registration!A:A,1,FALSE)),"Not Registered","Registered")</f>
        <v>Not Registered</v>
      </c>
      <c r="F232">
        <f>VLOOKUP(A232,'Karykarta List'!A:B,2,FALSE)</f>
        <v>9820779873</v>
      </c>
      <c r="G232" t="str">
        <f>_xlfn.IFNA(VLOOKUP(C232,CallLog_Latest!A:H,8,FALSE),"")</f>
        <v/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1337</v>
      </c>
      <c r="B233" t="s">
        <v>276</v>
      </c>
      <c r="C233">
        <v>9323380926</v>
      </c>
      <c r="D233" t="str">
        <f>_xlfn.IFNA(VLOOKUP(C233,UpdateLogToUse!A:D,4,FALSE),"Not Called")</f>
        <v>Not Called</v>
      </c>
      <c r="E233" t="str">
        <f>IF(ISNA(VLOOKUP(C233,Registration!A:A,1,FALSE)),"Not Registered","Registered")</f>
        <v>Not Registered</v>
      </c>
      <c r="F233">
        <f>VLOOKUP(A233,'Karykarta List'!A:B,2,FALSE)</f>
        <v>9820130862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77</v>
      </c>
      <c r="B234" t="s">
        <v>277</v>
      </c>
      <c r="C234">
        <v>9833681821</v>
      </c>
      <c r="D234" t="str">
        <f>_xlfn.IFNA(VLOOKUP(C234,UpdateLogToUse!A:D,4,FALSE),"Not Called")</f>
        <v>Not Reachable</v>
      </c>
      <c r="E234" t="str">
        <f>IF(ISNA(VLOOKUP(C234,Registration!A:A,1,FALSE)),"Not Registered","Registered")</f>
        <v>Not Registered</v>
      </c>
      <c r="F234">
        <f>VLOOKUP(A234,'Karykarta List'!A:B,2,FALSE)</f>
        <v>9029105124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70</v>
      </c>
      <c r="B235" t="s">
        <v>278</v>
      </c>
      <c r="C235">
        <v>9619537250</v>
      </c>
      <c r="D235" t="str">
        <f>_xlfn.IFNA(VLOOKUP(C235,UpdateLogToUse!A:D,4,FALSE),"Not Called")</f>
        <v>Not Coming</v>
      </c>
      <c r="E235" t="str">
        <f>IF(ISNA(VLOOKUP(C235,Registration!A:A,1,FALSE)),"Not Registered","Registered")</f>
        <v>Not Registered</v>
      </c>
      <c r="F235">
        <f>VLOOKUP(A235,'Karykarta List'!A:B,2,FALSE)</f>
        <v>9405263833</v>
      </c>
      <c r="G235" t="str">
        <f>_xlfn.IFNA(VLOOKUP(C235,CallLog_Latest!A:H,8,FALSE),"")</f>
        <v/>
      </c>
      <c r="H235" t="str">
        <f>VLOOKUP(C235,[1]Sheet1!$F:$H,3,FALSE)</f>
        <v>A-101  Trishul Heights  Nr.blue Empire Complex Link Road</v>
      </c>
    </row>
    <row r="236" spans="1:8" x14ac:dyDescent="0.25">
      <c r="A236" t="s">
        <v>81</v>
      </c>
      <c r="B236" t="s">
        <v>279</v>
      </c>
      <c r="C236">
        <v>9322297669</v>
      </c>
      <c r="D236" t="str">
        <f>_xlfn.IFNA(VLOOKUP(C236,UpdateLogToUse!A:D,4,FALSE),"Not Called")</f>
        <v>Not Called</v>
      </c>
      <c r="E236" t="str">
        <f>IF(ISNA(VLOOKUP(C236,Registration!A:A,1,FALSE)),"Not Registered","Registered")</f>
        <v>Not Registered</v>
      </c>
      <c r="F236">
        <f>VLOOKUP(A236,'Karykarta List'!A:B,2,FALSE)</f>
        <v>9824100412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23</v>
      </c>
      <c r="B237" t="s">
        <v>280</v>
      </c>
      <c r="C237">
        <v>9892002017</v>
      </c>
      <c r="D237" t="str">
        <f>_xlfn.IFNA(VLOOKUP(C237,UpdateLogToUse!A:D,4,FALSE),"Not Called")</f>
        <v>Not Called</v>
      </c>
      <c r="E237" t="str">
        <f>IF(ISNA(VLOOKUP(C237,Registration!A:A,1,FALSE)),"Not Registered","Registered")</f>
        <v>Not Registered</v>
      </c>
      <c r="F237">
        <f>VLOOKUP(A237,'Karykarta List'!A:B,2,FALSE)</f>
        <v>7977439717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41</v>
      </c>
      <c r="B238" t="s">
        <v>281</v>
      </c>
      <c r="C238">
        <v>9987536868</v>
      </c>
      <c r="D238" t="str">
        <f>_xlfn.IFNA(VLOOKUP(C238,UpdateLogToUse!A:D,4,FALSE),"Not Called")</f>
        <v>Not Called</v>
      </c>
      <c r="E238" t="str">
        <f>IF(ISNA(VLOOKUP(C238,Registration!A:A,1,FALSE)),"Not Registered","Registered")</f>
        <v>Not Registered</v>
      </c>
      <c r="F238">
        <f>VLOOKUP(A238,'Karykarta List'!A:B,2,FALSE)</f>
        <v>8058973809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797</v>
      </c>
      <c r="B239" t="s">
        <v>282</v>
      </c>
      <c r="C239">
        <v>9820101822</v>
      </c>
      <c r="D239" t="str">
        <f>_xlfn.IFNA(VLOOKUP(C239,UpdateLogToUse!A:D,4,FALSE),"Not Called")</f>
        <v>Not Called</v>
      </c>
      <c r="E239" t="str">
        <f>IF(ISNA(VLOOKUP(C239,Registration!A:A,1,FALSE)),"Not Registered","Registered")</f>
        <v>Not Registered</v>
      </c>
      <c r="F239">
        <f>VLOOKUP(A239,'Karykarta List'!A:B,2,FALSE)</f>
        <v>9320309630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785</v>
      </c>
      <c r="B240" t="s">
        <v>283</v>
      </c>
      <c r="C240">
        <v>9869089190</v>
      </c>
      <c r="D240" t="str">
        <f>_xlfn.IFNA(VLOOKUP(C240,UpdateLogToUse!A:D,4,FALSE),"Not Called")</f>
        <v>Not Called</v>
      </c>
      <c r="E240" t="str">
        <f>IF(ISNA(VLOOKUP(C240,Registration!A:A,1,FALSE)),"Not Registered","Registered")</f>
        <v>Not Registered</v>
      </c>
      <c r="F240">
        <f>VLOOKUP(A240,'Karykarta List'!A:B,2,FALSE)</f>
        <v>9321532327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83</v>
      </c>
      <c r="B241" t="s">
        <v>284</v>
      </c>
      <c r="C241">
        <v>9820558544</v>
      </c>
      <c r="D241" t="str">
        <f>_xlfn.IFNA(VLOOKUP(C241,UpdateLogToUse!A:D,4,FALSE),"Not Called")</f>
        <v>Not Reachable</v>
      </c>
      <c r="E241" t="str">
        <f>IF(ISNA(VLOOKUP(C241,Registration!A:A,1,FALSE)),"Not Registered","Registered")</f>
        <v>Not Registered</v>
      </c>
      <c r="F241">
        <f>VLOOKUP(A241,'Karykarta List'!A:B,2,FALSE)</f>
        <v>9225211083</v>
      </c>
      <c r="G241" t="str">
        <f>_xlfn.IFNA(VLOOKUP(C241,CallLog_Latest!A:H,8,FALSE),"")</f>
        <v/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799</v>
      </c>
      <c r="B242" t="s">
        <v>285</v>
      </c>
      <c r="C242">
        <v>7208998099</v>
      </c>
      <c r="D242" t="str">
        <f>_xlfn.IFNA(VLOOKUP(C242,UpdateLogToUse!A:D,4,FALSE),"Not Called")</f>
        <v>Not Called</v>
      </c>
      <c r="E242" t="str">
        <f>IF(ISNA(VLOOKUP(C242,Registration!A:A,1,FALSE)),"Not Registered","Registered")</f>
        <v>Registered</v>
      </c>
      <c r="F242">
        <f>VLOOKUP(A242,'Karykarta List'!A:B,2,FALSE)</f>
        <v>9324233820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805</v>
      </c>
      <c r="B243" t="s">
        <v>286</v>
      </c>
      <c r="C243">
        <v>9869249453</v>
      </c>
      <c r="D243" t="str">
        <f>_xlfn.IFNA(VLOOKUP(C243,UpdateLogToUse!A:D,4,FALSE),"Not Called")</f>
        <v>Not Called</v>
      </c>
      <c r="E243" t="str">
        <f>IF(ISNA(VLOOKUP(C243,Registration!A:A,1,FALSE)),"Not Registered","Registered")</f>
        <v>Not Registered</v>
      </c>
      <c r="F243">
        <f>VLOOKUP(A243,'Karykarta List'!A:B,2,FALSE)</f>
        <v>9320770849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95</v>
      </c>
      <c r="B244" t="s">
        <v>287</v>
      </c>
      <c r="C244">
        <v>9730934087</v>
      </c>
      <c r="D244" t="str">
        <f>_xlfn.IFNA(VLOOKUP(C244,UpdateLogToUse!A:D,4,FALSE),"Not Called")</f>
        <v>Not Called</v>
      </c>
      <c r="E244" t="str">
        <f>IF(ISNA(VLOOKUP(C244,Registration!A:A,1,FALSE)),"Not Registered","Registered")</f>
        <v>Not Registered</v>
      </c>
      <c r="F244">
        <f>VLOOKUP(A244,'Karykarta List'!A:B,2,FALSE)</f>
        <v>9424584007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55</v>
      </c>
      <c r="B245" t="s">
        <v>288</v>
      </c>
      <c r="C245">
        <v>9869421034</v>
      </c>
      <c r="D245" t="str">
        <f>_xlfn.IFNA(VLOOKUP(C245,UpdateLogToUse!A:D,4,FALSE),"Not Called")</f>
        <v>Not Called</v>
      </c>
      <c r="E245" t="str">
        <f>IF(ISNA(VLOOKUP(C245,Registration!A:A,1,FALSE)),"Not Registered","Registered")</f>
        <v>Not Registered</v>
      </c>
      <c r="F245">
        <f>VLOOKUP(A245,'Karykarta List'!A:B,2,FALSE)</f>
        <v>9819083540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29</v>
      </c>
      <c r="B246" t="s">
        <v>289</v>
      </c>
      <c r="C246">
        <v>9821524187</v>
      </c>
      <c r="D246" t="str">
        <f>_xlfn.IFNA(VLOOKUP(C246,UpdateLogToUse!A:D,4,FALSE),"Not Called")</f>
        <v>Not Reachable</v>
      </c>
      <c r="E246" t="str">
        <f>IF(ISNA(VLOOKUP(C246,Registration!A:A,1,FALSE)),"Not Registered","Registered")</f>
        <v>Not Registered</v>
      </c>
      <c r="F246">
        <f>VLOOKUP(A246,'Karykarta List'!A:B,2,FALSE)</f>
        <v>9819364345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1306</v>
      </c>
      <c r="B247" t="s">
        <v>290</v>
      </c>
      <c r="C247">
        <v>9322335192</v>
      </c>
      <c r="D247" t="str">
        <f>_xlfn.IFNA(VLOOKUP(C247,UpdateLogToUse!A:D,4,FALSE),"Not Called")</f>
        <v>Not Called</v>
      </c>
      <c r="E247" t="str">
        <f>IF(ISNA(VLOOKUP(C247,Registration!A:A,1,FALSE)),"Not Registered","Registered")</f>
        <v>Not Registered</v>
      </c>
      <c r="F247">
        <f>VLOOKUP(A247,'Karykarta List'!A:B,2,FALSE)</f>
        <v>7977147591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789</v>
      </c>
      <c r="B248" t="s">
        <v>291</v>
      </c>
      <c r="C248">
        <v>9324336209</v>
      </c>
      <c r="D248" t="str">
        <f>_xlfn.IFNA(VLOOKUP(C248,UpdateLogToUse!A:D,4,FALSE),"Not Called")</f>
        <v>Not Called</v>
      </c>
      <c r="E248" t="str">
        <f>IF(ISNA(VLOOKUP(C248,Registration!A:A,1,FALSE)),"Not Registered","Registered")</f>
        <v>Not Registered</v>
      </c>
      <c r="F248">
        <f>VLOOKUP(A248,'Karykarta List'!A:B,2,FALSE)</f>
        <v>9702260383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11</v>
      </c>
      <c r="B249" t="s">
        <v>292</v>
      </c>
      <c r="C249">
        <v>9324645508</v>
      </c>
      <c r="D249" t="str">
        <f>_xlfn.IFNA(VLOOKUP(C249,UpdateLogToUse!A:D,4,FALSE),"Not Called")</f>
        <v>Phone Busy</v>
      </c>
      <c r="E249" t="str">
        <f>IF(ISNA(VLOOKUP(C249,Registration!A:A,1,FALSE)),"Not Registered","Registered")</f>
        <v>Not Registered</v>
      </c>
      <c r="F249">
        <f>VLOOKUP(A249,'Karykarta List'!A:B,2,FALSE)</f>
        <v>9322598681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1308</v>
      </c>
      <c r="B250" t="s">
        <v>293</v>
      </c>
      <c r="C250">
        <v>9968855475</v>
      </c>
      <c r="D250" t="str">
        <f>_xlfn.IFNA(VLOOKUP(C250,UpdateLogToUse!A:D,4,FALSE),"Not Called")</f>
        <v>Not Called</v>
      </c>
      <c r="E250" t="str">
        <f>IF(ISNA(VLOOKUP(C250,Registration!A:A,1,FALSE)),"Not Registered","Registered")</f>
        <v>Not Registered</v>
      </c>
      <c r="F250">
        <f>VLOOKUP(A250,'Karykarta List'!A:B,2,FALSE)</f>
        <v>9022922620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39</v>
      </c>
      <c r="B251" t="s">
        <v>294</v>
      </c>
      <c r="C251">
        <v>9820817039</v>
      </c>
      <c r="D251" t="str">
        <f>_xlfn.IFNA(VLOOKUP(C251,UpdateLogToUse!A:D,4,FALSE),"Not Called")</f>
        <v>Not Called</v>
      </c>
      <c r="E251" t="str">
        <f>IF(ISNA(VLOOKUP(C251,Registration!A:A,1,FALSE)),"Not Registered","Registered")</f>
        <v>Not Registered</v>
      </c>
      <c r="F251">
        <f>VLOOKUP(A251,'Karykarta List'!A:B,2,FALSE)</f>
        <v>9820505363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21</v>
      </c>
      <c r="B252" t="s">
        <v>295</v>
      </c>
      <c r="C252">
        <v>9833180748</v>
      </c>
      <c r="D252" t="str">
        <f>_xlfn.IFNA(VLOOKUP(C252,UpdateLogToUse!A:D,4,FALSE),"Not Called")</f>
        <v>Not Reachable</v>
      </c>
      <c r="E252" t="str">
        <f>IF(ISNA(VLOOKUP(C252,Registration!A:A,1,FALSE)),"Not Registered","Registered")</f>
        <v>Not Registered</v>
      </c>
      <c r="F252">
        <f>VLOOKUP(A252,'Karykarta List'!A:B,2,FALSE)</f>
        <v>9820636392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31</v>
      </c>
      <c r="B253" t="s">
        <v>296</v>
      </c>
      <c r="C253">
        <v>9820074656</v>
      </c>
      <c r="D253" t="str">
        <f>_xlfn.IFNA(VLOOKUP(C253,UpdateLogToUse!A:D,4,FALSE),"Not Called")</f>
        <v>Not Called</v>
      </c>
      <c r="E253" t="str">
        <f>IF(ISNA(VLOOKUP(C253,Registration!A:A,1,FALSE)),"Not Registered","Registered")</f>
        <v>Not Registered</v>
      </c>
      <c r="F253">
        <f>VLOOKUP(A253,'Karykarta List'!A:B,2,FALSE)</f>
        <v>9869064553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49</v>
      </c>
      <c r="B254" t="s">
        <v>297</v>
      </c>
      <c r="C254">
        <v>9892582361</v>
      </c>
      <c r="D254" t="str">
        <f>_xlfn.IFNA(VLOOKUP(C254,UpdateLogToUse!A:D,4,FALSE),"Not Called")</f>
        <v>Not Called</v>
      </c>
      <c r="E254" t="str">
        <f>IF(ISNA(VLOOKUP(C254,Registration!A:A,1,FALSE)),"Not Registered","Registered")</f>
        <v>Not Registered</v>
      </c>
      <c r="F254">
        <f>VLOOKUP(A254,'Karykarta List'!A:B,2,FALSE)</f>
        <v>9322206108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35</v>
      </c>
      <c r="B255" t="s">
        <v>298</v>
      </c>
      <c r="C255">
        <v>9029634348</v>
      </c>
      <c r="D255" t="str">
        <f>_xlfn.IFNA(VLOOKUP(C255,UpdateLogToUse!A:D,4,FALSE),"Not Called")</f>
        <v>Not Called</v>
      </c>
      <c r="E255" t="str">
        <f>IF(ISNA(VLOOKUP(C255,Registration!A:A,1,FALSE)),"Not Registered","Registered")</f>
        <v>Not Registered</v>
      </c>
      <c r="F255">
        <f>VLOOKUP(A255,'Karykarta List'!A:B,2,FALSE)</f>
        <v>9833705425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17</v>
      </c>
      <c r="B256" t="s">
        <v>299</v>
      </c>
      <c r="C256">
        <v>9820810762</v>
      </c>
      <c r="D256" t="str">
        <f>_xlfn.IFNA(VLOOKUP(C256,UpdateLogToUse!A:D,4,FALSE),"Not Called")</f>
        <v>May be Attending</v>
      </c>
      <c r="E256" t="str">
        <f>IF(ISNA(VLOOKUP(C256,Registration!A:A,1,FALSE)),"Not Registered","Registered")</f>
        <v>Not Registered</v>
      </c>
      <c r="F256">
        <f>VLOOKUP(A256,'Karykarta List'!A:B,2,FALSE)</f>
        <v>9869798705</v>
      </c>
      <c r="G256" t="str">
        <f>_xlfn.IFNA(VLOOKUP(C256,CallLog_Latest!A:H,8,FALSE),"")</f>
        <v/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23</v>
      </c>
      <c r="B257" t="s">
        <v>300</v>
      </c>
      <c r="C257">
        <v>9920485387</v>
      </c>
      <c r="D257" t="str">
        <f>_xlfn.IFNA(VLOOKUP(C257,UpdateLogToUse!A:D,4,FALSE),"Not Called")</f>
        <v>Confirmed Presence</v>
      </c>
      <c r="E257" t="str">
        <f>IF(ISNA(VLOOKUP(C257,Registration!A:A,1,FALSE)),"Not Registered","Registered")</f>
        <v>Registered</v>
      </c>
      <c r="F257">
        <f>VLOOKUP(A257,'Karykarta List'!A:B,2,FALSE)</f>
        <v>7977439717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43</v>
      </c>
      <c r="B258" t="s">
        <v>301</v>
      </c>
      <c r="C258">
        <v>9322676231</v>
      </c>
      <c r="D258" t="str">
        <f>_xlfn.IFNA(VLOOKUP(C258,UpdateLogToUse!A:D,4,FALSE),"Not Called")</f>
        <v>Not Called</v>
      </c>
      <c r="E258" t="str">
        <f>IF(ISNA(VLOOKUP(C258,Registration!A:A,1,FALSE)),"Not Registered","Registered")</f>
        <v>Not Registered</v>
      </c>
      <c r="F258">
        <f>VLOOKUP(A258,'Karykarta List'!A:B,2,FALSE)</f>
        <v>9320683201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57</v>
      </c>
      <c r="B259" t="s">
        <v>302</v>
      </c>
      <c r="C259">
        <v>9867920672</v>
      </c>
      <c r="D259" t="str">
        <f>_xlfn.IFNA(VLOOKUP(C259,UpdateLogToUse!A:D,4,FALSE),"Not Called")</f>
        <v>Not Called</v>
      </c>
      <c r="E259" t="str">
        <f>IF(ISNA(VLOOKUP(C259,Registration!A:A,1,FALSE)),"Not Registered","Registered")</f>
        <v>Not Registered</v>
      </c>
      <c r="F259">
        <f>VLOOKUP(A259,'Karykarta List'!A:B,2,FALSE)</f>
        <v>9101910341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72</v>
      </c>
      <c r="B260" t="s">
        <v>303</v>
      </c>
      <c r="C260">
        <v>9324819088</v>
      </c>
      <c r="D260" t="str">
        <f>_xlfn.IFNA(VLOOKUP(C260,UpdateLogToUse!A:D,4,FALSE),"Not Called")</f>
        <v>May be Attending</v>
      </c>
      <c r="E260" t="str">
        <f>IF(ISNA(VLOOKUP(C260,Registration!A:A,1,FALSE)),"Not Registered","Registered")</f>
        <v>Not Registered</v>
      </c>
      <c r="F260">
        <f>VLOOKUP(A260,'Karykarta List'!A:B,2,FALSE)</f>
        <v>8879433174</v>
      </c>
      <c r="G260" t="str">
        <f>_xlfn.IFNA(VLOOKUP(C260,CallLog_Latest!A:H,8,FALSE),"")</f>
        <v/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60</v>
      </c>
      <c r="B261" t="s">
        <v>304</v>
      </c>
      <c r="C261">
        <v>8777740593</v>
      </c>
      <c r="D261" t="str">
        <f>_xlfn.IFNA(VLOOKUP(C261,UpdateLogToUse!A:D,4,FALSE),"Not Called")</f>
        <v>Not Reachable</v>
      </c>
      <c r="E261" t="str">
        <f>IF(ISNA(VLOOKUP(C261,Registration!A:A,1,FALSE)),"Not Registered","Registered")</f>
        <v>Not Registered</v>
      </c>
      <c r="F261">
        <f>VLOOKUP(A261,'Karykarta List'!A:B,2,FALSE)</f>
        <v>9820779873</v>
      </c>
      <c r="G261" t="str">
        <f>_xlfn.IFNA(VLOOKUP(C261,CallLog_Latest!A:H,8,FALSE),"")</f>
        <v/>
      </c>
      <c r="H261" t="str">
        <f>VLOOKUP(C261,[1]Sheet1!$F:$H,3,FALSE)</f>
        <v>14-B  Madhurima 4th Floor  M.G.Road</v>
      </c>
    </row>
    <row r="262" spans="1:8" x14ac:dyDescent="0.25">
      <c r="A262" t="s">
        <v>1337</v>
      </c>
      <c r="B262" t="s">
        <v>305</v>
      </c>
      <c r="C262">
        <v>9821268271</v>
      </c>
      <c r="D262" t="str">
        <f>_xlfn.IFNA(VLOOKUP(C262,UpdateLogToUse!A:D,4,FALSE),"Not Called")</f>
        <v>Not Called</v>
      </c>
      <c r="E262" t="str">
        <f>IF(ISNA(VLOOKUP(C262,Registration!A:A,1,FALSE)),"Not Registered","Registered")</f>
        <v>Not Registered</v>
      </c>
      <c r="F262">
        <f>VLOOKUP(A262,'Karykarta List'!A:B,2,FALSE)</f>
        <v>9820130862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77</v>
      </c>
      <c r="B263" t="s">
        <v>306</v>
      </c>
      <c r="C263">
        <v>9327252521</v>
      </c>
      <c r="D263" t="str">
        <f>_xlfn.IFNA(VLOOKUP(C263,UpdateLogToUse!A:D,4,FALSE),"Not Called")</f>
        <v>Not Called</v>
      </c>
      <c r="E263" t="str">
        <f>IF(ISNA(VLOOKUP(C263,Registration!A:A,1,FALSE)),"Not Registered","Registered")</f>
        <v>Not Registered</v>
      </c>
      <c r="F263">
        <f>VLOOKUP(A263,'Karykarta List'!A:B,2,FALSE)</f>
        <v>9029105124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70</v>
      </c>
      <c r="B264" t="s">
        <v>307</v>
      </c>
      <c r="C264">
        <v>9004255553</v>
      </c>
      <c r="D264" t="str">
        <f>_xlfn.IFNA(VLOOKUP(C264,UpdateLogToUse!A:D,4,FALSE),"Not Called")</f>
        <v>Confirmed Presence</v>
      </c>
      <c r="E264" t="str">
        <f>IF(ISNA(VLOOKUP(C264,Registration!A:A,1,FALSE)),"Not Registered","Registered")</f>
        <v>Not Registered</v>
      </c>
      <c r="F264">
        <f>VLOOKUP(A264,'Karykarta List'!A:B,2,FALSE)</f>
        <v>9405263833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81</v>
      </c>
      <c r="B265" t="s">
        <v>308</v>
      </c>
      <c r="C265">
        <v>9930459981</v>
      </c>
      <c r="D265" t="str">
        <f>_xlfn.IFNA(VLOOKUP(C265,UpdateLogToUse!A:D,4,FALSE),"Not Called")</f>
        <v>Confirmed Presence</v>
      </c>
      <c r="E265" t="str">
        <f>IF(ISNA(VLOOKUP(C265,Registration!A:A,1,FALSE)),"Not Registered","Registered")</f>
        <v>Not Registered</v>
      </c>
      <c r="F265">
        <f>VLOOKUP(A265,'Karykarta List'!A:B,2,FALSE)</f>
        <v>9824100412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23</v>
      </c>
      <c r="B266" t="s">
        <v>309</v>
      </c>
      <c r="C266">
        <v>9820246617</v>
      </c>
      <c r="D266" t="str">
        <f>_xlfn.IFNA(VLOOKUP(C266,UpdateLogToUse!A:D,4,FALSE),"Not Called")</f>
        <v>Not Called</v>
      </c>
      <c r="E266" t="str">
        <f>IF(ISNA(VLOOKUP(C266,Registration!A:A,1,FALSE)),"Not Registered","Registered")</f>
        <v>Not Registered</v>
      </c>
      <c r="F266">
        <f>VLOOKUP(A266,'Karykarta List'!A:B,2,FALSE)</f>
        <v>7977439717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41</v>
      </c>
      <c r="B267" t="s">
        <v>310</v>
      </c>
      <c r="C267">
        <v>9869461088</v>
      </c>
      <c r="D267" t="str">
        <f>_xlfn.IFNA(VLOOKUP(C267,UpdateLogToUse!A:D,4,FALSE),"Not Called")</f>
        <v>Not Called</v>
      </c>
      <c r="E267" t="str">
        <f>IF(ISNA(VLOOKUP(C267,Registration!A:A,1,FALSE)),"Not Registered","Registered")</f>
        <v>Not Registered</v>
      </c>
      <c r="F267">
        <f>VLOOKUP(A267,'Karykarta List'!A:B,2,FALSE)</f>
        <v>8058973809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797</v>
      </c>
      <c r="B268" t="s">
        <v>311</v>
      </c>
      <c r="C268">
        <v>9930770867</v>
      </c>
      <c r="D268" t="str">
        <f>_xlfn.IFNA(VLOOKUP(C268,UpdateLogToUse!A:D,4,FALSE),"Not Called")</f>
        <v>May be Attending</v>
      </c>
      <c r="E268" t="str">
        <f>IF(ISNA(VLOOKUP(C268,Registration!A:A,1,FALSE)),"Not Registered","Registered")</f>
        <v>Not Registered</v>
      </c>
      <c r="F268">
        <f>VLOOKUP(A268,'Karykarta List'!A:B,2,FALSE)</f>
        <v>9320309630</v>
      </c>
      <c r="G268" t="str">
        <f>_xlfn.IFNA(VLOOKUP(C268,CallLog_Latest!A:H,8,FALSE),"")</f>
        <v/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785</v>
      </c>
      <c r="B269" t="s">
        <v>312</v>
      </c>
      <c r="C269">
        <v>8823915926</v>
      </c>
      <c r="D269" t="str">
        <f>_xlfn.IFNA(VLOOKUP(C269,UpdateLogToUse!A:D,4,FALSE),"Not Called")</f>
        <v>Not Reachable</v>
      </c>
      <c r="E269" t="str">
        <f>IF(ISNA(VLOOKUP(C269,Registration!A:A,1,FALSE)),"Not Registered","Registered")</f>
        <v>Not Registered</v>
      </c>
      <c r="F269">
        <f>VLOOKUP(A269,'Karykarta List'!A:B,2,FALSE)</f>
        <v>9321532327</v>
      </c>
      <c r="G269" t="str">
        <f>_xlfn.IFNA(VLOOKUP(C269,CallLog_Latest!A:H,8,FALSE),"")</f>
        <v/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83</v>
      </c>
      <c r="B270" t="s">
        <v>313</v>
      </c>
      <c r="C270">
        <v>9821377487</v>
      </c>
      <c r="D270" t="str">
        <f>_xlfn.IFNA(VLOOKUP(C270,UpdateLogToUse!A:D,4,FALSE),"Not Called")</f>
        <v>May be Attending</v>
      </c>
      <c r="E270" t="str">
        <f>IF(ISNA(VLOOKUP(C270,Registration!A:A,1,FALSE)),"Not Registered","Registered")</f>
        <v>Not Registered</v>
      </c>
      <c r="F270">
        <f>VLOOKUP(A270,'Karykarta List'!A:B,2,FALSE)</f>
        <v>9225211083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799</v>
      </c>
      <c r="B271" t="s">
        <v>314</v>
      </c>
      <c r="C271">
        <v>9819884085</v>
      </c>
      <c r="D271" t="str">
        <f>_xlfn.IFNA(VLOOKUP(C271,UpdateLogToUse!A:D,4,FALSE),"Not Called")</f>
        <v>Not Reachable</v>
      </c>
      <c r="E271" t="str">
        <f>IF(ISNA(VLOOKUP(C271,Registration!A:A,1,FALSE)),"Not Registered","Registered")</f>
        <v>Not Registered</v>
      </c>
      <c r="F271">
        <f>VLOOKUP(A271,'Karykarta List'!A:B,2,FALSE)</f>
        <v>9324233820</v>
      </c>
      <c r="G271" t="str">
        <f>_xlfn.IFNA(VLOOKUP(C271,CallLog_Latest!A:H,8,FALSE),"")</f>
        <v/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805</v>
      </c>
      <c r="B272" t="s">
        <v>315</v>
      </c>
      <c r="C272">
        <v>9820459261</v>
      </c>
      <c r="D272" t="str">
        <f>_xlfn.IFNA(VLOOKUP(C272,UpdateLogToUse!A:D,4,FALSE),"Not Called")</f>
        <v>Not Called</v>
      </c>
      <c r="E272" t="str">
        <f>IF(ISNA(VLOOKUP(C272,Registration!A:A,1,FALSE)),"Not Registered","Registered")</f>
        <v>Not Registered</v>
      </c>
      <c r="F272">
        <f>VLOOKUP(A272,'Karykarta List'!A:B,2,FALSE)</f>
        <v>9320770849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95</v>
      </c>
      <c r="B273" t="s">
        <v>316</v>
      </c>
      <c r="C273">
        <v>9869632416</v>
      </c>
      <c r="D273" t="str">
        <f>_xlfn.IFNA(VLOOKUP(C273,UpdateLogToUse!A:D,4,FALSE),"Not Called")</f>
        <v>Not Called</v>
      </c>
      <c r="E273" t="str">
        <f>IF(ISNA(VLOOKUP(C273,Registration!A:A,1,FALSE)),"Not Registered","Registered")</f>
        <v>Not Registered</v>
      </c>
      <c r="F273">
        <f>VLOOKUP(A273,'Karykarta List'!A:B,2,FALSE)</f>
        <v>9424584007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55</v>
      </c>
      <c r="B274" t="s">
        <v>317</v>
      </c>
      <c r="C274">
        <v>9702560544</v>
      </c>
      <c r="D274" t="str">
        <f>_xlfn.IFNA(VLOOKUP(C274,UpdateLogToUse!A:D,4,FALSE),"Not Called")</f>
        <v>Not Called</v>
      </c>
      <c r="E274" t="str">
        <f>IF(ISNA(VLOOKUP(C274,Registration!A:A,1,FALSE)),"Not Registered","Registered")</f>
        <v>Not Registered</v>
      </c>
      <c r="F274">
        <f>VLOOKUP(A274,'Karykarta List'!A:B,2,FALSE)</f>
        <v>9819083540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29</v>
      </c>
      <c r="B275" t="s">
        <v>318</v>
      </c>
      <c r="C275">
        <v>9324802364</v>
      </c>
      <c r="D275" t="str">
        <f>_xlfn.IFNA(VLOOKUP(C275,UpdateLogToUse!A:D,4,FALSE),"Not Called")</f>
        <v>Not Called</v>
      </c>
      <c r="E275" t="str">
        <f>IF(ISNA(VLOOKUP(C275,Registration!A:A,1,FALSE)),"Not Registered","Registered")</f>
        <v>Not Registered</v>
      </c>
      <c r="F275">
        <f>VLOOKUP(A275,'Karykarta List'!A:B,2,FALSE)</f>
        <v>9819364345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1306</v>
      </c>
      <c r="B276" t="s">
        <v>319</v>
      </c>
      <c r="C276">
        <v>9820550154</v>
      </c>
      <c r="D276" t="str">
        <f>_xlfn.IFNA(VLOOKUP(C276,UpdateLogToUse!A:D,4,FALSE),"Not Called")</f>
        <v>Confirmed Presence</v>
      </c>
      <c r="E276" t="str">
        <f>IF(ISNA(VLOOKUP(C276,Registration!A:A,1,FALSE)),"Not Registered","Registered")</f>
        <v>Not Registered</v>
      </c>
      <c r="F276">
        <f>VLOOKUP(A276,'Karykarta List'!A:B,2,FALSE)</f>
        <v>7977147591</v>
      </c>
      <c r="G276" t="str">
        <f>_xlfn.IFNA(VLOOKUP(C276,CallLog_Latest!A:H,8,FALSE),"")</f>
        <v/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789</v>
      </c>
      <c r="B277" t="s">
        <v>320</v>
      </c>
      <c r="C277">
        <v>9930868776</v>
      </c>
      <c r="D277" t="str">
        <f>_xlfn.IFNA(VLOOKUP(C277,UpdateLogToUse!A:D,4,FALSE),"Not Called")</f>
        <v>Confirmed Presence</v>
      </c>
      <c r="E277" t="str">
        <f>IF(ISNA(VLOOKUP(C277,Registration!A:A,1,FALSE)),"Not Registered","Registered")</f>
        <v>Not Registered</v>
      </c>
      <c r="F277">
        <f>VLOOKUP(A277,'Karykarta List'!A:B,2,FALSE)</f>
        <v>9702260383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11</v>
      </c>
      <c r="B278" t="s">
        <v>321</v>
      </c>
      <c r="C278">
        <v>9820550153</v>
      </c>
      <c r="D278" t="str">
        <f>_xlfn.IFNA(VLOOKUP(C278,UpdateLogToUse!A:D,4,FALSE),"Not Called")</f>
        <v>Not Called</v>
      </c>
      <c r="E278" t="str">
        <f>IF(ISNA(VLOOKUP(C278,Registration!A:A,1,FALSE)),"Not Registered","Registered")</f>
        <v>Not Registered</v>
      </c>
      <c r="F278">
        <f>VLOOKUP(A278,'Karykarta List'!A:B,2,FALSE)</f>
        <v>9322598681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1308</v>
      </c>
      <c r="B279" t="s">
        <v>322</v>
      </c>
      <c r="C279">
        <v>9819621190</v>
      </c>
      <c r="D279" t="str">
        <f>_xlfn.IFNA(VLOOKUP(C279,UpdateLogToUse!A:D,4,FALSE),"Not Called")</f>
        <v>Confirmed Presence</v>
      </c>
      <c r="E279" t="str">
        <f>IF(ISNA(VLOOKUP(C279,Registration!A:A,1,FALSE)),"Not Registered","Registered")</f>
        <v>Not Registered</v>
      </c>
      <c r="F279">
        <f>VLOOKUP(A279,'Karykarta List'!A:B,2,FALSE)</f>
        <v>9022922620</v>
      </c>
      <c r="G279" t="str">
        <f>_xlfn.IFNA(VLOOKUP(C279,CallLog_Latest!A:H,8,FALSE),"")</f>
        <v/>
      </c>
      <c r="H279" t="str">
        <f>VLOOKUP(C279,[1]Sheet1!$F:$H,3,FALSE)</f>
        <v>C-41  Sitasadan  New Saibaba Nagar</v>
      </c>
    </row>
    <row r="280" spans="1:8" x14ac:dyDescent="0.25">
      <c r="A280" t="s">
        <v>39</v>
      </c>
      <c r="B280" t="s">
        <v>323</v>
      </c>
      <c r="C280">
        <v>9820858454</v>
      </c>
      <c r="D280" t="str">
        <f>_xlfn.IFNA(VLOOKUP(C280,UpdateLogToUse!A:D,4,FALSE),"Not Called")</f>
        <v>Confirmed Presence</v>
      </c>
      <c r="E280" t="str">
        <f>IF(ISNA(VLOOKUP(C280,Registration!A:A,1,FALSE)),"Not Registered","Registered")</f>
        <v>Not Registered</v>
      </c>
      <c r="F280">
        <f>VLOOKUP(A280,'Karykarta List'!A:B,2,FALSE)</f>
        <v>9820505363</v>
      </c>
      <c r="G280" t="str">
        <f>_xlfn.IFNA(VLOOKUP(C280,CallLog_Latest!A:H,8,FALSE),"")</f>
        <v/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21</v>
      </c>
      <c r="B281" t="s">
        <v>324</v>
      </c>
      <c r="C281">
        <v>9833157877</v>
      </c>
      <c r="D281" t="str">
        <f>_xlfn.IFNA(VLOOKUP(C281,UpdateLogToUse!A:D,4,FALSE),"Not Called")</f>
        <v>Not Called</v>
      </c>
      <c r="E281" t="str">
        <f>IF(ISNA(VLOOKUP(C281,Registration!A:A,1,FALSE)),"Not Registered","Registered")</f>
        <v>Not Registered</v>
      </c>
      <c r="F281">
        <f>VLOOKUP(A281,'Karykarta List'!A:B,2,FALSE)</f>
        <v>9820636392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31</v>
      </c>
      <c r="B282" t="s">
        <v>325</v>
      </c>
      <c r="C282">
        <v>9167730854</v>
      </c>
      <c r="D282" t="str">
        <f>_xlfn.IFNA(VLOOKUP(C282,UpdateLogToUse!A:D,4,FALSE),"Not Called")</f>
        <v>Not Reachable</v>
      </c>
      <c r="E282" t="str">
        <f>IF(ISNA(VLOOKUP(C282,Registration!A:A,1,FALSE)),"Not Registered","Registered")</f>
        <v>Not Registered</v>
      </c>
      <c r="F282">
        <f>VLOOKUP(A282,'Karykarta List'!A:B,2,FALSE)</f>
        <v>9869064553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49</v>
      </c>
      <c r="B283" t="s">
        <v>326</v>
      </c>
      <c r="C283">
        <v>9323908004</v>
      </c>
      <c r="D283" t="str">
        <f>_xlfn.IFNA(VLOOKUP(C283,UpdateLogToUse!A:D,4,FALSE),"Not Called")</f>
        <v>Not Reachable</v>
      </c>
      <c r="E283" t="str">
        <f>IF(ISNA(VLOOKUP(C283,Registration!A:A,1,FALSE)),"Not Registered","Registered")</f>
        <v>Not Registered</v>
      </c>
      <c r="F283">
        <f>VLOOKUP(A283,'Karykarta List'!A:B,2,FALSE)</f>
        <v>9322206108</v>
      </c>
      <c r="G283" t="str">
        <f>_xlfn.IFNA(VLOOKUP(C283,CallLog_Latest!A:H,8,FALSE),"")</f>
        <v/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35</v>
      </c>
      <c r="B284" t="s">
        <v>327</v>
      </c>
      <c r="C284">
        <v>9820865215</v>
      </c>
      <c r="D284" t="str">
        <f>_xlfn.IFNA(VLOOKUP(C284,UpdateLogToUse!A:D,4,FALSE),"Not Called")</f>
        <v>Not Called</v>
      </c>
      <c r="E284" t="str">
        <f>IF(ISNA(VLOOKUP(C284,Registration!A:A,1,FALSE)),"Not Registered","Registered")</f>
        <v>Not Registered</v>
      </c>
      <c r="F284">
        <f>VLOOKUP(A284,'Karykarta List'!A:B,2,FALSE)</f>
        <v>9833705425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17</v>
      </c>
      <c r="B285" t="s">
        <v>328</v>
      </c>
      <c r="C285">
        <v>9930996695</v>
      </c>
      <c r="D285" t="str">
        <f>_xlfn.IFNA(VLOOKUP(C285,UpdateLogToUse!A:D,4,FALSE),"Not Called")</f>
        <v>Not Called</v>
      </c>
      <c r="E285" t="str">
        <f>IF(ISNA(VLOOKUP(C285,Registration!A:A,1,FALSE)),"Not Registered","Registered")</f>
        <v>Not Registered</v>
      </c>
      <c r="F285">
        <f>VLOOKUP(A285,'Karykarta List'!A:B,2,FALSE)</f>
        <v>9869798705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23</v>
      </c>
      <c r="B286" t="s">
        <v>329</v>
      </c>
      <c r="C286">
        <v>9930175944</v>
      </c>
      <c r="D286" t="str">
        <f>_xlfn.IFNA(VLOOKUP(C286,UpdateLogToUse!A:D,4,FALSE),"Not Called")</f>
        <v>Not Called</v>
      </c>
      <c r="E286" t="str">
        <f>IF(ISNA(VLOOKUP(C286,Registration!A:A,1,FALSE)),"Not Registered","Registered")</f>
        <v>Not Registered</v>
      </c>
      <c r="F286">
        <f>VLOOKUP(A286,'Karykarta List'!A:B,2,FALSE)</f>
        <v>7977439717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43</v>
      </c>
      <c r="B287" t="s">
        <v>330</v>
      </c>
      <c r="C287">
        <v>9867399388</v>
      </c>
      <c r="D287" t="str">
        <f>_xlfn.IFNA(VLOOKUP(C287,UpdateLogToUse!A:D,4,FALSE),"Not Called")</f>
        <v>Not Called</v>
      </c>
      <c r="E287" t="str">
        <f>IF(ISNA(VLOOKUP(C287,Registration!A:A,1,FALSE)),"Not Registered","Registered")</f>
        <v>Not Registered</v>
      </c>
      <c r="F287">
        <f>VLOOKUP(A287,'Karykarta List'!A:B,2,FALSE)</f>
        <v>9320683201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57</v>
      </c>
      <c r="B288" t="s">
        <v>331</v>
      </c>
      <c r="C288">
        <v>9869063440</v>
      </c>
      <c r="D288" t="str">
        <f>_xlfn.IFNA(VLOOKUP(C288,UpdateLogToUse!A:D,4,FALSE),"Not Called")</f>
        <v>Not Called</v>
      </c>
      <c r="E288" t="str">
        <f>IF(ISNA(VLOOKUP(C288,Registration!A:A,1,FALSE)),"Not Registered","Registered")</f>
        <v>Not Registered</v>
      </c>
      <c r="F288">
        <f>VLOOKUP(A288,'Karykarta List'!A:B,2,FALSE)</f>
        <v>9101910341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72</v>
      </c>
      <c r="B289" t="s">
        <v>332</v>
      </c>
      <c r="C289">
        <v>9819700400</v>
      </c>
      <c r="D289" t="str">
        <f>_xlfn.IFNA(VLOOKUP(C289,UpdateLogToUse!A:D,4,FALSE),"Not Called")</f>
        <v>Confirmed Presence</v>
      </c>
      <c r="E289" t="str">
        <f>IF(ISNA(VLOOKUP(C289,Registration!A:A,1,FALSE)),"Not Registered","Registered")</f>
        <v>Not Registered</v>
      </c>
      <c r="F289">
        <f>VLOOKUP(A289,'Karykarta List'!A:B,2,FALSE)</f>
        <v>8879433174</v>
      </c>
      <c r="G289" t="str">
        <f>_xlfn.IFNA(VLOOKUP(C289,CallLog_Latest!A:H,8,FALSE),"")</f>
        <v/>
      </c>
      <c r="H289" t="str">
        <f>VLOOKUP(C289,[1]Sheet1!$F:$H,3,FALSE)</f>
        <v>F-901  Orchid Suburbia Link Road</v>
      </c>
    </row>
    <row r="290" spans="1:8" x14ac:dyDescent="0.25">
      <c r="A290" t="s">
        <v>60</v>
      </c>
      <c r="B290" t="s">
        <v>333</v>
      </c>
      <c r="C290">
        <v>9321116465</v>
      </c>
      <c r="D290" t="str">
        <f>_xlfn.IFNA(VLOOKUP(C290,UpdateLogToUse!A:D,4,FALSE),"Not Called")</f>
        <v>Not Called</v>
      </c>
      <c r="E290" t="str">
        <f>IF(ISNA(VLOOKUP(C290,Registration!A:A,1,FALSE)),"Not Registered","Registered")</f>
        <v>Not Registered</v>
      </c>
      <c r="F290">
        <f>VLOOKUP(A290,'Karykarta List'!A:B,2,FALSE)</f>
        <v>9820779873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1337</v>
      </c>
      <c r="B291" t="s">
        <v>334</v>
      </c>
      <c r="C291">
        <v>9833069716</v>
      </c>
      <c r="D291" t="str">
        <f>_xlfn.IFNA(VLOOKUP(C291,UpdateLogToUse!A:D,4,FALSE),"Not Called")</f>
        <v>Not Called</v>
      </c>
      <c r="E291" t="str">
        <f>IF(ISNA(VLOOKUP(C291,Registration!A:A,1,FALSE)),"Not Registered","Registered")</f>
        <v>Not Registered</v>
      </c>
      <c r="F291">
        <f>VLOOKUP(A291,'Karykarta List'!A:B,2,FALSE)</f>
        <v>9820130862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77</v>
      </c>
      <c r="B292" t="s">
        <v>335</v>
      </c>
      <c r="C292">
        <v>7498489065</v>
      </c>
      <c r="D292" t="str">
        <f>_xlfn.IFNA(VLOOKUP(C292,UpdateLogToUse!A:D,4,FALSE),"Not Called")</f>
        <v>Not Called</v>
      </c>
      <c r="E292" t="str">
        <f>IF(ISNA(VLOOKUP(C292,Registration!A:A,1,FALSE)),"Not Registered","Registered")</f>
        <v>Not Registered</v>
      </c>
      <c r="F292">
        <f>VLOOKUP(A292,'Karykarta List'!A:B,2,FALSE)</f>
        <v>9029105124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70</v>
      </c>
      <c r="B293" t="s">
        <v>336</v>
      </c>
      <c r="C293">
        <v>9892859889</v>
      </c>
      <c r="D293" t="str">
        <f>_xlfn.IFNA(VLOOKUP(C293,UpdateLogToUse!A:D,4,FALSE),"Not Called")</f>
        <v>Not Called</v>
      </c>
      <c r="E293" t="str">
        <f>IF(ISNA(VLOOKUP(C293,Registration!A:A,1,FALSE)),"Not Registered","Registered")</f>
        <v>Not Registered</v>
      </c>
      <c r="F293">
        <f>VLOOKUP(A293,'Karykarta List'!A:B,2,FALSE)</f>
        <v>9405263833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81</v>
      </c>
      <c r="B294" t="s">
        <v>337</v>
      </c>
      <c r="C294">
        <v>9702512632</v>
      </c>
      <c r="D294" t="str">
        <f>_xlfn.IFNA(VLOOKUP(C294,UpdateLogToUse!A:D,4,FALSE),"Not Called")</f>
        <v>Not Coming</v>
      </c>
      <c r="E294" t="str">
        <f>IF(ISNA(VLOOKUP(C294,Registration!A:A,1,FALSE)),"Not Registered","Registered")</f>
        <v>Not Registered</v>
      </c>
      <c r="F294">
        <f>VLOOKUP(A294,'Karykarta List'!A:B,2,FALSE)</f>
        <v>9824100412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23</v>
      </c>
      <c r="B295" t="s">
        <v>338</v>
      </c>
      <c r="C295">
        <v>8976639294</v>
      </c>
      <c r="D295" t="str">
        <f>_xlfn.IFNA(VLOOKUP(C295,UpdateLogToUse!A:D,4,FALSE),"Not Called")</f>
        <v>Not Called</v>
      </c>
      <c r="E295" t="str">
        <f>IF(ISNA(VLOOKUP(C295,Registration!A:A,1,FALSE)),"Not Registered","Registered")</f>
        <v>Not Registered</v>
      </c>
      <c r="F295">
        <f>VLOOKUP(A295,'Karykarta List'!A:B,2,FALSE)</f>
        <v>7977439717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41</v>
      </c>
      <c r="B296" t="s">
        <v>339</v>
      </c>
      <c r="C296">
        <v>9022173050</v>
      </c>
      <c r="D296" t="str">
        <f>_xlfn.IFNA(VLOOKUP(C296,UpdateLogToUse!A:D,4,FALSE),"Not Called")</f>
        <v>Not Called</v>
      </c>
      <c r="E296" t="str">
        <f>IF(ISNA(VLOOKUP(C296,Registration!A:A,1,FALSE)),"Not Registered","Registered")</f>
        <v>Not Registered</v>
      </c>
      <c r="F296">
        <f>VLOOKUP(A296,'Karykarta List'!A:B,2,FALSE)</f>
        <v>8058973809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797</v>
      </c>
      <c r="B297" t="s">
        <v>340</v>
      </c>
      <c r="C297">
        <v>9820164386</v>
      </c>
      <c r="D297" t="str">
        <f>_xlfn.IFNA(VLOOKUP(C297,UpdateLogToUse!A:D,4,FALSE),"Not Called")</f>
        <v>Confirmed Presence</v>
      </c>
      <c r="E297" t="str">
        <f>IF(ISNA(VLOOKUP(C297,Registration!A:A,1,FALSE)),"Not Registered","Registered")</f>
        <v>Not Registered</v>
      </c>
      <c r="F297">
        <f>VLOOKUP(A297,'Karykarta List'!A:B,2,FALSE)</f>
        <v>9320309630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785</v>
      </c>
      <c r="B298" t="s">
        <v>341</v>
      </c>
      <c r="C298">
        <v>9820994142</v>
      </c>
      <c r="D298" t="str">
        <f>_xlfn.IFNA(VLOOKUP(C298,UpdateLogToUse!A:D,4,FALSE),"Not Called")</f>
        <v>Not Called</v>
      </c>
      <c r="E298" t="str">
        <f>IF(ISNA(VLOOKUP(C298,Registration!A:A,1,FALSE)),"Not Registered","Registered")</f>
        <v>Not Registered</v>
      </c>
      <c r="F298">
        <f>VLOOKUP(A298,'Karykarta List'!A:B,2,FALSE)</f>
        <v>9321532327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83</v>
      </c>
      <c r="B299" t="s">
        <v>342</v>
      </c>
      <c r="C299">
        <v>9320002281</v>
      </c>
      <c r="D299" t="str">
        <f>_xlfn.IFNA(VLOOKUP(C299,UpdateLogToUse!A:D,4,FALSE),"Not Called")</f>
        <v>Not Called</v>
      </c>
      <c r="E299" t="str">
        <f>IF(ISNA(VLOOKUP(C299,Registration!A:A,1,FALSE)),"Not Registered","Registered")</f>
        <v>Not Registered</v>
      </c>
      <c r="F299">
        <f>VLOOKUP(A299,'Karykarta List'!A:B,2,FALSE)</f>
        <v>9225211083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799</v>
      </c>
      <c r="B300" t="s">
        <v>343</v>
      </c>
      <c r="C300">
        <v>9820744204</v>
      </c>
      <c r="D300" t="str">
        <f>_xlfn.IFNA(VLOOKUP(C300,UpdateLogToUse!A:D,4,FALSE),"Not Called")</f>
        <v>Not Reachable</v>
      </c>
      <c r="E300" t="str">
        <f>IF(ISNA(VLOOKUP(C300,Registration!A:A,1,FALSE)),"Not Registered","Registered")</f>
        <v>Not Registered</v>
      </c>
      <c r="F300">
        <f>VLOOKUP(A300,'Karykarta List'!A:B,2,FALSE)</f>
        <v>9324233820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805</v>
      </c>
      <c r="B301" t="s">
        <v>344</v>
      </c>
      <c r="C301">
        <v>9869000126</v>
      </c>
      <c r="D301" t="str">
        <f>_xlfn.IFNA(VLOOKUP(C301,UpdateLogToUse!A:D,4,FALSE),"Not Called")</f>
        <v>Not Called</v>
      </c>
      <c r="E301" t="str">
        <f>IF(ISNA(VLOOKUP(C301,Registration!A:A,1,FALSE)),"Not Registered","Registered")</f>
        <v>Not Registered</v>
      </c>
      <c r="F301">
        <f>VLOOKUP(A301,'Karykarta List'!A:B,2,FALSE)</f>
        <v>9320770849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95</v>
      </c>
      <c r="B302" t="s">
        <v>345</v>
      </c>
      <c r="C302">
        <v>9821327987</v>
      </c>
      <c r="D302" t="str">
        <f>_xlfn.IFNA(VLOOKUP(C302,UpdateLogToUse!A:D,4,FALSE),"Not Called")</f>
        <v>Not Called</v>
      </c>
      <c r="E302" t="str">
        <f>IF(ISNA(VLOOKUP(C302,Registration!A:A,1,FALSE)),"Not Registered","Registered")</f>
        <v>Not Registered</v>
      </c>
      <c r="F302">
        <f>VLOOKUP(A302,'Karykarta List'!A:B,2,FALSE)</f>
        <v>9424584007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55</v>
      </c>
      <c r="B303" t="s">
        <v>346</v>
      </c>
      <c r="C303">
        <v>9322366700</v>
      </c>
      <c r="D303" t="str">
        <f>_xlfn.IFNA(VLOOKUP(C303,UpdateLogToUse!A:D,4,FALSE),"Not Called")</f>
        <v>Not Called</v>
      </c>
      <c r="E303" t="str">
        <f>IF(ISNA(VLOOKUP(C303,Registration!A:A,1,FALSE)),"Not Registered","Registered")</f>
        <v>Not Registered</v>
      </c>
      <c r="F303">
        <f>VLOOKUP(A303,'Karykarta List'!A:B,2,FALSE)</f>
        <v>9819083540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29</v>
      </c>
      <c r="B304" t="s">
        <v>347</v>
      </c>
      <c r="C304">
        <v>9324698060</v>
      </c>
      <c r="D304" t="str">
        <f>_xlfn.IFNA(VLOOKUP(C304,UpdateLogToUse!A:D,4,FALSE),"Not Called")</f>
        <v>Confirmed Presence</v>
      </c>
      <c r="E304" t="str">
        <f>IF(ISNA(VLOOKUP(C304,Registration!A:A,1,FALSE)),"Not Registered","Registered")</f>
        <v>Not Registered</v>
      </c>
      <c r="F304">
        <f>VLOOKUP(A304,'Karykarta List'!A:B,2,FALSE)</f>
        <v>9819364345</v>
      </c>
      <c r="G304" t="str">
        <f>_xlfn.IFNA(VLOOKUP(C304,CallLog_Latest!A:H,8,FALSE),"")</f>
        <v/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1306</v>
      </c>
      <c r="B305" t="s">
        <v>348</v>
      </c>
      <c r="C305">
        <v>9821692529</v>
      </c>
      <c r="D305" t="str">
        <f>_xlfn.IFNA(VLOOKUP(C305,UpdateLogToUse!A:D,4,FALSE),"Not Called")</f>
        <v>Confirmed Presence</v>
      </c>
      <c r="E305" t="str">
        <f>IF(ISNA(VLOOKUP(C305,Registration!A:A,1,FALSE)),"Not Registered","Registered")</f>
        <v>Not Registered</v>
      </c>
      <c r="F305">
        <f>VLOOKUP(A305,'Karykarta List'!A:B,2,FALSE)</f>
        <v>7977147591</v>
      </c>
      <c r="G305" t="str">
        <f>_xlfn.IFNA(VLOOKUP(C305,CallLog_Latest!A:H,8,FALSE),"")</f>
        <v/>
      </c>
      <c r="H305" t="str">
        <f>VLOOKUP(C305,[1]Sheet1!$F:$H,3,FALSE)</f>
        <v>B-307, Raj Arcade, Mahavir Nagar, Kandivali (W</v>
      </c>
    </row>
    <row r="306" spans="1:8" x14ac:dyDescent="0.25">
      <c r="A306" t="s">
        <v>789</v>
      </c>
      <c r="B306" t="s">
        <v>349</v>
      </c>
      <c r="C306">
        <v>9867156354</v>
      </c>
      <c r="D306" t="str">
        <f>_xlfn.IFNA(VLOOKUP(C306,UpdateLogToUse!A:D,4,FALSE),"Not Called")</f>
        <v>Not Called</v>
      </c>
      <c r="E306" t="str">
        <f>IF(ISNA(VLOOKUP(C306,Registration!A:A,1,FALSE)),"Not Registered","Registered")</f>
        <v>Not Registered</v>
      </c>
      <c r="F306">
        <f>VLOOKUP(A306,'Karykarta List'!A:B,2,FALSE)</f>
        <v>9702260383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11</v>
      </c>
      <c r="B307" t="s">
        <v>350</v>
      </c>
      <c r="C307">
        <v>9867226419</v>
      </c>
      <c r="D307" t="str">
        <f>_xlfn.IFNA(VLOOKUP(C307,UpdateLogToUse!A:D,4,FALSE),"Not Called")</f>
        <v>Not Called</v>
      </c>
      <c r="E307" t="str">
        <f>IF(ISNA(VLOOKUP(C307,Registration!A:A,1,FALSE)),"Not Registered","Registered")</f>
        <v>Not Registered</v>
      </c>
      <c r="F307">
        <f>VLOOKUP(A307,'Karykarta List'!A:B,2,FALSE)</f>
        <v>9322598681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1308</v>
      </c>
      <c r="B308" t="s">
        <v>351</v>
      </c>
      <c r="C308">
        <v>9820444531</v>
      </c>
      <c r="D308" t="str">
        <f>_xlfn.IFNA(VLOOKUP(C308,UpdateLogToUse!A:D,4,FALSE),"Not Called")</f>
        <v>May be Attending</v>
      </c>
      <c r="E308" t="str">
        <f>IF(ISNA(VLOOKUP(C308,Registration!A:A,1,FALSE)),"Not Registered","Registered")</f>
        <v>Not Registered</v>
      </c>
      <c r="F308">
        <f>VLOOKUP(A308,'Karykarta List'!A:B,2,FALSE)</f>
        <v>9022922620</v>
      </c>
      <c r="G308" t="str">
        <f>_xlfn.IFNA(VLOOKUP(C308,CallLog_Latest!A:H,8,FALSE),"")</f>
        <v/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39</v>
      </c>
      <c r="B309" t="s">
        <v>352</v>
      </c>
      <c r="C309">
        <v>9323188245</v>
      </c>
      <c r="D309" t="str">
        <f>_xlfn.IFNA(VLOOKUP(C309,UpdateLogToUse!A:D,4,FALSE),"Not Called")</f>
        <v>May be Attending</v>
      </c>
      <c r="E309" t="str">
        <f>IF(ISNA(VLOOKUP(C309,Registration!A:A,1,FALSE)),"Not Registered","Registered")</f>
        <v>Not Registered</v>
      </c>
      <c r="F309">
        <f>VLOOKUP(A309,'Karykarta List'!A:B,2,FALSE)</f>
        <v>9820505363</v>
      </c>
      <c r="G309" t="str">
        <f>_xlfn.IFNA(VLOOKUP(C309,CallLog_Latest!A:H,8,FALSE),"")</f>
        <v/>
      </c>
      <c r="H309" t="str">
        <f>VLOOKUP(C309,[1]Sheet1!$F:$H,3,FALSE)</f>
        <v>V-102  Shubham CHS Near  Ganesh Chowk Kandivali</v>
      </c>
    </row>
    <row r="310" spans="1:8" x14ac:dyDescent="0.25">
      <c r="A310" t="s">
        <v>21</v>
      </c>
      <c r="B310" t="s">
        <v>353</v>
      </c>
      <c r="C310">
        <v>9819183207</v>
      </c>
      <c r="D310" t="str">
        <f>_xlfn.IFNA(VLOOKUP(C310,UpdateLogToUse!A:D,4,FALSE),"Not Called")</f>
        <v>Not Called</v>
      </c>
      <c r="E310" t="str">
        <f>IF(ISNA(VLOOKUP(C310,Registration!A:A,1,FALSE)),"Not Registered","Registered")</f>
        <v>Not Registered</v>
      </c>
      <c r="F310">
        <f>VLOOKUP(A310,'Karykarta List'!A:B,2,FALSE)</f>
        <v>9820636392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31</v>
      </c>
      <c r="B311" t="s">
        <v>354</v>
      </c>
      <c r="C311">
        <v>9987026732</v>
      </c>
      <c r="D311" t="str">
        <f>_xlfn.IFNA(VLOOKUP(C311,UpdateLogToUse!A:D,4,FALSE),"Not Called")</f>
        <v>Confirmed Presence</v>
      </c>
      <c r="E311" t="str">
        <f>IF(ISNA(VLOOKUP(C311,Registration!A:A,1,FALSE)),"Not Registered","Registered")</f>
        <v>Not Registered</v>
      </c>
      <c r="F311">
        <f>VLOOKUP(A311,'Karykarta List'!A:B,2,FALSE)</f>
        <v>9869064553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49</v>
      </c>
      <c r="B312" t="s">
        <v>355</v>
      </c>
      <c r="C312">
        <v>9820962076</v>
      </c>
      <c r="D312" t="str">
        <f>_xlfn.IFNA(VLOOKUP(C312,UpdateLogToUse!A:D,4,FALSE),"Not Called")</f>
        <v>Confirmed Presence</v>
      </c>
      <c r="E312" t="str">
        <f>IF(ISNA(VLOOKUP(C312,Registration!A:A,1,FALSE)),"Not Registered","Registered")</f>
        <v>Not Registered</v>
      </c>
      <c r="F312">
        <f>VLOOKUP(A312,'Karykarta List'!A:B,2,FALSE)</f>
        <v>9322206108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35</v>
      </c>
      <c r="B313" t="s">
        <v>356</v>
      </c>
      <c r="C313">
        <v>9819442861</v>
      </c>
      <c r="D313" t="str">
        <f>_xlfn.IFNA(VLOOKUP(C313,UpdateLogToUse!A:D,4,FALSE),"Not Called")</f>
        <v>Confirmed Presence</v>
      </c>
      <c r="E313" t="str">
        <f>IF(ISNA(VLOOKUP(C313,Registration!A:A,1,FALSE)),"Not Registered","Registered")</f>
        <v>Not Registered</v>
      </c>
      <c r="F313">
        <f>VLOOKUP(A313,'Karykarta List'!A:B,2,FALSE)</f>
        <v>9833705425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17</v>
      </c>
      <c r="B314" t="s">
        <v>357</v>
      </c>
      <c r="C314">
        <v>9820442091</v>
      </c>
      <c r="D314" t="str">
        <f>_xlfn.IFNA(VLOOKUP(C314,UpdateLogToUse!A:D,4,FALSE),"Not Called")</f>
        <v>Not Called</v>
      </c>
      <c r="E314" t="str">
        <f>IF(ISNA(VLOOKUP(C314,Registration!A:A,1,FALSE)),"Not Registered","Registered")</f>
        <v>Not Registered</v>
      </c>
      <c r="F314">
        <f>VLOOKUP(A314,'Karykarta List'!A:B,2,FALSE)</f>
        <v>9869798705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23</v>
      </c>
      <c r="B315" t="s">
        <v>85</v>
      </c>
      <c r="C315">
        <v>9930252076</v>
      </c>
      <c r="D315" t="str">
        <f>_xlfn.IFNA(VLOOKUP(C315,UpdateLogToUse!A:D,4,FALSE),"Not Called")</f>
        <v>Not Called</v>
      </c>
      <c r="E315" t="str">
        <f>IF(ISNA(VLOOKUP(C315,Registration!A:A,1,FALSE)),"Not Registered","Registered")</f>
        <v>Not Registered</v>
      </c>
      <c r="F315">
        <f>VLOOKUP(A315,'Karykarta List'!A:B,2,FALSE)</f>
        <v>7977439717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43</v>
      </c>
      <c r="B316" t="s">
        <v>358</v>
      </c>
      <c r="C316">
        <v>9820634447</v>
      </c>
      <c r="D316" t="str">
        <f>_xlfn.IFNA(VLOOKUP(C316,UpdateLogToUse!A:D,4,FALSE),"Not Called")</f>
        <v>Not Reachable</v>
      </c>
      <c r="E316" t="str">
        <f>IF(ISNA(VLOOKUP(C316,Registration!A:A,1,FALSE)),"Not Registered","Registered")</f>
        <v>Not Registered</v>
      </c>
      <c r="F316">
        <f>VLOOKUP(A316,'Karykarta List'!A:B,2,FALSE)</f>
        <v>9320683201</v>
      </c>
      <c r="G316" t="str">
        <f>_xlfn.IFNA(VLOOKUP(C316,CallLog_Latest!A:H,8,FALSE),"")</f>
        <v/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359</v>
      </c>
      <c r="C317">
        <v>9819758430</v>
      </c>
      <c r="D317" t="str">
        <f>_xlfn.IFNA(VLOOKUP(C317,UpdateLogToUse!A:D,4,FALSE),"Not Called")</f>
        <v>Confirmed Presence</v>
      </c>
      <c r="E317" t="str">
        <f>IF(ISNA(VLOOKUP(C317,Registration!A:A,1,FALSE)),"Not Registered","Registered")</f>
        <v>Not Registered</v>
      </c>
      <c r="F317">
        <f>VLOOKUP(A317,'Karykarta List'!A:B,2,FALSE)</f>
        <v>9101910341</v>
      </c>
      <c r="G317" t="str">
        <f>_xlfn.IFNA(VLOOKUP(C317,CallLog_Latest!A:H,8,FALSE),"")</f>
        <v/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72</v>
      </c>
      <c r="B318" t="s">
        <v>360</v>
      </c>
      <c r="C318">
        <v>9820634447</v>
      </c>
      <c r="D318" t="str">
        <f>_xlfn.IFNA(VLOOKUP(C318,UpdateLogToUse!A:D,4,FALSE),"Not Called")</f>
        <v>Not Reachable</v>
      </c>
      <c r="E318" t="str">
        <f>IF(ISNA(VLOOKUP(C318,Registration!A:A,1,FALSE)),"Not Registered","Registered")</f>
        <v>Not Registered</v>
      </c>
      <c r="F318">
        <f>VLOOKUP(A318,'Karykarta List'!A:B,2,FALSE)</f>
        <v>8879433174</v>
      </c>
      <c r="G318" t="str">
        <f>_xlfn.IFNA(VLOOKUP(C318,CallLog_Latest!A:H,8,FALSE),"")</f>
        <v/>
      </c>
      <c r="H318" t="str">
        <f>VLOOKUP(C318,[1]Sheet1!$F:$H,3,FALSE)</f>
        <v>R/804  Panchsheel Garden  Pqr CHS.ltd. Mahavir Nagar</v>
      </c>
    </row>
    <row r="319" spans="1:8" x14ac:dyDescent="0.25">
      <c r="A319" t="s">
        <v>60</v>
      </c>
      <c r="B319" t="s">
        <v>361</v>
      </c>
      <c r="C319">
        <v>9833869339</v>
      </c>
      <c r="D319" t="str">
        <f>_xlfn.IFNA(VLOOKUP(C319,UpdateLogToUse!A:D,4,FALSE),"Not Called")</f>
        <v>Not Called</v>
      </c>
      <c r="E319" t="str">
        <f>IF(ISNA(VLOOKUP(C319,Registration!A:A,1,FALSE)),"Not Registered","Registered")</f>
        <v>Not Registered</v>
      </c>
      <c r="F319">
        <f>VLOOKUP(A319,'Karykarta List'!A:B,2,FALSE)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1337</v>
      </c>
      <c r="B320" t="s">
        <v>362</v>
      </c>
      <c r="C320">
        <v>9323589700</v>
      </c>
      <c r="D320" t="str">
        <f>_xlfn.IFNA(VLOOKUP(C320,UpdateLogToUse!A:D,4,FALSE),"Not Called")</f>
        <v>Confirmed Presence</v>
      </c>
      <c r="E320" t="str">
        <f>IF(ISNA(VLOOKUP(C320,Registration!A:A,1,FALSE)),"Not Registered","Registered")</f>
        <v>Registered</v>
      </c>
      <c r="F320">
        <f>VLOOKUP(A320,'Karykarta List'!A:B,2,FALSE)</f>
        <v>9820130862</v>
      </c>
      <c r="G320" t="str">
        <f>_xlfn.IFNA(VLOOKUP(C320,CallLog_Latest!A:H,8,FALSE),"")</f>
        <v/>
      </c>
      <c r="H320" t="str">
        <f>VLOOKUP(C320,[1]Sheet1!$F:$H,3,FALSE)</f>
        <v>Skylone Spaces, 1704-B Iraniwadi No.4, Kandivali (W</v>
      </c>
    </row>
    <row r="321" spans="1:8" x14ac:dyDescent="0.25">
      <c r="A321" t="s">
        <v>77</v>
      </c>
      <c r="B321" t="s">
        <v>363</v>
      </c>
      <c r="C321">
        <v>9820507185</v>
      </c>
      <c r="D321" t="str">
        <f>_xlfn.IFNA(VLOOKUP(C321,UpdateLogToUse!A:D,4,FALSE),"Not Called")</f>
        <v>Not Called</v>
      </c>
      <c r="E321" t="str">
        <f>IF(ISNA(VLOOKUP(C321,Registration!A:A,1,FALSE)),"Not Registered","Registered")</f>
        <v>Not Registered</v>
      </c>
      <c r="F321">
        <f>VLOOKUP(A321,'Karykarta List'!A:B,2,FALSE)</f>
        <v>9029105124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70</v>
      </c>
      <c r="B322" t="s">
        <v>364</v>
      </c>
      <c r="C322">
        <v>9920118100</v>
      </c>
      <c r="D322" t="str">
        <f>_xlfn.IFNA(VLOOKUP(C322,UpdateLogToUse!A:D,4,FALSE),"Not Called")</f>
        <v>Not Called</v>
      </c>
      <c r="E322" t="str">
        <f>IF(ISNA(VLOOKUP(C322,Registration!A:A,1,FALSE)),"Not Registered","Registered")</f>
        <v>Not Registered</v>
      </c>
      <c r="F322">
        <f>VLOOKUP(A322,'Karykarta List'!A:B,2,FALSE)</f>
        <v>9405263833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81</v>
      </c>
      <c r="B323" t="s">
        <v>365</v>
      </c>
      <c r="C323">
        <v>9820528695</v>
      </c>
      <c r="D323" t="str">
        <f>_xlfn.IFNA(VLOOKUP(C323,UpdateLogToUse!A:D,4,FALSE),"Not Called")</f>
        <v>Not Called</v>
      </c>
      <c r="E323" t="str">
        <f>IF(ISNA(VLOOKUP(C323,Registration!A:A,1,FALSE)),"Not Registered","Registered")</f>
        <v>Not Registered</v>
      </c>
      <c r="F323">
        <f>VLOOKUP(A323,'Karykarta List'!A:B,2,FALSE)</f>
        <v>9824100412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23</v>
      </c>
      <c r="B324" t="s">
        <v>366</v>
      </c>
      <c r="C324">
        <v>9869799837</v>
      </c>
      <c r="D324" t="str">
        <f>_xlfn.IFNA(VLOOKUP(C324,UpdateLogToUse!A:D,4,FALSE),"Not Called")</f>
        <v>Not Called</v>
      </c>
      <c r="E324" t="str">
        <f>IF(ISNA(VLOOKUP(C324,Registration!A:A,1,FALSE)),"Not Registered","Registered")</f>
        <v>Not Registered</v>
      </c>
      <c r="F324">
        <f>VLOOKUP(A324,'Karykarta List'!A:B,2,FALSE)</f>
        <v>7977439717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41</v>
      </c>
      <c r="B325" t="s">
        <v>367</v>
      </c>
      <c r="C325">
        <v>9821359693</v>
      </c>
      <c r="D325" t="str">
        <f>_xlfn.IFNA(VLOOKUP(C325,UpdateLogToUse!A:D,4,FALSE),"Not Called")</f>
        <v>Not Reachable</v>
      </c>
      <c r="E325" t="str">
        <f>IF(ISNA(VLOOKUP(C325,Registration!A:A,1,FALSE)),"Not Registered","Registered")</f>
        <v>Not Registered</v>
      </c>
      <c r="F325">
        <f>VLOOKUP(A325,'Karykarta List'!A:B,2,FALSE)</f>
        <v>8058973809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797</v>
      </c>
      <c r="B326" t="s">
        <v>368</v>
      </c>
      <c r="C326">
        <v>9821142432</v>
      </c>
      <c r="D326" t="str">
        <f>_xlfn.IFNA(VLOOKUP(C326,UpdateLogToUse!A:D,4,FALSE),"Not Called")</f>
        <v>Not Called</v>
      </c>
      <c r="E326" t="str">
        <f>IF(ISNA(VLOOKUP(C326,Registration!A:A,1,FALSE)),"Not Registered","Registered")</f>
        <v>Not Registered</v>
      </c>
      <c r="F326">
        <f>VLOOKUP(A326,'Karykarta List'!A:B,2,FALSE)</f>
        <v>9320309630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785</v>
      </c>
      <c r="B327" t="s">
        <v>369</v>
      </c>
      <c r="C327">
        <v>9869906116</v>
      </c>
      <c r="D327" t="str">
        <f>_xlfn.IFNA(VLOOKUP(C327,UpdateLogToUse!A:D,4,FALSE),"Not Called")</f>
        <v>Confirmed Presence</v>
      </c>
      <c r="E327" t="str">
        <f>IF(ISNA(VLOOKUP(C327,Registration!A:A,1,FALSE)),"Not Registered","Registered")</f>
        <v>Not Registered</v>
      </c>
      <c r="F327">
        <f>VLOOKUP(A327,'Karykarta List'!A:B,2,FALSE)</f>
        <v>9321532327</v>
      </c>
      <c r="G327" t="str">
        <f>_xlfn.IFNA(VLOOKUP(C327,CallLog_Latest!A:H,8,FALSE),"")</f>
        <v/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83</v>
      </c>
      <c r="B328" t="s">
        <v>370</v>
      </c>
      <c r="C328">
        <v>9324059577</v>
      </c>
      <c r="D328" t="str">
        <f>_xlfn.IFNA(VLOOKUP(C328,UpdateLogToUse!A:D,4,FALSE),"Not Called")</f>
        <v>Not Coming</v>
      </c>
      <c r="E328" t="str">
        <f>IF(ISNA(VLOOKUP(C328,Registration!A:A,1,FALSE)),"Not Registered","Registered")</f>
        <v>Not Registered</v>
      </c>
      <c r="F328">
        <f>VLOOKUP(A328,'Karykarta List'!A:B,2,FALSE)</f>
        <v>9225211083</v>
      </c>
      <c r="G328" t="str">
        <f>_xlfn.IFNA(VLOOKUP(C328,CallLog_Latest!A:H,8,FALSE),"")</f>
        <v/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799</v>
      </c>
      <c r="B329" t="s">
        <v>371</v>
      </c>
      <c r="C329">
        <v>9869152484</v>
      </c>
      <c r="D329" t="str">
        <f>_xlfn.IFNA(VLOOKUP(C329,UpdateLogToUse!A:D,4,FALSE),"Not Called")</f>
        <v>Not Called</v>
      </c>
      <c r="E329" t="str">
        <f>IF(ISNA(VLOOKUP(C329,Registration!A:A,1,FALSE)),"Not Registered","Registered")</f>
        <v>Not Registered</v>
      </c>
      <c r="F329">
        <f>VLOOKUP(A329,'Karykarta List'!A:B,2,FALSE)</f>
        <v>9324233820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805</v>
      </c>
      <c r="B330" t="s">
        <v>372</v>
      </c>
      <c r="C330">
        <v>9833229112</v>
      </c>
      <c r="D330" t="str">
        <f>_xlfn.IFNA(VLOOKUP(C330,UpdateLogToUse!A:D,4,FALSE),"Not Called")</f>
        <v>Not Reachable</v>
      </c>
      <c r="E330" t="str">
        <f>IF(ISNA(VLOOKUP(C330,Registration!A:A,1,FALSE)),"Not Registered","Registered")</f>
        <v>Not Registered</v>
      </c>
      <c r="F330">
        <f>VLOOKUP(A330,'Karykarta List'!A:B,2,FALSE)</f>
        <v>9320770849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95</v>
      </c>
      <c r="B331" t="s">
        <v>373</v>
      </c>
      <c r="C331">
        <v>9619190941</v>
      </c>
      <c r="D331" t="str">
        <f>_xlfn.IFNA(VLOOKUP(C331,UpdateLogToUse!A:D,4,FALSE),"Not Called")</f>
        <v>Not Reachable</v>
      </c>
      <c r="E331" t="str">
        <f>IF(ISNA(VLOOKUP(C331,Registration!A:A,1,FALSE)),"Not Registered","Registered")</f>
        <v>Not Registered</v>
      </c>
      <c r="F331">
        <f>VLOOKUP(A331,'Karykarta List'!A:B,2,FALSE)</f>
        <v>9424584007</v>
      </c>
      <c r="G331" t="str">
        <f>_xlfn.IFNA(VLOOKUP(C331,CallLog_Latest!A:H,8,FALSE),"")</f>
        <v/>
      </c>
      <c r="H331" t="str">
        <f>VLOOKUP(C331,[1]Sheet1!$F:$H,3,FALSE)</f>
        <v>Amit Tower  Sector No.-1 Plot No.119  Flat No.302  Charkop</v>
      </c>
    </row>
    <row r="332" spans="1:8" x14ac:dyDescent="0.25">
      <c r="A332" t="s">
        <v>55</v>
      </c>
      <c r="B332" t="s">
        <v>374</v>
      </c>
      <c r="C332">
        <v>9892126233</v>
      </c>
      <c r="D332" t="str">
        <f>_xlfn.IFNA(VLOOKUP(C332,UpdateLogToUse!A:D,4,FALSE),"Not Called")</f>
        <v>Not Called</v>
      </c>
      <c r="E332" t="str">
        <f>IF(ISNA(VLOOKUP(C332,Registration!A:A,1,FALSE)),"Not Registered","Registered")</f>
        <v>Not Registered</v>
      </c>
      <c r="F332">
        <f>VLOOKUP(A332,'Karykarta List'!A:B,2,FALSE)</f>
        <v>9819083540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29</v>
      </c>
      <c r="B333" t="s">
        <v>375</v>
      </c>
      <c r="C333">
        <v>9820424621</v>
      </c>
      <c r="D333" t="str">
        <f>_xlfn.IFNA(VLOOKUP(C333,UpdateLogToUse!A:D,4,FALSE),"Not Called")</f>
        <v>Not Called</v>
      </c>
      <c r="E333" t="str">
        <f>IF(ISNA(VLOOKUP(C333,Registration!A:A,1,FALSE)),"Not Registered","Registered")</f>
        <v>Not Registered</v>
      </c>
      <c r="F333">
        <f>VLOOKUP(A333,'Karykarta List'!A:B,2,FALSE)</f>
        <v>9819364345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1306</v>
      </c>
      <c r="B334" t="s">
        <v>376</v>
      </c>
      <c r="C334">
        <v>9820020096</v>
      </c>
      <c r="D334" t="str">
        <f>_xlfn.IFNA(VLOOKUP(C334,UpdateLogToUse!A:D,4,FALSE),"Not Called")</f>
        <v>Not Called</v>
      </c>
      <c r="E334" t="str">
        <f>IF(ISNA(VLOOKUP(C334,Registration!A:A,1,FALSE)),"Not Registered","Registered")</f>
        <v>Not Registered</v>
      </c>
      <c r="F334">
        <f>VLOOKUP(A334,'Karykarta List'!A:B,2,FALSE)</f>
        <v>7977147591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789</v>
      </c>
      <c r="B335" t="s">
        <v>377</v>
      </c>
      <c r="C335">
        <v>8080857770</v>
      </c>
      <c r="D335" t="str">
        <f>_xlfn.IFNA(VLOOKUP(C335,UpdateLogToUse!A:D,4,FALSE),"Not Called")</f>
        <v>Not Called</v>
      </c>
      <c r="E335" t="str">
        <f>IF(ISNA(VLOOKUP(C335,Registration!A:A,1,FALSE)),"Not Registered","Registered")</f>
        <v>Not Registered</v>
      </c>
      <c r="F335">
        <f>VLOOKUP(A335,'Karykarta List'!A:B,2,FALSE)</f>
        <v>9702260383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11</v>
      </c>
      <c r="B336" t="s">
        <v>378</v>
      </c>
      <c r="C336">
        <v>9322504532</v>
      </c>
      <c r="D336" t="str">
        <f>_xlfn.IFNA(VLOOKUP(C336,UpdateLogToUse!A:D,4,FALSE),"Not Called")</f>
        <v>Not Called</v>
      </c>
      <c r="E336" t="str">
        <f>IF(ISNA(VLOOKUP(C336,Registration!A:A,1,FALSE)),"Not Registered","Registered")</f>
        <v>Not Registered</v>
      </c>
      <c r="F336">
        <f>VLOOKUP(A336,'Karykarta List'!A:B,2,FALSE)</f>
        <v>9322598681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1308</v>
      </c>
      <c r="B337" t="s">
        <v>379</v>
      </c>
      <c r="C337">
        <v>9890208968</v>
      </c>
      <c r="D337" t="str">
        <f>_xlfn.IFNA(VLOOKUP(C337,UpdateLogToUse!A:D,4,FALSE),"Not Called")</f>
        <v>Not Reachable</v>
      </c>
      <c r="E337" t="str">
        <f>IF(ISNA(VLOOKUP(C337,Registration!A:A,1,FALSE)),"Not Registered","Registered")</f>
        <v>Not Registered</v>
      </c>
      <c r="F337">
        <f>VLOOKUP(A337,'Karykarta List'!A:B,2,FALSE)</f>
        <v>9022922620</v>
      </c>
      <c r="G337" t="str">
        <f>_xlfn.IFNA(VLOOKUP(C337,CallLog_Latest!A:H,8,FALSE),"")</f>
        <v/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39</v>
      </c>
      <c r="B338" t="s">
        <v>380</v>
      </c>
      <c r="C338">
        <v>9833249550</v>
      </c>
      <c r="D338" t="str">
        <f>_xlfn.IFNA(VLOOKUP(C338,UpdateLogToUse!A:D,4,FALSE),"Not Called")</f>
        <v>Not Called</v>
      </c>
      <c r="E338" t="str">
        <f>IF(ISNA(VLOOKUP(C338,Registration!A:A,1,FALSE)),"Not Registered","Registered")</f>
        <v>Not Registered</v>
      </c>
      <c r="F338">
        <f>VLOOKUP(A338,'Karykarta List'!A:B,2,FALSE)</f>
        <v>9820505363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21</v>
      </c>
      <c r="B339" t="s">
        <v>381</v>
      </c>
      <c r="C339">
        <v>9757363987</v>
      </c>
      <c r="D339" t="str">
        <f>_xlfn.IFNA(VLOOKUP(C339,UpdateLogToUse!A:D,4,FALSE),"Not Called")</f>
        <v>Not Called</v>
      </c>
      <c r="E339" t="str">
        <f>IF(ISNA(VLOOKUP(C339,Registration!A:A,1,FALSE)),"Not Registered","Registered")</f>
        <v>Not Registered</v>
      </c>
      <c r="F339">
        <f>VLOOKUP(A339,'Karykarta List'!A:B,2,FALSE)</f>
        <v>9820636392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31</v>
      </c>
      <c r="B340" t="s">
        <v>382</v>
      </c>
      <c r="C340">
        <v>9821185122</v>
      </c>
      <c r="D340" t="str">
        <f>_xlfn.IFNA(VLOOKUP(C340,UpdateLogToUse!A:D,4,FALSE),"Not Called")</f>
        <v>Not Called</v>
      </c>
      <c r="E340" t="str">
        <f>IF(ISNA(VLOOKUP(C340,Registration!A:A,1,FALSE)),"Not Registered","Registered")</f>
        <v>Not Registered</v>
      </c>
      <c r="F340">
        <f>VLOOKUP(A340,'Karykarta List'!A:B,2,FALSE)</f>
        <v>9869064553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49</v>
      </c>
      <c r="B341" t="s">
        <v>383</v>
      </c>
      <c r="C341">
        <v>9920173616</v>
      </c>
      <c r="D341" t="str">
        <f>_xlfn.IFNA(VLOOKUP(C341,UpdateLogToUse!A:D,4,FALSE),"Not Called")</f>
        <v>Not Called</v>
      </c>
      <c r="E341" t="str">
        <f>IF(ISNA(VLOOKUP(C341,Registration!A:A,1,FALSE)),"Not Registered","Registered")</f>
        <v>Not Registered</v>
      </c>
      <c r="F341">
        <f>VLOOKUP(A341,'Karykarta List'!A:B,2,FALSE)</f>
        <v>9322206108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35</v>
      </c>
      <c r="B342" t="s">
        <v>384</v>
      </c>
      <c r="C342">
        <v>9029687624</v>
      </c>
      <c r="D342" t="str">
        <f>_xlfn.IFNA(VLOOKUP(C342,UpdateLogToUse!A:D,4,FALSE),"Not Called")</f>
        <v>Confirmed Presence</v>
      </c>
      <c r="E342" t="str">
        <f>IF(ISNA(VLOOKUP(C342,Registration!A:A,1,FALSE)),"Not Registered","Registered")</f>
        <v>Not Registered</v>
      </c>
      <c r="F342">
        <f>VLOOKUP(A342,'Karykarta List'!A:B,2,FALSE)</f>
        <v>9833705425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17</v>
      </c>
      <c r="B343" t="s">
        <v>385</v>
      </c>
      <c r="C343">
        <v>9930370606</v>
      </c>
      <c r="D343" t="str">
        <f>_xlfn.IFNA(VLOOKUP(C343,UpdateLogToUse!A:D,4,FALSE),"Not Called")</f>
        <v>Not Called</v>
      </c>
      <c r="E343" t="str">
        <f>IF(ISNA(VLOOKUP(C343,Registration!A:A,1,FALSE)),"Not Registered","Registered")</f>
        <v>Not Registered</v>
      </c>
      <c r="F343">
        <f>VLOOKUP(A343,'Karykarta List'!A:B,2,FALSE)</f>
        <v>9869798705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23</v>
      </c>
      <c r="B344" t="s">
        <v>386</v>
      </c>
      <c r="C344">
        <v>9819146316</v>
      </c>
      <c r="D344" t="str">
        <f>_xlfn.IFNA(VLOOKUP(C344,UpdateLogToUse!A:D,4,FALSE),"Not Called")</f>
        <v>Not Called</v>
      </c>
      <c r="E344" t="str">
        <f>IF(ISNA(VLOOKUP(C344,Registration!A:A,1,FALSE)),"Not Registered","Registered")</f>
        <v>Registered</v>
      </c>
      <c r="F344">
        <f>VLOOKUP(A344,'Karykarta List'!A:B,2,FALSE)</f>
        <v>7977439717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43</v>
      </c>
      <c r="B345" t="s">
        <v>387</v>
      </c>
      <c r="C345">
        <v>9964005943</v>
      </c>
      <c r="D345" t="str">
        <f>_xlfn.IFNA(VLOOKUP(C345,UpdateLogToUse!A:D,4,FALSE),"Not Called")</f>
        <v>Confirmed Presence</v>
      </c>
      <c r="E345" t="str">
        <f>IF(ISNA(VLOOKUP(C345,Registration!A:A,1,FALSE)),"Not Registered","Registered")</f>
        <v>Registered</v>
      </c>
      <c r="F345">
        <f>VLOOKUP(A345,'Karykarta List'!A:B,2,FALSE)</f>
        <v>9320683201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57</v>
      </c>
      <c r="B346" t="s">
        <v>388</v>
      </c>
      <c r="C346">
        <v>9820864166</v>
      </c>
      <c r="D346" t="str">
        <f>_xlfn.IFNA(VLOOKUP(C346,UpdateLogToUse!A:D,4,FALSE),"Not Called")</f>
        <v>Not Called</v>
      </c>
      <c r="E346" t="str">
        <f>IF(ISNA(VLOOKUP(C346,Registration!A:A,1,FALSE)),"Not Registered","Registered")</f>
        <v>Not Registered</v>
      </c>
      <c r="F346">
        <f>VLOOKUP(A346,'Karykarta List'!A:B,2,FALSE)</f>
        <v>9101910341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72</v>
      </c>
      <c r="B347" t="s">
        <v>389</v>
      </c>
      <c r="C347">
        <v>9987500079</v>
      </c>
      <c r="D347" t="str">
        <f>_xlfn.IFNA(VLOOKUP(C347,UpdateLogToUse!A:D,4,FALSE),"Not Called")</f>
        <v>Not Called</v>
      </c>
      <c r="E347" t="str">
        <f>IF(ISNA(VLOOKUP(C347,Registration!A:A,1,FALSE)),"Not Registered","Registered")</f>
        <v>Not Registered</v>
      </c>
      <c r="F347">
        <f>VLOOKUP(A347,'Karykarta List'!A:B,2,FALSE)</f>
        <v>8879433174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60</v>
      </c>
      <c r="B348" t="s">
        <v>390</v>
      </c>
      <c r="C348">
        <v>9920305070</v>
      </c>
      <c r="D348" t="str">
        <f>_xlfn.IFNA(VLOOKUP(C348,UpdateLogToUse!A:D,4,FALSE),"Not Called")</f>
        <v>Confirmed Presence</v>
      </c>
      <c r="E348" t="str">
        <f>IF(ISNA(VLOOKUP(C348,Registration!A:A,1,FALSE)),"Not Registered","Registered")</f>
        <v>Not Registered</v>
      </c>
      <c r="F348">
        <f>VLOOKUP(A348,'Karykarta List'!A:B,2,FALSE)</f>
        <v>9820779873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1337</v>
      </c>
      <c r="B349" t="s">
        <v>391</v>
      </c>
      <c r="C349">
        <v>8208264535</v>
      </c>
      <c r="D349" t="str">
        <f>_xlfn.IFNA(VLOOKUP(C349,UpdateLogToUse!A:D,4,FALSE),"Not Called")</f>
        <v>Not Called</v>
      </c>
      <c r="E349" t="str">
        <f>IF(ISNA(VLOOKUP(C349,Registration!A:A,1,FALSE)),"Not Registered","Registered")</f>
        <v>Not Registered</v>
      </c>
      <c r="F349">
        <f>VLOOKUP(A349,'Karykarta List'!A:B,2,FALSE)</f>
        <v>9820130862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77</v>
      </c>
      <c r="B350" t="s">
        <v>392</v>
      </c>
      <c r="C350">
        <v>8668966511</v>
      </c>
      <c r="D350" t="str">
        <f>_xlfn.IFNA(VLOOKUP(C350,UpdateLogToUse!A:D,4,FALSE),"Not Called")</f>
        <v>Not Called</v>
      </c>
      <c r="E350" t="str">
        <f>IF(ISNA(VLOOKUP(C350,Registration!A:A,1,FALSE)),"Not Registered","Registered")</f>
        <v>Not Registered</v>
      </c>
      <c r="F350">
        <f>VLOOKUP(A350,'Karykarta List'!A:B,2,FALSE)</f>
        <v>9029105124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70</v>
      </c>
      <c r="B351" t="s">
        <v>393</v>
      </c>
      <c r="C351">
        <v>9702001993</v>
      </c>
      <c r="D351" t="str">
        <f>_xlfn.IFNA(VLOOKUP(C351,UpdateLogToUse!A:D,4,FALSE),"Not Called")</f>
        <v>Not Called</v>
      </c>
      <c r="E351" t="str">
        <f>IF(ISNA(VLOOKUP(C351,Registration!A:A,1,FALSE)),"Not Registered","Registered")</f>
        <v>Not Registered</v>
      </c>
      <c r="F351">
        <f>VLOOKUP(A351,'Karykarta List'!A:B,2,FALSE)</f>
        <v>9405263833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81</v>
      </c>
      <c r="B352" t="s">
        <v>394</v>
      </c>
      <c r="C352">
        <v>9004481082</v>
      </c>
      <c r="D352" t="str">
        <f>_xlfn.IFNA(VLOOKUP(C352,UpdateLogToUse!A:D,4,FALSE),"Not Called")</f>
        <v>Confirmed Presence</v>
      </c>
      <c r="E352" t="str">
        <f>IF(ISNA(VLOOKUP(C352,Registration!A:A,1,FALSE)),"Not Registered","Registered")</f>
        <v>Registered</v>
      </c>
      <c r="F352">
        <f>VLOOKUP(A352,'Karykarta List'!A:B,2,FALSE)</f>
        <v>9824100412</v>
      </c>
      <c r="G352" t="str">
        <f>_xlfn.IFNA(VLOOKUP(C352,CallLog_Latest!A:H,8,FALSE),"")</f>
        <v/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23</v>
      </c>
      <c r="B353" t="s">
        <v>395</v>
      </c>
      <c r="C353">
        <v>9702497024</v>
      </c>
      <c r="D353" t="str">
        <f>_xlfn.IFNA(VLOOKUP(C353,UpdateLogToUse!A:D,4,FALSE),"Not Called")</f>
        <v>Not Coming</v>
      </c>
      <c r="E353" t="str">
        <f>IF(ISNA(VLOOKUP(C353,Registration!A:A,1,FALSE)),"Not Registered","Registered")</f>
        <v>Not Registered</v>
      </c>
      <c r="F353">
        <f>VLOOKUP(A353,'Karykarta List'!A:B,2,FALSE)</f>
        <v>7977439717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41</v>
      </c>
      <c r="B354" t="s">
        <v>396</v>
      </c>
      <c r="C354">
        <v>9820032318</v>
      </c>
      <c r="D354" t="str">
        <f>_xlfn.IFNA(VLOOKUP(C354,UpdateLogToUse!A:D,4,FALSE),"Not Called")</f>
        <v>May be Attending</v>
      </c>
      <c r="E354" t="str">
        <f>IF(ISNA(VLOOKUP(C354,Registration!A:A,1,FALSE)),"Not Registered","Registered")</f>
        <v>Not Registered</v>
      </c>
      <c r="F354">
        <f>VLOOKUP(A354,'Karykarta List'!A:B,2,FALSE)</f>
        <v>8058973809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797</v>
      </c>
      <c r="B355" t="s">
        <v>397</v>
      </c>
      <c r="C355">
        <v>9821124220</v>
      </c>
      <c r="D355" t="str">
        <f>_xlfn.IFNA(VLOOKUP(C355,UpdateLogToUse!A:D,4,FALSE),"Not Called")</f>
        <v>Not Called</v>
      </c>
      <c r="E355" t="str">
        <f>IF(ISNA(VLOOKUP(C355,Registration!A:A,1,FALSE)),"Not Registered","Registered")</f>
        <v>Not Registered</v>
      </c>
      <c r="F355">
        <f>VLOOKUP(A355,'Karykarta List'!A:B,2,FALSE)</f>
        <v>9320309630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785</v>
      </c>
      <c r="B356" t="s">
        <v>398</v>
      </c>
      <c r="C356">
        <v>7977439717</v>
      </c>
      <c r="D356" t="str">
        <f>_xlfn.IFNA(VLOOKUP(C356,UpdateLogToUse!A:D,4,FALSE),"Not Called")</f>
        <v>Confirmed Presence</v>
      </c>
      <c r="E356" t="str">
        <f>IF(ISNA(VLOOKUP(C356,Registration!A:A,1,FALSE)),"Not Registered","Registered")</f>
        <v>Not Registered</v>
      </c>
      <c r="F356">
        <f>VLOOKUP(A356,'Karykarta List'!A:B,2,FALSE)</f>
        <v>9321532327</v>
      </c>
      <c r="G356" t="str">
        <f>_xlfn.IFNA(VLOOKUP(C356,CallLog_Latest!A:H,8,FALSE),"")</f>
        <v/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83</v>
      </c>
      <c r="B357" t="s">
        <v>399</v>
      </c>
      <c r="C357">
        <v>8779756681</v>
      </c>
      <c r="D357" t="str">
        <f>_xlfn.IFNA(VLOOKUP(C357,UpdateLogToUse!A:D,4,FALSE),"Not Called")</f>
        <v>Not Reachable</v>
      </c>
      <c r="E357" t="str">
        <f>IF(ISNA(VLOOKUP(C357,Registration!A:A,1,FALSE)),"Not Registered","Registered")</f>
        <v>Not Registered</v>
      </c>
      <c r="F357">
        <f>VLOOKUP(A357,'Karykarta List'!A:B,2,FALSE)</f>
        <v>9225211083</v>
      </c>
      <c r="G357" t="str">
        <f>_xlfn.IFNA(VLOOKUP(C357,CallLog_Latest!A:H,8,FALSE),"")</f>
        <v/>
      </c>
      <c r="H357" t="str">
        <f>VLOOKUP(C357,[1]Sheet1!$F:$H,3,FALSE)</f>
        <v>D/6/46  Asmita jyoti Chs  Malda Marve Road  Malad (W</v>
      </c>
    </row>
    <row r="358" spans="1:8" x14ac:dyDescent="0.25">
      <c r="A358" t="s">
        <v>799</v>
      </c>
      <c r="B358" t="s">
        <v>400</v>
      </c>
      <c r="C358">
        <v>9820089651</v>
      </c>
      <c r="D358" t="str">
        <f>_xlfn.IFNA(VLOOKUP(C358,UpdateLogToUse!A:D,4,FALSE),"Not Called")</f>
        <v>May be Attending</v>
      </c>
      <c r="E358" t="str">
        <f>IF(ISNA(VLOOKUP(C358,Registration!A:A,1,FALSE)),"Not Registered","Registered")</f>
        <v>Not Registered</v>
      </c>
      <c r="F358">
        <f>VLOOKUP(A358,'Karykarta List'!A:B,2,FALSE)</f>
        <v>9324233820</v>
      </c>
      <c r="G358" t="str">
        <f>_xlfn.IFNA(VLOOKUP(C358,CallLog_Latest!A:H,8,FALSE),"")</f>
        <v/>
      </c>
      <c r="H358" t="str">
        <f>VLOOKUP(C358,[1]Sheet1!$F:$H,3,FALSE)</f>
        <v>B-303, Lubna Bldg, Jankalyan Nagar  Marve Road, Malad (W</v>
      </c>
    </row>
    <row r="359" spans="1:8" x14ac:dyDescent="0.25">
      <c r="A359" t="s">
        <v>805</v>
      </c>
      <c r="B359" t="s">
        <v>401</v>
      </c>
      <c r="C359">
        <v>9619496390</v>
      </c>
      <c r="D359" t="str">
        <f>_xlfn.IFNA(VLOOKUP(C359,UpdateLogToUse!A:D,4,FALSE),"Not Called")</f>
        <v>Confirmed Presence</v>
      </c>
      <c r="E359" t="str">
        <f>IF(ISNA(VLOOKUP(C359,Registration!A:A,1,FALSE)),"Not Registered","Registered")</f>
        <v>Not Registered</v>
      </c>
      <c r="F359">
        <f>VLOOKUP(A359,'Karykarta List'!A:B,2,FALSE)</f>
        <v>9320770849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95</v>
      </c>
      <c r="B360" t="s">
        <v>402</v>
      </c>
      <c r="C360">
        <v>9321346176</v>
      </c>
      <c r="D360" t="str">
        <f>_xlfn.IFNA(VLOOKUP(C360,UpdateLogToUse!A:D,4,FALSE),"Not Called")</f>
        <v>Confirmed Presence</v>
      </c>
      <c r="E360" t="str">
        <f>IF(ISNA(VLOOKUP(C360,Registration!A:A,1,FALSE)),"Not Registered","Registered")</f>
        <v>Not Registered</v>
      </c>
      <c r="F360">
        <f>VLOOKUP(A360,'Karykarta List'!A:B,2,FALSE)</f>
        <v>9424584007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55</v>
      </c>
      <c r="B361" t="s">
        <v>403</v>
      </c>
      <c r="C361">
        <v>9167900897</v>
      </c>
      <c r="D361" t="str">
        <f>_xlfn.IFNA(VLOOKUP(C361,UpdateLogToUse!A:D,4,FALSE),"Not Called")</f>
        <v>Confirmed Presence</v>
      </c>
      <c r="E361" t="str">
        <f>IF(ISNA(VLOOKUP(C361,Registration!A:A,1,FALSE)),"Not Registered","Registered")</f>
        <v>Not Registered</v>
      </c>
      <c r="F361">
        <f>VLOOKUP(A361,'Karykarta List'!A:B,2,FALSE)</f>
        <v>9819083540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29</v>
      </c>
      <c r="B362" t="s">
        <v>404</v>
      </c>
      <c r="C362">
        <v>9324616732</v>
      </c>
      <c r="D362" t="str">
        <f>_xlfn.IFNA(VLOOKUP(C362,UpdateLogToUse!A:D,4,FALSE),"Not Called")</f>
        <v>Not Called</v>
      </c>
      <c r="E362" t="str">
        <f>IF(ISNA(VLOOKUP(C362,Registration!A:A,1,FALSE)),"Not Registered","Registered")</f>
        <v>Not Registered</v>
      </c>
      <c r="F362">
        <f>VLOOKUP(A362,'Karykarta List'!A:B,2,FALSE)</f>
        <v>9819364345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1306</v>
      </c>
      <c r="B363" t="s">
        <v>405</v>
      </c>
      <c r="C363">
        <v>9324616732</v>
      </c>
      <c r="D363" t="str">
        <f>_xlfn.IFNA(VLOOKUP(C363,UpdateLogToUse!A:D,4,FALSE),"Not Called")</f>
        <v>Not Called</v>
      </c>
      <c r="E363" t="str">
        <f>IF(ISNA(VLOOKUP(C363,Registration!A:A,1,FALSE)),"Not Registered","Registered")</f>
        <v>Not Registered</v>
      </c>
      <c r="F363">
        <f>VLOOKUP(A363,'Karykarta List'!A:B,2,FALSE)</f>
        <v>7977147591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789</v>
      </c>
      <c r="B364" t="s">
        <v>406</v>
      </c>
      <c r="C364">
        <v>7798729876</v>
      </c>
      <c r="D364" t="str">
        <f>_xlfn.IFNA(VLOOKUP(C364,UpdateLogToUse!A:D,4,FALSE),"Not Called")</f>
        <v>Not Reachable</v>
      </c>
      <c r="E364" t="str">
        <f>IF(ISNA(VLOOKUP(C364,Registration!A:A,1,FALSE)),"Not Registered","Registered")</f>
        <v>Not Registered</v>
      </c>
      <c r="F364">
        <f>VLOOKUP(A364,'Karykarta List'!A:B,2,FALSE)</f>
        <v>9702260383</v>
      </c>
      <c r="G364" t="str">
        <f>_xlfn.IFNA(VLOOKUP(C364,CallLog_Latest!A:H,8,FALSE),"")</f>
        <v/>
      </c>
      <c r="H364" t="str">
        <f>VLOOKUP(C364,[1]Sheet1!$F:$H,3,FALSE)</f>
        <v>G-12a04  Raheja Heights Filmcity Road</v>
      </c>
    </row>
    <row r="365" spans="1:8" x14ac:dyDescent="0.25">
      <c r="A365" t="s">
        <v>11</v>
      </c>
      <c r="B365" t="s">
        <v>407</v>
      </c>
      <c r="C365">
        <v>8919841473</v>
      </c>
      <c r="D365" t="str">
        <f>_xlfn.IFNA(VLOOKUP(C365,UpdateLogToUse!A:D,4,FALSE),"Not Called")</f>
        <v>Not Coming</v>
      </c>
      <c r="E365" t="str">
        <f>IF(ISNA(VLOOKUP(C365,Registration!A:A,1,FALSE)),"Not Registered","Registered")</f>
        <v>Not Registered</v>
      </c>
      <c r="F365">
        <f>VLOOKUP(A365,'Karykarta List'!A:B,2,FALSE)</f>
        <v>9322598681</v>
      </c>
      <c r="G365" t="str">
        <f>_xlfn.IFNA(VLOOKUP(C365,CallLog_Latest!A:H,8,FALSE),"")</f>
        <v/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1308</v>
      </c>
      <c r="B366" t="s">
        <v>408</v>
      </c>
      <c r="C366">
        <v>9029021191</v>
      </c>
      <c r="D366" t="str">
        <f>_xlfn.IFNA(VLOOKUP(C366,UpdateLogToUse!A:D,4,FALSE),"Not Called")</f>
        <v>Confirmed Presence</v>
      </c>
      <c r="E366" t="str">
        <f>IF(ISNA(VLOOKUP(C366,Registration!A:A,1,FALSE)),"Not Registered","Registered")</f>
        <v>Not Registered</v>
      </c>
      <c r="F366">
        <f>VLOOKUP(A366,'Karykarta List'!A:B,2,FALSE)</f>
        <v>9022922620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39</v>
      </c>
      <c r="B367" t="s">
        <v>409</v>
      </c>
      <c r="C367">
        <v>9339057544</v>
      </c>
      <c r="D367" t="str">
        <f>_xlfn.IFNA(VLOOKUP(C367,UpdateLogToUse!A:D,4,FALSE),"Not Called")</f>
        <v>Not Coming</v>
      </c>
      <c r="E367" t="str">
        <f>IF(ISNA(VLOOKUP(C367,Registration!A:A,1,FALSE)),"Not Registered","Registered")</f>
        <v>Not Registered</v>
      </c>
      <c r="F367">
        <f>VLOOKUP(A367,'Karykarta List'!A:B,2,FALSE)</f>
        <v>9820505363</v>
      </c>
      <c r="G367" t="str">
        <f>_xlfn.IFNA(VLOOKUP(C367,CallLog_Latest!A:H,8,FALSE),"")</f>
        <v/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21</v>
      </c>
      <c r="B368" t="s">
        <v>410</v>
      </c>
      <c r="C368">
        <v>9029946961</v>
      </c>
      <c r="D368" t="str">
        <f>_xlfn.IFNA(VLOOKUP(C368,UpdateLogToUse!A:D,4,FALSE),"Not Called")</f>
        <v>Not Called</v>
      </c>
      <c r="E368" t="str">
        <f>IF(ISNA(VLOOKUP(C368,Registration!A:A,1,FALSE)),"Not Registered","Registered")</f>
        <v>Not Registered</v>
      </c>
      <c r="F368">
        <f>VLOOKUP(A368,'Karykarta List'!A:B,2,FALSE)</f>
        <v>9820636392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31</v>
      </c>
      <c r="B369" t="s">
        <v>411</v>
      </c>
      <c r="C369">
        <v>9054305911</v>
      </c>
      <c r="D369" t="str">
        <f>_xlfn.IFNA(VLOOKUP(C369,UpdateLogToUse!A:D,4,FALSE),"Not Called")</f>
        <v>Not Called</v>
      </c>
      <c r="E369" t="str">
        <f>IF(ISNA(VLOOKUP(C369,Registration!A:A,1,FALSE)),"Not Registered","Registered")</f>
        <v>Not Registered</v>
      </c>
      <c r="F369">
        <f>VLOOKUP(A369,'Karykarta List'!A:B,2,FALSE)</f>
        <v>9869064553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49</v>
      </c>
      <c r="B370" t="s">
        <v>412</v>
      </c>
      <c r="C370">
        <v>9892334018</v>
      </c>
      <c r="D370" t="str">
        <f>_xlfn.IFNA(VLOOKUP(C370,UpdateLogToUse!A:D,4,FALSE),"Not Called")</f>
        <v>Not Called</v>
      </c>
      <c r="E370" t="str">
        <f>IF(ISNA(VLOOKUP(C370,Registration!A:A,1,FALSE)),"Not Registered","Registered")</f>
        <v>Not Registered</v>
      </c>
      <c r="F370">
        <f>VLOOKUP(A370,'Karykarta List'!A:B,2,FALSE)</f>
        <v>9322206108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35</v>
      </c>
      <c r="B371" t="s">
        <v>413</v>
      </c>
      <c r="C371">
        <v>9322889341</v>
      </c>
      <c r="D371" t="str">
        <f>_xlfn.IFNA(VLOOKUP(C371,UpdateLogToUse!A:D,4,FALSE),"Not Called")</f>
        <v>Not Called</v>
      </c>
      <c r="E371" t="str">
        <f>IF(ISNA(VLOOKUP(C371,Registration!A:A,1,FALSE)),"Not Registered","Registered")</f>
        <v>Not Registered</v>
      </c>
      <c r="F371">
        <f>VLOOKUP(A371,'Karykarta List'!A:B,2,FALSE)</f>
        <v>9833705425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17</v>
      </c>
      <c r="B372" t="s">
        <v>414</v>
      </c>
      <c r="C372">
        <v>7738388091</v>
      </c>
      <c r="D372" t="str">
        <f>_xlfn.IFNA(VLOOKUP(C372,UpdateLogToUse!A:D,4,FALSE),"Not Called")</f>
        <v>May be Attending</v>
      </c>
      <c r="E372" t="str">
        <f>IF(ISNA(VLOOKUP(C372,Registration!A:A,1,FALSE)),"Not Registered","Registered")</f>
        <v>Not Registered</v>
      </c>
      <c r="F372">
        <f>VLOOKUP(A372,'Karykarta List'!A:B,2,FALSE)</f>
        <v>9869798705</v>
      </c>
      <c r="G372" t="str">
        <f>_xlfn.IFNA(VLOOKUP(C372,CallLog_Latest!A:H,8,FALSE),"")</f>
        <v/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23</v>
      </c>
      <c r="B373" t="s">
        <v>415</v>
      </c>
      <c r="C373">
        <v>9324471438</v>
      </c>
      <c r="D373" t="str">
        <f>_xlfn.IFNA(VLOOKUP(C373,UpdateLogToUse!A:D,4,FALSE),"Not Called")</f>
        <v>Not Reachable</v>
      </c>
      <c r="E373" t="str">
        <f>IF(ISNA(VLOOKUP(C373,Registration!A:A,1,FALSE)),"Not Registered","Registered")</f>
        <v>Not Registered</v>
      </c>
      <c r="F373">
        <f>VLOOKUP(A373,'Karykarta List'!A:B,2,FALSE)</f>
        <v>7977439717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43</v>
      </c>
      <c r="B374" t="s">
        <v>416</v>
      </c>
      <c r="C374">
        <v>9324724832</v>
      </c>
      <c r="D374" t="str">
        <f>_xlfn.IFNA(VLOOKUP(C374,UpdateLogToUse!A:D,4,FALSE),"Not Called")</f>
        <v>Not Called</v>
      </c>
      <c r="E374" t="str">
        <f>IF(ISNA(VLOOKUP(C374,Registration!A:A,1,FALSE)),"Not Registered","Registered")</f>
        <v>Not Registered</v>
      </c>
      <c r="F374">
        <f>VLOOKUP(A374,'Karykarta List'!A:B,2,FALSE)</f>
        <v>9320683201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57</v>
      </c>
      <c r="B375" t="s">
        <v>417</v>
      </c>
      <c r="C375">
        <v>9821084020</v>
      </c>
      <c r="D375" t="str">
        <f>_xlfn.IFNA(VLOOKUP(C375,UpdateLogToUse!A:D,4,FALSE),"Not Called")</f>
        <v>Confirmed Presence</v>
      </c>
      <c r="E375" t="str">
        <f>IF(ISNA(VLOOKUP(C375,Registration!A:A,1,FALSE)),"Not Registered","Registered")</f>
        <v>Not Registered</v>
      </c>
      <c r="F375">
        <f>VLOOKUP(A375,'Karykarta List'!A:B,2,FALSE)</f>
        <v>9101910341</v>
      </c>
      <c r="G375" t="str">
        <f>_xlfn.IFNA(VLOOKUP(C375,CallLog_Latest!A:H,8,FALSE),"")</f>
        <v/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72</v>
      </c>
      <c r="B376" t="s">
        <v>418</v>
      </c>
      <c r="C376">
        <v>9920202022</v>
      </c>
      <c r="D376" t="str">
        <f>_xlfn.IFNA(VLOOKUP(C376,UpdateLogToUse!A:D,4,FALSE),"Not Called")</f>
        <v>Not Coming</v>
      </c>
      <c r="E376" t="str">
        <f>IF(ISNA(VLOOKUP(C376,Registration!A:A,1,FALSE)),"Not Registered","Registered")</f>
        <v>Not Registered</v>
      </c>
      <c r="F376">
        <f>VLOOKUP(A376,'Karykarta List'!A:B,2,FALSE)</f>
        <v>8879433174</v>
      </c>
      <c r="G376" t="str">
        <f>_xlfn.IFNA(VLOOKUP(C376,CallLog_Latest!A:H,8,FALSE),"")</f>
        <v/>
      </c>
      <c r="H376" t="str">
        <f>VLOOKUP(C376,[1]Sheet1!$F:$H,3,FALSE)</f>
        <v>Satsang Complex, C-1/61  Upper Govind Nagar, Malad East</v>
      </c>
    </row>
    <row r="377" spans="1:8" x14ac:dyDescent="0.25">
      <c r="A377" t="s">
        <v>60</v>
      </c>
      <c r="B377" t="s">
        <v>419</v>
      </c>
      <c r="C377">
        <v>9867729331</v>
      </c>
      <c r="D377" t="str">
        <f>_xlfn.IFNA(VLOOKUP(C377,UpdateLogToUse!A:D,4,FALSE),"Not Called")</f>
        <v>Not Called</v>
      </c>
      <c r="E377" t="str">
        <f>IF(ISNA(VLOOKUP(C377,Registration!A:A,1,FALSE)),"Not Registered","Registered")</f>
        <v>Not Registered</v>
      </c>
      <c r="F377">
        <f>VLOOKUP(A377,'Karykarta List'!A:B,2,FALSE)</f>
        <v>9820779873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1337</v>
      </c>
      <c r="B378" t="s">
        <v>420</v>
      </c>
      <c r="C378">
        <v>7045991852</v>
      </c>
      <c r="D378" t="str">
        <f>_xlfn.IFNA(VLOOKUP(C378,UpdateLogToUse!A:D,4,FALSE),"Not Called")</f>
        <v>May be Attending</v>
      </c>
      <c r="E378" t="str">
        <f>IF(ISNA(VLOOKUP(C378,Registration!A:A,1,FALSE)),"Not Registered","Registered")</f>
        <v>Not Registered</v>
      </c>
      <c r="F378">
        <f>VLOOKUP(A378,'Karykarta List'!A:B,2,FALSE)</f>
        <v>9820130862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77</v>
      </c>
      <c r="B379" t="s">
        <v>421</v>
      </c>
      <c r="C379">
        <v>9923332469</v>
      </c>
      <c r="D379" t="str">
        <f>_xlfn.IFNA(VLOOKUP(C379,UpdateLogToUse!A:D,4,FALSE),"Not Called")</f>
        <v>Not Coming</v>
      </c>
      <c r="E379" t="str">
        <f>IF(ISNA(VLOOKUP(C379,Registration!A:A,1,FALSE)),"Not Registered","Registered")</f>
        <v>Not Registered</v>
      </c>
      <c r="F379">
        <f>VLOOKUP(A379,'Karykarta List'!A:B,2,FALSE)</f>
        <v>9029105124</v>
      </c>
      <c r="G379" t="str">
        <f>_xlfn.IFNA(VLOOKUP(C379,CallLog_Latest!A:H,8,FALSE),"")</f>
        <v/>
      </c>
      <c r="H379" t="str">
        <f>VLOOKUP(C379,[1]Sheet1!$F:$H,3,FALSE)</f>
        <v>Flat No.7  Prateek Building Nivetia Road</v>
      </c>
    </row>
    <row r="380" spans="1:8" x14ac:dyDescent="0.25">
      <c r="A380" t="s">
        <v>70</v>
      </c>
      <c r="B380" t="s">
        <v>422</v>
      </c>
      <c r="C380">
        <v>9320848710</v>
      </c>
      <c r="D380" t="str">
        <f>_xlfn.IFNA(VLOOKUP(C380,UpdateLogToUse!A:D,4,FALSE),"Not Called")</f>
        <v>Not Called</v>
      </c>
      <c r="E380" t="str">
        <f>IF(ISNA(VLOOKUP(C380,Registration!A:A,1,FALSE)),"Not Registered","Registered")</f>
        <v>Not Registered</v>
      </c>
      <c r="F380">
        <f>VLOOKUP(A380,'Karykarta List'!A:B,2,FALSE)</f>
        <v>9405263833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81</v>
      </c>
      <c r="B381" t="s">
        <v>423</v>
      </c>
      <c r="C381">
        <v>9324842860</v>
      </c>
      <c r="D381" t="str">
        <f>_xlfn.IFNA(VLOOKUP(C381,UpdateLogToUse!A:D,4,FALSE),"Not Called")</f>
        <v>Not Called</v>
      </c>
      <c r="E381" t="str">
        <f>IF(ISNA(VLOOKUP(C381,Registration!A:A,1,FALSE)),"Not Registered","Registered")</f>
        <v>Not Registered</v>
      </c>
      <c r="F381">
        <f>VLOOKUP(A381,'Karykarta List'!A:B,2,FALSE)</f>
        <v>9824100412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23</v>
      </c>
      <c r="B382" t="s">
        <v>424</v>
      </c>
      <c r="C382">
        <v>9930070116</v>
      </c>
      <c r="D382" t="str">
        <f>_xlfn.IFNA(VLOOKUP(C382,UpdateLogToUse!A:D,4,FALSE),"Not Called")</f>
        <v>Not Called</v>
      </c>
      <c r="E382" t="str">
        <f>IF(ISNA(VLOOKUP(C382,Registration!A:A,1,FALSE)),"Not Registered","Registered")</f>
        <v>Not Registered</v>
      </c>
      <c r="F382">
        <f>VLOOKUP(A382,'Karykarta List'!A:B,2,FALSE)</f>
        <v>7977439717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41</v>
      </c>
      <c r="B383" t="s">
        <v>425</v>
      </c>
      <c r="C383">
        <v>9867399567</v>
      </c>
      <c r="D383" t="str">
        <f>_xlfn.IFNA(VLOOKUP(C383,UpdateLogToUse!A:D,4,FALSE),"Not Called")</f>
        <v>Not Called</v>
      </c>
      <c r="E383" t="str">
        <f>IF(ISNA(VLOOKUP(C383,Registration!A:A,1,FALSE)),"Not Registered","Registered")</f>
        <v>Not Registered</v>
      </c>
      <c r="F383">
        <f>VLOOKUP(A383,'Karykarta List'!A:B,2,FALSE)</f>
        <v>8058973809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797</v>
      </c>
      <c r="B384" t="s">
        <v>426</v>
      </c>
      <c r="C384">
        <v>9892320956</v>
      </c>
      <c r="D384" t="str">
        <f>_xlfn.IFNA(VLOOKUP(C384,UpdateLogToUse!A:D,4,FALSE),"Not Called")</f>
        <v>Not Called</v>
      </c>
      <c r="E384" t="str">
        <f>IF(ISNA(VLOOKUP(C384,Registration!A:A,1,FALSE)),"Not Registered","Registered")</f>
        <v>Not Registered</v>
      </c>
      <c r="F384">
        <f>VLOOKUP(A384,'Karykarta List'!A:B,2,FALSE)</f>
        <v>9320309630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785</v>
      </c>
      <c r="B385" t="s">
        <v>427</v>
      </c>
      <c r="C385">
        <v>9322210725</v>
      </c>
      <c r="D385" t="str">
        <f>_xlfn.IFNA(VLOOKUP(C385,UpdateLogToUse!A:D,4,FALSE),"Not Called")</f>
        <v>Not Coming</v>
      </c>
      <c r="E385" t="str">
        <f>IF(ISNA(VLOOKUP(C385,Registration!A:A,1,FALSE)),"Not Registered","Registered")</f>
        <v>Not Registered</v>
      </c>
      <c r="F385">
        <f>VLOOKUP(A385,'Karykarta List'!A:B,2,FALSE)</f>
        <v>9321532327</v>
      </c>
      <c r="G385" t="str">
        <f>_xlfn.IFNA(VLOOKUP(C385,CallLog_Latest!A:H,8,FALSE),"")</f>
        <v/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83</v>
      </c>
      <c r="B386" t="s">
        <v>428</v>
      </c>
      <c r="C386">
        <v>9819802848</v>
      </c>
      <c r="D386" t="str">
        <f>_xlfn.IFNA(VLOOKUP(C386,UpdateLogToUse!A:D,4,FALSE),"Not Called")</f>
        <v>Not Called</v>
      </c>
      <c r="E386" t="str">
        <f>IF(ISNA(VLOOKUP(C386,Registration!A:A,1,FALSE)),"Not Registered","Registered")</f>
        <v>Not Registered</v>
      </c>
      <c r="F386">
        <f>VLOOKUP(A386,'Karykarta List'!A:B,2,FALSE)</f>
        <v>9225211083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799</v>
      </c>
      <c r="B387" t="s">
        <v>429</v>
      </c>
      <c r="C387">
        <v>9821384949</v>
      </c>
      <c r="D387" t="str">
        <f>_xlfn.IFNA(VLOOKUP(C387,UpdateLogToUse!A:D,4,FALSE),"Not Called")</f>
        <v>Not Called</v>
      </c>
      <c r="E387" t="str">
        <f>IF(ISNA(VLOOKUP(C387,Registration!A:A,1,FALSE)),"Not Registered","Registered")</f>
        <v>Not Registered</v>
      </c>
      <c r="F387">
        <f>VLOOKUP(A387,'Karykarta List'!A:B,2,FALSE)</f>
        <v>9324233820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805</v>
      </c>
      <c r="B388" t="s">
        <v>430</v>
      </c>
      <c r="C388">
        <v>9324281631</v>
      </c>
      <c r="D388" t="str">
        <f>_xlfn.IFNA(VLOOKUP(C388,UpdateLogToUse!A:D,4,FALSE),"Not Called")</f>
        <v>Not Called</v>
      </c>
      <c r="E388" t="str">
        <f>IF(ISNA(VLOOKUP(C388,Registration!A:A,1,FALSE)),"Not Registered","Registered")</f>
        <v>Not Registered</v>
      </c>
      <c r="F388">
        <f>VLOOKUP(A388,'Karykarta List'!A:B,2,FALSE)</f>
        <v>9320770849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95</v>
      </c>
      <c r="B389" t="s">
        <v>431</v>
      </c>
      <c r="C389">
        <v>8286222999</v>
      </c>
      <c r="D389" t="str">
        <f>_xlfn.IFNA(VLOOKUP(C389,UpdateLogToUse!A:D,4,FALSE),"Not Called")</f>
        <v>Not Called</v>
      </c>
      <c r="E389" t="str">
        <f>IF(ISNA(VLOOKUP(C389,Registration!A:A,1,FALSE)),"Not Registered","Registered")</f>
        <v>Not Registered</v>
      </c>
      <c r="F389">
        <f>VLOOKUP(A389,'Karykarta List'!A:B,2,FALSE)</f>
        <v>9424584007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55</v>
      </c>
      <c r="B390" t="s">
        <v>432</v>
      </c>
      <c r="C390">
        <v>9987753824</v>
      </c>
      <c r="D390" t="str">
        <f>_xlfn.IFNA(VLOOKUP(C390,UpdateLogToUse!A:D,4,FALSE),"Not Called")</f>
        <v>Confirmed Presence</v>
      </c>
      <c r="E390" t="str">
        <f>IF(ISNA(VLOOKUP(C390,Registration!A:A,1,FALSE)),"Not Registered","Registered")</f>
        <v>Not Registered</v>
      </c>
      <c r="F390">
        <f>VLOOKUP(A390,'Karykarta List'!A:B,2,FALSE)</f>
        <v>9819083540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29</v>
      </c>
      <c r="B391" t="s">
        <v>433</v>
      </c>
      <c r="C391">
        <v>9819069016</v>
      </c>
      <c r="D391" t="str">
        <f>_xlfn.IFNA(VLOOKUP(C391,UpdateLogToUse!A:D,4,FALSE),"Not Called")</f>
        <v>Not Called</v>
      </c>
      <c r="E391" t="str">
        <f>IF(ISNA(VLOOKUP(C391,Registration!A:A,1,FALSE)),"Not Registered","Registered")</f>
        <v>Not Registered</v>
      </c>
      <c r="F391">
        <f>VLOOKUP(A391,'Karykarta List'!A:B,2,FALSE)</f>
        <v>9819364345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1306</v>
      </c>
      <c r="B392" t="s">
        <v>434</v>
      </c>
      <c r="C392">
        <v>9323483204</v>
      </c>
      <c r="D392" t="str">
        <f>_xlfn.IFNA(VLOOKUP(C392,UpdateLogToUse!A:D,4,FALSE),"Not Called")</f>
        <v>Not Called</v>
      </c>
      <c r="E392" t="str">
        <f>IF(ISNA(VLOOKUP(C392,Registration!A:A,1,FALSE)),"Not Registered","Registered")</f>
        <v>Not Registered</v>
      </c>
      <c r="F392">
        <f>VLOOKUP(A392,'Karykarta List'!A:B,2,FALSE)</f>
        <v>7977147591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789</v>
      </c>
      <c r="B393" t="s">
        <v>435</v>
      </c>
      <c r="C393">
        <v>9370518000</v>
      </c>
      <c r="D393" t="str">
        <f>_xlfn.IFNA(VLOOKUP(C393,UpdateLogToUse!A:D,4,FALSE),"Not Called")</f>
        <v>Confirmed Presence</v>
      </c>
      <c r="E393" t="str">
        <f>IF(ISNA(VLOOKUP(C393,Registration!A:A,1,FALSE)),"Not Registered","Registered")</f>
        <v>Not Registered</v>
      </c>
      <c r="F393">
        <f>VLOOKUP(A393,'Karykarta List'!A:B,2,FALSE)</f>
        <v>9702260383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11</v>
      </c>
      <c r="B394" t="s">
        <v>436</v>
      </c>
      <c r="C394">
        <v>9870190991</v>
      </c>
      <c r="D394" t="str">
        <f>_xlfn.IFNA(VLOOKUP(C394,UpdateLogToUse!A:D,4,FALSE),"Not Called")</f>
        <v>Not Called</v>
      </c>
      <c r="E394" t="str">
        <f>IF(ISNA(VLOOKUP(C394,Registration!A:A,1,FALSE)),"Not Registered","Registered")</f>
        <v>Not Registered</v>
      </c>
      <c r="F394">
        <f>VLOOKUP(A394,'Karykarta List'!A:B,2,FALSE)</f>
        <v>9322598681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1308</v>
      </c>
      <c r="B395" t="s">
        <v>437</v>
      </c>
      <c r="C395">
        <v>9322329791</v>
      </c>
      <c r="D395" t="str">
        <f>_xlfn.IFNA(VLOOKUP(C395,UpdateLogToUse!A:D,4,FALSE),"Not Called")</f>
        <v>Not Coming</v>
      </c>
      <c r="E395" t="str">
        <f>IF(ISNA(VLOOKUP(C395,Registration!A:A,1,FALSE)),"Not Registered","Registered")</f>
        <v>Not Registered</v>
      </c>
      <c r="F395">
        <f>VLOOKUP(A395,'Karykarta List'!A:B,2,FALSE)</f>
        <v>9022922620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39</v>
      </c>
      <c r="B396" t="s">
        <v>7</v>
      </c>
      <c r="C396">
        <v>9867015031</v>
      </c>
      <c r="D396" t="str">
        <f>_xlfn.IFNA(VLOOKUP(C396,UpdateLogToUse!A:D,4,FALSE),"Not Called")</f>
        <v>Confirmed Presence</v>
      </c>
      <c r="E396" t="str">
        <f>IF(ISNA(VLOOKUP(C396,Registration!A:A,1,FALSE)),"Not Registered","Registered")</f>
        <v>Not Registered</v>
      </c>
      <c r="F396">
        <f>VLOOKUP(A396,'Karykarta List'!A:B,2,FALSE)</f>
        <v>9820505363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21</v>
      </c>
      <c r="B397" t="s">
        <v>438</v>
      </c>
      <c r="C397">
        <v>9819235555</v>
      </c>
      <c r="D397" t="str">
        <f>_xlfn.IFNA(VLOOKUP(C397,UpdateLogToUse!A:D,4,FALSE),"Not Called")</f>
        <v>Not Called</v>
      </c>
      <c r="E397" t="str">
        <f>IF(ISNA(VLOOKUP(C397,Registration!A:A,1,FALSE)),"Not Registered","Registered")</f>
        <v>Not Registered</v>
      </c>
      <c r="F397">
        <f>VLOOKUP(A397,'Karykarta List'!A:B,2,FALSE)</f>
        <v>9820636392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31</v>
      </c>
      <c r="B398" t="s">
        <v>439</v>
      </c>
      <c r="C398">
        <v>9870403322</v>
      </c>
      <c r="D398" t="str">
        <f>_xlfn.IFNA(VLOOKUP(C398,UpdateLogToUse!A:D,4,FALSE),"Not Called")</f>
        <v>Not Called</v>
      </c>
      <c r="E398" t="str">
        <f>IF(ISNA(VLOOKUP(C398,Registration!A:A,1,FALSE)),"Not Registered","Registered")</f>
        <v>Not Registered</v>
      </c>
      <c r="F398">
        <f>VLOOKUP(A398,'Karykarta List'!A:B,2,FALSE)</f>
        <v>9869064553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49</v>
      </c>
      <c r="B399" t="s">
        <v>440</v>
      </c>
      <c r="C399">
        <v>9867319071</v>
      </c>
      <c r="D399" t="str">
        <f>_xlfn.IFNA(VLOOKUP(C399,UpdateLogToUse!A:D,4,FALSE),"Not Called")</f>
        <v>Not Coming</v>
      </c>
      <c r="E399" t="str">
        <f>IF(ISNA(VLOOKUP(C399,Registration!A:A,1,FALSE)),"Not Registered","Registered")</f>
        <v>Not Registered</v>
      </c>
      <c r="F399">
        <f>VLOOKUP(A399,'Karykarta List'!A:B,2,FALSE)</f>
        <v>9322206108</v>
      </c>
      <c r="G399" t="str">
        <f>_xlfn.IFNA(VLOOKUP(C399,CallLog_Latest!A:H,8,FALSE),"")</f>
        <v/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35</v>
      </c>
      <c r="B400" t="s">
        <v>441</v>
      </c>
      <c r="C400">
        <v>9892879893</v>
      </c>
      <c r="D400" t="str">
        <f>_xlfn.IFNA(VLOOKUP(C400,UpdateLogToUse!A:D,4,FALSE),"Not Called")</f>
        <v>Not Reachable</v>
      </c>
      <c r="E400" t="str">
        <f>IF(ISNA(VLOOKUP(C400,Registration!A:A,1,FALSE)),"Not Registered","Registered")</f>
        <v>Not Registered</v>
      </c>
      <c r="F400">
        <f>VLOOKUP(A400,'Karykarta List'!A:B,2,FALSE)</f>
        <v>9833705425</v>
      </c>
      <c r="G400" t="str">
        <f>_xlfn.IFNA(VLOOKUP(C400,CallLog_Latest!A:H,8,FALSE),"")</f>
        <v/>
      </c>
      <c r="H400" t="str">
        <f>VLOOKUP(C400,[1]Sheet1!$F:$H,3,FALSE)</f>
        <v>Aram Bunglow  Govind Nagar Behind Ambe Mata Temple</v>
      </c>
    </row>
    <row r="401" spans="1:8" x14ac:dyDescent="0.25">
      <c r="A401" t="s">
        <v>17</v>
      </c>
      <c r="B401" t="s">
        <v>442</v>
      </c>
      <c r="C401">
        <v>9819578232</v>
      </c>
      <c r="D401" t="str">
        <f>_xlfn.IFNA(VLOOKUP(C401,UpdateLogToUse!A:D,4,FALSE),"Not Called")</f>
        <v>Confirmed Presence</v>
      </c>
      <c r="E401" t="str">
        <f>IF(ISNA(VLOOKUP(C401,Registration!A:A,1,FALSE)),"Not Registered","Registered")</f>
        <v>Not Registered</v>
      </c>
      <c r="F401">
        <f>VLOOKUP(A401,'Karykarta List'!A:B,2,FALSE)</f>
        <v>9869798705</v>
      </c>
      <c r="G401" t="str">
        <f>_xlfn.IFNA(VLOOKUP(C401,CallLog_Latest!A:H,8,FALSE),"")</f>
        <v/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23</v>
      </c>
      <c r="B402" t="s">
        <v>443</v>
      </c>
      <c r="C402">
        <v>9820149837</v>
      </c>
      <c r="D402" t="str">
        <f>_xlfn.IFNA(VLOOKUP(C402,UpdateLogToUse!A:D,4,FALSE),"Not Called")</f>
        <v>Not Coming</v>
      </c>
      <c r="E402" t="str">
        <f>IF(ISNA(VLOOKUP(C402,Registration!A:A,1,FALSE)),"Not Registered","Registered")</f>
        <v>Not Registered</v>
      </c>
      <c r="F402">
        <f>VLOOKUP(A402,'Karykarta List'!A:B,2,FALSE)</f>
        <v>7977439717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43</v>
      </c>
      <c r="B403" t="s">
        <v>444</v>
      </c>
      <c r="C403">
        <v>9987558005</v>
      </c>
      <c r="D403" t="str">
        <f>_xlfn.IFNA(VLOOKUP(C403,UpdateLogToUse!A:D,4,FALSE),"Not Called")</f>
        <v>Not Called</v>
      </c>
      <c r="E403" t="str">
        <f>IF(ISNA(VLOOKUP(C403,Registration!A:A,1,FALSE)),"Not Registered","Registered")</f>
        <v>Not Registered</v>
      </c>
      <c r="F403">
        <f>VLOOKUP(A403,'Karykarta List'!A:B,2,FALSE)</f>
        <v>9320683201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57</v>
      </c>
      <c r="B404" t="s">
        <v>445</v>
      </c>
      <c r="C404">
        <v>8879542525</v>
      </c>
      <c r="D404" t="str">
        <f>_xlfn.IFNA(VLOOKUP(C404,UpdateLogToUse!A:D,4,FALSE),"Not Called")</f>
        <v>Not Called</v>
      </c>
      <c r="E404" t="str">
        <f>IF(ISNA(VLOOKUP(C404,Registration!A:A,1,FALSE)),"Not Registered","Registered")</f>
        <v>Not Registered</v>
      </c>
      <c r="F404">
        <f>VLOOKUP(A404,'Karykarta List'!A:B,2,FALSE)</f>
        <v>9101910341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72</v>
      </c>
      <c r="B405" t="s">
        <v>446</v>
      </c>
      <c r="C405">
        <v>9820230357</v>
      </c>
      <c r="D405" t="str">
        <f>_xlfn.IFNA(VLOOKUP(C405,UpdateLogToUse!A:D,4,FALSE),"Not Called")</f>
        <v>Not Reachable</v>
      </c>
      <c r="E405" t="str">
        <f>IF(ISNA(VLOOKUP(C405,Registration!A:A,1,FALSE)),"Not Registered","Registered")</f>
        <v>Not Registered</v>
      </c>
      <c r="F405">
        <f>VLOOKUP(A405,'Karykarta List'!A:B,2,FALSE)</f>
        <v>8879433174</v>
      </c>
      <c r="G405" t="str">
        <f>_xlfn.IFNA(VLOOKUP(C405,CallLog_Latest!A:H,8,FALSE),"")</f>
        <v/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60</v>
      </c>
      <c r="B406" t="s">
        <v>447</v>
      </c>
      <c r="C406">
        <v>9892312822</v>
      </c>
      <c r="D406" t="str">
        <f>_xlfn.IFNA(VLOOKUP(C406,UpdateLogToUse!A:D,4,FALSE),"Not Called")</f>
        <v>Not Called</v>
      </c>
      <c r="E406" t="str">
        <f>IF(ISNA(VLOOKUP(C406,Registration!A:A,1,FALSE)),"Not Registered","Registered")</f>
        <v>Not Registered</v>
      </c>
      <c r="F406">
        <f>VLOOKUP(A406,'Karykarta List'!A:B,2,FALSE)</f>
        <v>9820779873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1337</v>
      </c>
      <c r="B407" t="s">
        <v>448</v>
      </c>
      <c r="C407">
        <v>9820351436</v>
      </c>
      <c r="D407" t="str">
        <f>_xlfn.IFNA(VLOOKUP(C407,UpdateLogToUse!A:D,4,FALSE),"Not Called")</f>
        <v>Confirmed Presence</v>
      </c>
      <c r="E407" t="str">
        <f>IF(ISNA(VLOOKUP(C407,Registration!A:A,1,FALSE)),"Not Registered","Registered")</f>
        <v>Not Registered</v>
      </c>
      <c r="F407">
        <f>VLOOKUP(A407,'Karykarta List'!A:B,2,FALSE)</f>
        <v>9820130862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77</v>
      </c>
      <c r="B408" t="s">
        <v>449</v>
      </c>
      <c r="C408">
        <v>9820048419</v>
      </c>
      <c r="D408" t="str">
        <f>_xlfn.IFNA(VLOOKUP(C408,UpdateLogToUse!A:D,4,FALSE),"Not Called")</f>
        <v>Confirmed Presence</v>
      </c>
      <c r="E408" t="str">
        <f>IF(ISNA(VLOOKUP(C408,Registration!A:A,1,FALSE)),"Not Registered","Registered")</f>
        <v>Not Registered</v>
      </c>
      <c r="F408">
        <f>VLOOKUP(A408,'Karykarta List'!A:B,2,FALSE)</f>
        <v>9029105124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70</v>
      </c>
      <c r="B409" t="s">
        <v>450</v>
      </c>
      <c r="C409">
        <v>9920115155</v>
      </c>
      <c r="D409" t="str">
        <f>_xlfn.IFNA(VLOOKUP(C409,UpdateLogToUse!A:D,4,FALSE),"Not Called")</f>
        <v>Confirmed Presence</v>
      </c>
      <c r="E409" t="str">
        <f>IF(ISNA(VLOOKUP(C409,Registration!A:A,1,FALSE)),"Not Registered","Registered")</f>
        <v>Not Registered</v>
      </c>
      <c r="F409">
        <f>VLOOKUP(A409,'Karykarta List'!A:B,2,FALSE)</f>
        <v>9405263833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81</v>
      </c>
      <c r="B410" t="s">
        <v>451</v>
      </c>
      <c r="C410">
        <v>9820453152</v>
      </c>
      <c r="D410" t="str">
        <f>_xlfn.IFNA(VLOOKUP(C410,UpdateLogToUse!A:D,4,FALSE),"Not Called")</f>
        <v>Not Called</v>
      </c>
      <c r="E410" t="str">
        <f>IF(ISNA(VLOOKUP(C410,Registration!A:A,1,FALSE)),"Not Registered","Registered")</f>
        <v>Not Registered</v>
      </c>
      <c r="F410">
        <f>VLOOKUP(A410,'Karykarta List'!A:B,2,FALSE)</f>
        <v>9824100412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23</v>
      </c>
      <c r="B411" t="s">
        <v>452</v>
      </c>
      <c r="C411">
        <v>9920467020</v>
      </c>
      <c r="D411" t="str">
        <f>_xlfn.IFNA(VLOOKUP(C411,UpdateLogToUse!A:D,4,FALSE),"Not Called")</f>
        <v>Not Called</v>
      </c>
      <c r="E411" t="str">
        <f>IF(ISNA(VLOOKUP(C411,Registration!A:A,1,FALSE)),"Not Registered","Registered")</f>
        <v>Not Registered</v>
      </c>
      <c r="F411">
        <f>VLOOKUP(A411,'Karykarta List'!A:B,2,FALSE)</f>
        <v>7977439717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41</v>
      </c>
      <c r="B412" t="s">
        <v>453</v>
      </c>
      <c r="C412">
        <v>9322598681</v>
      </c>
      <c r="D412" t="str">
        <f>_xlfn.IFNA(VLOOKUP(C412,UpdateLogToUse!A:D,4,FALSE),"Not Called")</f>
        <v>Not Reachable</v>
      </c>
      <c r="E412" t="str">
        <f>IF(ISNA(VLOOKUP(C412,Registration!A:A,1,FALSE)),"Not Registered","Registered")</f>
        <v>Not Registered</v>
      </c>
      <c r="F412">
        <f>VLOOKUP(A412,'Karykarta List'!A:B,2,FALSE)</f>
        <v>8058973809</v>
      </c>
      <c r="G412" t="str">
        <f>_xlfn.IFNA(VLOOKUP(C412,CallLog_Latest!A:H,8,FALSE),"")</f>
        <v/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797</v>
      </c>
      <c r="B413" t="s">
        <v>454</v>
      </c>
      <c r="C413">
        <v>9967235652</v>
      </c>
      <c r="D413" t="str">
        <f>_xlfn.IFNA(VLOOKUP(C413,UpdateLogToUse!A:D,4,FALSE),"Not Called")</f>
        <v>Confirmed Presence</v>
      </c>
      <c r="E413" t="str">
        <f>IF(ISNA(VLOOKUP(C413,Registration!A:A,1,FALSE)),"Not Registered","Registered")</f>
        <v>Not Registered</v>
      </c>
      <c r="F413">
        <f>VLOOKUP(A413,'Karykarta List'!A:B,2,FALSE)</f>
        <v>9320309630</v>
      </c>
      <c r="G413" t="str">
        <f>_xlfn.IFNA(VLOOKUP(C413,CallLog_Latest!A:H,8,FALSE),"")</f>
        <v/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785</v>
      </c>
      <c r="B414" t="s">
        <v>455</v>
      </c>
      <c r="C414">
        <v>9324386761</v>
      </c>
      <c r="D414" t="str">
        <f>_xlfn.IFNA(VLOOKUP(C414,UpdateLogToUse!A:D,4,FALSE),"Not Called")</f>
        <v>Phone Busy</v>
      </c>
      <c r="E414" t="str">
        <f>IF(ISNA(VLOOKUP(C414,Registration!A:A,1,FALSE)),"Not Registered","Registered")</f>
        <v>Not Registered</v>
      </c>
      <c r="F414">
        <f>VLOOKUP(A414,'Karykarta List'!A:B,2,FALSE)</f>
        <v>9321532327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83</v>
      </c>
      <c r="B415" t="s">
        <v>456</v>
      </c>
      <c r="C415">
        <v>9820075931</v>
      </c>
      <c r="D415" t="str">
        <f>_xlfn.IFNA(VLOOKUP(C415,UpdateLogToUse!A:D,4,FALSE),"Not Called")</f>
        <v>Not Coming</v>
      </c>
      <c r="E415" t="str">
        <f>IF(ISNA(VLOOKUP(C415,Registration!A:A,1,FALSE)),"Not Registered","Registered")</f>
        <v>Registered</v>
      </c>
      <c r="F415">
        <f>VLOOKUP(A415,'Karykarta List'!A:B,2,FALSE)</f>
        <v>9225211083</v>
      </c>
      <c r="G415" t="str">
        <f>_xlfn.IFNA(VLOOKUP(C415,CallLog_Latest!A:H,8,FALSE),"")</f>
        <v/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799</v>
      </c>
      <c r="B416" t="s">
        <v>457</v>
      </c>
      <c r="C416">
        <v>9821379508</v>
      </c>
      <c r="D416" t="str">
        <f>_xlfn.IFNA(VLOOKUP(C416,UpdateLogToUse!A:D,4,FALSE),"Not Called")</f>
        <v>Not Called</v>
      </c>
      <c r="E416" t="str">
        <f>IF(ISNA(VLOOKUP(C416,Registration!A:A,1,FALSE)),"Not Registered","Registered")</f>
        <v>Not Registered</v>
      </c>
      <c r="F416">
        <f>VLOOKUP(A416,'Karykarta List'!A:B,2,FALSE)</f>
        <v>9324233820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805</v>
      </c>
      <c r="B417" t="s">
        <v>458</v>
      </c>
      <c r="C417">
        <v>9820028050</v>
      </c>
      <c r="D417" t="str">
        <f>_xlfn.IFNA(VLOOKUP(C417,UpdateLogToUse!A:D,4,FALSE),"Not Called")</f>
        <v>Not Called</v>
      </c>
      <c r="E417" t="str">
        <f>IF(ISNA(VLOOKUP(C417,Registration!A:A,1,FALSE)),"Not Registered","Registered")</f>
        <v>Not Registered</v>
      </c>
      <c r="F417">
        <f>VLOOKUP(A417,'Karykarta List'!A:B,2,FALSE)</f>
        <v>9320770849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95</v>
      </c>
      <c r="B418" t="s">
        <v>459</v>
      </c>
      <c r="C418">
        <v>9819029244</v>
      </c>
      <c r="D418" t="str">
        <f>_xlfn.IFNA(VLOOKUP(C418,UpdateLogToUse!A:D,4,FALSE),"Not Called")</f>
        <v>Not Called</v>
      </c>
      <c r="E418" t="str">
        <f>IF(ISNA(VLOOKUP(C418,Registration!A:A,1,FALSE)),"Not Registered","Registered")</f>
        <v>Not Registered</v>
      </c>
      <c r="F418">
        <f>VLOOKUP(A418,'Karykarta List'!A:B,2,FALSE)</f>
        <v>9424584007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55</v>
      </c>
      <c r="B419" t="s">
        <v>460</v>
      </c>
      <c r="C419">
        <v>9769249313</v>
      </c>
      <c r="D419" t="str">
        <f>_xlfn.IFNA(VLOOKUP(C419,UpdateLogToUse!A:D,4,FALSE),"Not Called")</f>
        <v>Not Called</v>
      </c>
      <c r="E419" t="str">
        <f>IF(ISNA(VLOOKUP(C419,Registration!A:A,1,FALSE)),"Not Registered","Registered")</f>
        <v>Not Registered</v>
      </c>
      <c r="F419">
        <f>VLOOKUP(A419,'Karykarta List'!A:B,2,FALSE)</f>
        <v>9819083540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29</v>
      </c>
      <c r="B420" t="s">
        <v>461</v>
      </c>
      <c r="C420">
        <v>9833261236</v>
      </c>
      <c r="D420" t="str">
        <f>_xlfn.IFNA(VLOOKUP(C420,UpdateLogToUse!A:D,4,FALSE),"Not Called")</f>
        <v>Not Called</v>
      </c>
      <c r="E420" t="str">
        <f>IF(ISNA(VLOOKUP(C420,Registration!A:A,1,FALSE)),"Not Registered","Registered")</f>
        <v>Not Registered</v>
      </c>
      <c r="F420">
        <f>VLOOKUP(A420,'Karykarta List'!A:B,2,FALSE)</f>
        <v>9819364345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1306</v>
      </c>
      <c r="B421" t="s">
        <v>462</v>
      </c>
      <c r="C421">
        <v>9820660071</v>
      </c>
      <c r="D421" t="str">
        <f>_xlfn.IFNA(VLOOKUP(C421,UpdateLogToUse!A:D,4,FALSE),"Not Called")</f>
        <v>Confirmed Presence</v>
      </c>
      <c r="E421" t="str">
        <f>IF(ISNA(VLOOKUP(C421,Registration!A:A,1,FALSE)),"Not Registered","Registered")</f>
        <v>Not Registered</v>
      </c>
      <c r="F421">
        <f>VLOOKUP(A421,'Karykarta List'!A:B,2,FALSE)</f>
        <v>7977147591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789</v>
      </c>
      <c r="B422" t="s">
        <v>463</v>
      </c>
      <c r="C422">
        <v>9322117911</v>
      </c>
      <c r="D422" t="str">
        <f>_xlfn.IFNA(VLOOKUP(C422,UpdateLogToUse!A:D,4,FALSE),"Not Called")</f>
        <v>Not Called</v>
      </c>
      <c r="E422" t="str">
        <f>IF(ISNA(VLOOKUP(C422,Registration!A:A,1,FALSE)),"Not Registered","Registered")</f>
        <v>Not Registered</v>
      </c>
      <c r="F422">
        <f>VLOOKUP(A422,'Karykarta List'!A:B,2,FALSE)</f>
        <v>9702260383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11</v>
      </c>
      <c r="B423" t="s">
        <v>464</v>
      </c>
      <c r="C423">
        <v>9324403905</v>
      </c>
      <c r="D423" t="str">
        <f>_xlfn.IFNA(VLOOKUP(C423,UpdateLogToUse!A:D,4,FALSE),"Not Called")</f>
        <v>Not Coming</v>
      </c>
      <c r="E423" t="str">
        <f>IF(ISNA(VLOOKUP(C423,Registration!A:A,1,FALSE)),"Not Registered","Registered")</f>
        <v>Not Registered</v>
      </c>
      <c r="F423">
        <f>VLOOKUP(A423,'Karykarta List'!A:B,2,FALSE)</f>
        <v>9322598681</v>
      </c>
      <c r="G423" t="str">
        <f>_xlfn.IFNA(VLOOKUP(C423,CallLog_Latest!A:H,8,FALSE),"")</f>
        <v/>
      </c>
      <c r="H423" t="str">
        <f>VLOOKUP(C423,[1]Sheet1!$F:$H,3,FALSE)</f>
        <v>B401-402  B1 Velentine Apts -3 A K V Marg  Gokuldham</v>
      </c>
    </row>
    <row r="424" spans="1:8" x14ac:dyDescent="0.25">
      <c r="A424" t="s">
        <v>1308</v>
      </c>
      <c r="B424" t="s">
        <v>465</v>
      </c>
      <c r="C424">
        <v>9029889349</v>
      </c>
      <c r="D424" t="str">
        <f>_xlfn.IFNA(VLOOKUP(C424,UpdateLogToUse!A:D,4,FALSE),"Not Called")</f>
        <v>Phone Busy</v>
      </c>
      <c r="E424" t="str">
        <f>IF(ISNA(VLOOKUP(C424,Registration!A:A,1,FALSE)),"Not Registered","Registered")</f>
        <v>Not Registered</v>
      </c>
      <c r="F424">
        <f>VLOOKUP(A424,'Karykarta List'!A:B,2,FALSE)</f>
        <v>9022922620</v>
      </c>
      <c r="G424" t="str">
        <f>_xlfn.IFNA(VLOOKUP(C424,CallLog_Latest!A:H,8,FALSE),"")</f>
        <v/>
      </c>
      <c r="H424" t="str">
        <f>VLOOKUP(C424,[1]Sheet1!$F:$H,3,FALSE)</f>
        <v>2/21  Malad Co.Housing Soc.Ltd Poddar Park</v>
      </c>
    </row>
    <row r="425" spans="1:8" x14ac:dyDescent="0.25">
      <c r="A425" t="s">
        <v>39</v>
      </c>
      <c r="B425" t="s">
        <v>466</v>
      </c>
      <c r="C425">
        <v>9324217894</v>
      </c>
      <c r="D425" t="str">
        <f>_xlfn.IFNA(VLOOKUP(C425,UpdateLogToUse!A:D,4,FALSE),"Not Called")</f>
        <v>Not Called</v>
      </c>
      <c r="E425" t="str">
        <f>IF(ISNA(VLOOKUP(C425,Registration!A:A,1,FALSE)),"Not Registered","Registered")</f>
        <v>Not Registered</v>
      </c>
      <c r="F425">
        <f>VLOOKUP(A425,'Karykarta List'!A:B,2,FALSE)</f>
        <v>9820505363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21</v>
      </c>
      <c r="B426" t="s">
        <v>467</v>
      </c>
      <c r="C426">
        <v>9892535646</v>
      </c>
      <c r="D426" t="str">
        <f>_xlfn.IFNA(VLOOKUP(C426,UpdateLogToUse!A:D,4,FALSE),"Not Called")</f>
        <v>Confirmed Presence</v>
      </c>
      <c r="E426" t="str">
        <f>IF(ISNA(VLOOKUP(C426,Registration!A:A,1,FALSE)),"Not Registered","Registered")</f>
        <v>Not Registered</v>
      </c>
      <c r="F426">
        <f>VLOOKUP(A426,'Karykarta List'!A:B,2,FALSE)</f>
        <v>9820636392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31</v>
      </c>
      <c r="B427" t="s">
        <v>468</v>
      </c>
      <c r="C427">
        <v>9619136378</v>
      </c>
      <c r="D427" t="str">
        <f>_xlfn.IFNA(VLOOKUP(C427,UpdateLogToUse!A:D,4,FALSE),"Not Called")</f>
        <v>Not Reachable</v>
      </c>
      <c r="E427" t="str">
        <f>IF(ISNA(VLOOKUP(C427,Registration!A:A,1,FALSE)),"Not Registered","Registered")</f>
        <v>Not Registered</v>
      </c>
      <c r="F427">
        <f>VLOOKUP(A427,'Karykarta List'!A:B,2,FALSE)</f>
        <v>9869064553</v>
      </c>
      <c r="G427" t="str">
        <f>_xlfn.IFNA(VLOOKUP(C427,CallLog_Latest!A:H,8,FALSE),"")</f>
        <v/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49</v>
      </c>
      <c r="B428" t="s">
        <v>469</v>
      </c>
      <c r="C428">
        <v>7506014965</v>
      </c>
      <c r="D428" t="str">
        <f>_xlfn.IFNA(VLOOKUP(C428,UpdateLogToUse!A:D,4,FALSE),"Not Called")</f>
        <v>Not Called</v>
      </c>
      <c r="E428" t="str">
        <f>IF(ISNA(VLOOKUP(C428,Registration!A:A,1,FALSE)),"Not Registered","Registered")</f>
        <v>Not Registered</v>
      </c>
      <c r="F428">
        <f>VLOOKUP(A428,'Karykarta List'!A:B,2,FALSE)</f>
        <v>9322206108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35</v>
      </c>
      <c r="B429" t="s">
        <v>470</v>
      </c>
      <c r="C429">
        <v>9820081145</v>
      </c>
      <c r="D429" t="str">
        <f>_xlfn.IFNA(VLOOKUP(C429,UpdateLogToUse!A:D,4,FALSE),"Not Called")</f>
        <v>Not Called</v>
      </c>
      <c r="E429" t="str">
        <f>IF(ISNA(VLOOKUP(C429,Registration!A:A,1,FALSE)),"Not Registered","Registered")</f>
        <v>Not Registered</v>
      </c>
      <c r="F429">
        <f>VLOOKUP(A429,'Karykarta List'!A:B,2,FALSE)</f>
        <v>9833705425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17</v>
      </c>
      <c r="B430" t="s">
        <v>471</v>
      </c>
      <c r="C430">
        <v>9920926203</v>
      </c>
      <c r="D430" t="str">
        <f>_xlfn.IFNA(VLOOKUP(C430,UpdateLogToUse!A:D,4,FALSE),"Not Called")</f>
        <v>Not Called</v>
      </c>
      <c r="E430" t="str">
        <f>IF(ISNA(VLOOKUP(C430,Registration!A:A,1,FALSE)),"Not Registered","Registered")</f>
        <v>Not Registered</v>
      </c>
      <c r="F430">
        <f>VLOOKUP(A430,'Karykarta List'!A:B,2,FALSE)</f>
        <v>9869798705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23</v>
      </c>
      <c r="B431" t="s">
        <v>472</v>
      </c>
      <c r="C431">
        <v>9821073387</v>
      </c>
      <c r="D431" t="str">
        <f>_xlfn.IFNA(VLOOKUP(C431,UpdateLogToUse!A:D,4,FALSE),"Not Called")</f>
        <v>Not Called</v>
      </c>
      <c r="E431" t="str">
        <f>IF(ISNA(VLOOKUP(C431,Registration!A:A,1,FALSE)),"Not Registered","Registered")</f>
        <v>Not Registered</v>
      </c>
      <c r="F431">
        <f>VLOOKUP(A431,'Karykarta List'!A:B,2,FALSE)</f>
        <v>7977439717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43</v>
      </c>
      <c r="B432" t="s">
        <v>473</v>
      </c>
      <c r="C432">
        <v>9870587538</v>
      </c>
      <c r="D432" t="str">
        <f>_xlfn.IFNA(VLOOKUP(C432,UpdateLogToUse!A:D,4,FALSE),"Not Called")</f>
        <v>Not Called</v>
      </c>
      <c r="E432" t="str">
        <f>IF(ISNA(VLOOKUP(C432,Registration!A:A,1,FALSE)),"Not Registered","Registered")</f>
        <v>Not Registered</v>
      </c>
      <c r="F432">
        <f>VLOOKUP(A432,'Karykarta List'!A:B,2,FALSE)</f>
        <v>9320683201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57</v>
      </c>
      <c r="B433" t="s">
        <v>474</v>
      </c>
      <c r="C433">
        <v>9768532064</v>
      </c>
      <c r="D433" t="str">
        <f>_xlfn.IFNA(VLOOKUP(C433,UpdateLogToUse!A:D,4,FALSE),"Not Called")</f>
        <v>Not Coming</v>
      </c>
      <c r="E433" t="str">
        <f>IF(ISNA(VLOOKUP(C433,Registration!A:A,1,FALSE)),"Not Registered","Registered")</f>
        <v>Not Registered</v>
      </c>
      <c r="F433">
        <f>VLOOKUP(A433,'Karykarta List'!A:B,2,FALSE)</f>
        <v>9101910341</v>
      </c>
      <c r="G433" t="str">
        <f>_xlfn.IFNA(VLOOKUP(C433,CallLog_Latest!A:H,8,FALSE),"")</f>
        <v/>
      </c>
      <c r="H433" t="str">
        <f>VLOOKUP(C433,[1]Sheet1!$F:$H,3,FALSE)</f>
        <v>Panchsheel-3 CHSL, F/522 Raheja Township, Malad (E</v>
      </c>
    </row>
    <row r="434" spans="1:8" x14ac:dyDescent="0.25">
      <c r="A434" t="s">
        <v>72</v>
      </c>
      <c r="B434" t="s">
        <v>475</v>
      </c>
      <c r="C434">
        <v>9867608083</v>
      </c>
      <c r="D434" t="str">
        <f>_xlfn.IFNA(VLOOKUP(C434,UpdateLogToUse!A:D,4,FALSE),"Not Called")</f>
        <v>Not Called</v>
      </c>
      <c r="E434" t="str">
        <f>IF(ISNA(VLOOKUP(C434,Registration!A:A,1,FALSE)),"Not Registered","Registered")</f>
        <v>Not Registered</v>
      </c>
      <c r="F434">
        <f>VLOOKUP(A434,'Karykarta List'!A:B,2,FALSE)</f>
        <v>8879433174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60</v>
      </c>
      <c r="B435" t="s">
        <v>476</v>
      </c>
      <c r="C435">
        <v>9820902886</v>
      </c>
      <c r="D435" t="str">
        <f>_xlfn.IFNA(VLOOKUP(C435,UpdateLogToUse!A:D,4,FALSE),"Not Called")</f>
        <v>Not Called</v>
      </c>
      <c r="E435" t="str">
        <f>IF(ISNA(VLOOKUP(C435,Registration!A:A,1,FALSE)),"Not Registered","Registered")</f>
        <v>Not Registered</v>
      </c>
      <c r="F435">
        <f>VLOOKUP(A435,'Karykarta List'!A:B,2,FALSE)</f>
        <v>9820779873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1337</v>
      </c>
      <c r="B436" t="s">
        <v>477</v>
      </c>
      <c r="C436">
        <v>7666685857</v>
      </c>
      <c r="D436" t="str">
        <f>_xlfn.IFNA(VLOOKUP(C436,UpdateLogToUse!A:D,4,FALSE),"Not Called")</f>
        <v>Not Called</v>
      </c>
      <c r="E436" t="str">
        <f>IF(ISNA(VLOOKUP(C436,Registration!A:A,1,FALSE)),"Not Registered","Registered")</f>
        <v>Not Registered</v>
      </c>
      <c r="F436">
        <f>VLOOKUP(A436,'Karykarta List'!A:B,2,FALSE)</f>
        <v>9820130862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77</v>
      </c>
      <c r="B437" t="s">
        <v>478</v>
      </c>
      <c r="C437">
        <v>9363101659</v>
      </c>
      <c r="D437" t="str">
        <f>_xlfn.IFNA(VLOOKUP(C437,UpdateLogToUse!A:D,4,FALSE),"Not Called")</f>
        <v>Not Called</v>
      </c>
      <c r="E437" t="str">
        <f>IF(ISNA(VLOOKUP(C437,Registration!A:A,1,FALSE)),"Not Registered","Registered")</f>
        <v>Not Registered</v>
      </c>
      <c r="F437">
        <f>VLOOKUP(A437,'Karykarta List'!A:B,2,FALSE)</f>
        <v>9029105124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70</v>
      </c>
      <c r="B438" t="s">
        <v>479</v>
      </c>
      <c r="C438">
        <v>9323541634</v>
      </c>
      <c r="D438" t="str">
        <f>_xlfn.IFNA(VLOOKUP(C438,UpdateLogToUse!A:D,4,FALSE),"Not Called")</f>
        <v>Confirmed Presence</v>
      </c>
      <c r="E438" t="str">
        <f>IF(ISNA(VLOOKUP(C438,Registration!A:A,1,FALSE)),"Not Registered","Registered")</f>
        <v>Not Registered</v>
      </c>
      <c r="F438">
        <f>VLOOKUP(A438,'Karykarta List'!A:B,2,FALSE)</f>
        <v>9405263833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81</v>
      </c>
      <c r="B439" t="s">
        <v>480</v>
      </c>
      <c r="C439">
        <v>9224425529</v>
      </c>
      <c r="D439" t="str">
        <f>_xlfn.IFNA(VLOOKUP(C439,UpdateLogToUse!A:D,4,FALSE),"Not Called")</f>
        <v>Not Called</v>
      </c>
      <c r="E439" t="str">
        <f>IF(ISNA(VLOOKUP(C439,Registration!A:A,1,FALSE)),"Not Registered","Registered")</f>
        <v>Not Registered</v>
      </c>
      <c r="F439">
        <f>VLOOKUP(A439,'Karykarta List'!A:B,2,FALSE)</f>
        <v>9824100412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23</v>
      </c>
      <c r="B440" t="s">
        <v>481</v>
      </c>
      <c r="C440">
        <v>8767780888</v>
      </c>
      <c r="D440" t="str">
        <f>_xlfn.IFNA(VLOOKUP(C440,UpdateLogToUse!A:D,4,FALSE),"Not Called")</f>
        <v>Not Called</v>
      </c>
      <c r="E440" t="str">
        <f>IF(ISNA(VLOOKUP(C440,Registration!A:A,1,FALSE)),"Not Registered","Registered")</f>
        <v>Not Registered</v>
      </c>
      <c r="F440">
        <f>VLOOKUP(A440,'Karykarta List'!A:B,2,FALSE)</f>
        <v>7977439717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41</v>
      </c>
      <c r="B441" t="s">
        <v>482</v>
      </c>
      <c r="C441">
        <v>8600106060</v>
      </c>
      <c r="D441" t="str">
        <f>_xlfn.IFNA(VLOOKUP(C441,UpdateLogToUse!A:D,4,FALSE),"Not Called")</f>
        <v>Confirmed Presence</v>
      </c>
      <c r="E441" t="str">
        <f>IF(ISNA(VLOOKUP(C441,Registration!A:A,1,FALSE)),"Not Registered","Registered")</f>
        <v>Not Registered</v>
      </c>
      <c r="F441">
        <f>VLOOKUP(A441,'Karykarta List'!A:B,2,FALSE)</f>
        <v>8058973809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797</v>
      </c>
      <c r="B442" t="s">
        <v>483</v>
      </c>
      <c r="C442">
        <v>9819812707</v>
      </c>
      <c r="D442" t="str">
        <f>_xlfn.IFNA(VLOOKUP(C442,UpdateLogToUse!A:D,4,FALSE),"Not Called")</f>
        <v>Not Called</v>
      </c>
      <c r="E442" t="str">
        <f>IF(ISNA(VLOOKUP(C442,Registration!A:A,1,FALSE)),"Not Registered","Registered")</f>
        <v>Not Registered</v>
      </c>
      <c r="F442">
        <f>VLOOKUP(A442,'Karykarta List'!A:B,2,FALSE)</f>
        <v>9320309630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785</v>
      </c>
      <c r="B443" t="s">
        <v>484</v>
      </c>
      <c r="C443">
        <v>9987683568</v>
      </c>
      <c r="D443" t="str">
        <f>_xlfn.IFNA(VLOOKUP(C443,UpdateLogToUse!A:D,4,FALSE),"Not Called")</f>
        <v>Not Called</v>
      </c>
      <c r="E443" t="str">
        <f>IF(ISNA(VLOOKUP(C443,Registration!A:A,1,FALSE)),"Not Registered","Registered")</f>
        <v>Not Registered</v>
      </c>
      <c r="F443">
        <f>VLOOKUP(A443,'Karykarta List'!A:B,2,FALSE)</f>
        <v>9321532327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83</v>
      </c>
      <c r="B444" t="s">
        <v>41</v>
      </c>
      <c r="C444">
        <v>8058973809</v>
      </c>
      <c r="D444" t="str">
        <f>_xlfn.IFNA(VLOOKUP(C444,UpdateLogToUse!A:D,4,FALSE),"Not Called")</f>
        <v>Not Reachable</v>
      </c>
      <c r="E444" t="str">
        <f>IF(ISNA(VLOOKUP(C444,Registration!A:A,1,FALSE)),"Not Registered","Registered")</f>
        <v>Not Registered</v>
      </c>
      <c r="F444">
        <f>VLOOKUP(A444,'Karykarta List'!A:B,2,FALSE)</f>
        <v>9225211083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799</v>
      </c>
      <c r="B445" t="s">
        <v>485</v>
      </c>
      <c r="C445">
        <v>9819890800</v>
      </c>
      <c r="D445" t="str">
        <f>_xlfn.IFNA(VLOOKUP(C445,UpdateLogToUse!A:D,4,FALSE),"Not Called")</f>
        <v>Not Called</v>
      </c>
      <c r="E445" t="str">
        <f>IF(ISNA(VLOOKUP(C445,Registration!A:A,1,FALSE)),"Not Registered","Registered")</f>
        <v>Not Registered</v>
      </c>
      <c r="F445">
        <f>VLOOKUP(A445,'Karykarta List'!A:B,2,FALSE)</f>
        <v>9324233820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805</v>
      </c>
      <c r="B446" t="s">
        <v>486</v>
      </c>
      <c r="C446">
        <v>9930879774</v>
      </c>
      <c r="D446" t="str">
        <f>_xlfn.IFNA(VLOOKUP(C446,UpdateLogToUse!A:D,4,FALSE),"Not Called")</f>
        <v>Not Called</v>
      </c>
      <c r="E446" t="str">
        <f>IF(ISNA(VLOOKUP(C446,Registration!A:A,1,FALSE)),"Not Registered","Registered")</f>
        <v>Not Registered</v>
      </c>
      <c r="F446">
        <f>VLOOKUP(A446,'Karykarta List'!A:B,2,FALSE)</f>
        <v>9320770849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95</v>
      </c>
      <c r="B447" t="s">
        <v>487</v>
      </c>
      <c r="C447">
        <v>9820022487</v>
      </c>
      <c r="D447" t="str">
        <f>_xlfn.IFNA(VLOOKUP(C447,UpdateLogToUse!A:D,4,FALSE),"Not Called")</f>
        <v>Not Called</v>
      </c>
      <c r="E447" t="str">
        <f>IF(ISNA(VLOOKUP(C447,Registration!A:A,1,FALSE)),"Not Registered","Registered")</f>
        <v>Not Registered</v>
      </c>
      <c r="F447">
        <f>VLOOKUP(A447,'Karykarta List'!A:B,2,FALSE)</f>
        <v>9424584007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55</v>
      </c>
      <c r="B448" t="s">
        <v>488</v>
      </c>
      <c r="C448">
        <v>9820081263</v>
      </c>
      <c r="D448" t="str">
        <f>_xlfn.IFNA(VLOOKUP(C448,UpdateLogToUse!A:D,4,FALSE),"Not Called")</f>
        <v>Not Called</v>
      </c>
      <c r="E448" t="str">
        <f>IF(ISNA(VLOOKUP(C448,Registration!A:A,1,FALSE)),"Not Registered","Registered")</f>
        <v>Not Registered</v>
      </c>
      <c r="F448">
        <f>VLOOKUP(A448,'Karykarta List'!A:B,2,FALSE)</f>
        <v>9819083540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29</v>
      </c>
      <c r="B449" t="s">
        <v>489</v>
      </c>
      <c r="C449">
        <v>9820524522</v>
      </c>
      <c r="D449" t="str">
        <f>_xlfn.IFNA(VLOOKUP(C449,UpdateLogToUse!A:D,4,FALSE),"Not Called")</f>
        <v>Confirmed Presence</v>
      </c>
      <c r="E449" t="str">
        <f>IF(ISNA(VLOOKUP(C449,Registration!A:A,1,FALSE)),"Not Registered","Registered")</f>
        <v>Not Registered</v>
      </c>
      <c r="F449">
        <f>VLOOKUP(A449,'Karykarta List'!A:B,2,FALSE)</f>
        <v>9819364345</v>
      </c>
      <c r="G449" t="str">
        <f>_xlfn.IFNA(VLOOKUP(C449,CallLog_Latest!A:H,8,FALSE),"")</f>
        <v/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1306</v>
      </c>
      <c r="B450" t="s">
        <v>490</v>
      </c>
      <c r="C450">
        <v>9820828575</v>
      </c>
      <c r="D450" t="str">
        <f>_xlfn.IFNA(VLOOKUP(C450,UpdateLogToUse!A:D,4,FALSE),"Not Called")</f>
        <v>Phone Busy</v>
      </c>
      <c r="E450" t="str">
        <f>IF(ISNA(VLOOKUP(C450,Registration!A:A,1,FALSE)),"Not Registered","Registered")</f>
        <v>Not Registered</v>
      </c>
      <c r="F450">
        <f>VLOOKUP(A450,'Karykarta List'!A:B,2,FALSE)</f>
        <v>7977147591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789</v>
      </c>
      <c r="B451" t="s">
        <v>491</v>
      </c>
      <c r="C451">
        <v>9820140410</v>
      </c>
      <c r="D451" t="str">
        <f>_xlfn.IFNA(VLOOKUP(C451,UpdateLogToUse!A:D,4,FALSE),"Not Called")</f>
        <v>Not Called</v>
      </c>
      <c r="E451" t="str">
        <f>IF(ISNA(VLOOKUP(C451,Registration!A:A,1,FALSE)),"Not Registered","Registered")</f>
        <v>Not Registered</v>
      </c>
      <c r="F451">
        <f>VLOOKUP(A451,'Karykarta List'!A:B,2,FALSE)</f>
        <v>9702260383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11</v>
      </c>
      <c r="B452" t="s">
        <v>492</v>
      </c>
      <c r="C452">
        <v>9892340588</v>
      </c>
      <c r="D452" t="str">
        <f>_xlfn.IFNA(VLOOKUP(C452,UpdateLogToUse!A:D,4,FALSE),"Not Called")</f>
        <v>Confirmed Presence</v>
      </c>
      <c r="E452" t="str">
        <f>IF(ISNA(VLOOKUP(C452,Registration!A:A,1,FALSE)),"Not Registered","Registered")</f>
        <v>Not Registered</v>
      </c>
      <c r="F452">
        <f>VLOOKUP(A452,'Karykarta List'!A:B,2,FALSE)</f>
        <v>9322598681</v>
      </c>
      <c r="G452" t="str">
        <f>_xlfn.IFNA(VLOOKUP(C452,CallLog_Latest!A:H,8,FALSE),"")</f>
        <v/>
      </c>
      <c r="H452" t="str">
        <f>VLOOKUP(C452,[1]Sheet1!$F:$H,3,FALSE)</f>
        <v>202-d-wing  Saraswati CHS. Ltd Suchidham  Film City Road</v>
      </c>
    </row>
    <row r="453" spans="1:8" x14ac:dyDescent="0.25">
      <c r="A453" t="s">
        <v>1308</v>
      </c>
      <c r="B453" t="s">
        <v>493</v>
      </c>
      <c r="C453">
        <v>7506809269</v>
      </c>
      <c r="D453" t="str">
        <f>_xlfn.IFNA(VLOOKUP(C453,UpdateLogToUse!A:D,4,FALSE),"Not Called")</f>
        <v>Confirmed Presence</v>
      </c>
      <c r="E453" t="str">
        <f>IF(ISNA(VLOOKUP(C453,Registration!A:A,1,FALSE)),"Not Registered","Registered")</f>
        <v>Not Registered</v>
      </c>
      <c r="F453">
        <f>VLOOKUP(A453,'Karykarta List'!A:B,2,FALSE)</f>
        <v>9022922620</v>
      </c>
      <c r="G453" t="str">
        <f>_xlfn.IFNA(VLOOKUP(C453,CallLog_Latest!A:H,8,FALSE),"")</f>
        <v/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39</v>
      </c>
      <c r="B454" t="s">
        <v>494</v>
      </c>
      <c r="C454">
        <v>9821138010</v>
      </c>
      <c r="D454" t="str">
        <f>_xlfn.IFNA(VLOOKUP(C454,UpdateLogToUse!A:D,4,FALSE),"Not Called")</f>
        <v>May be Attending</v>
      </c>
      <c r="E454" t="str">
        <f>IF(ISNA(VLOOKUP(C454,Registration!A:A,1,FALSE)),"Not Registered","Registered")</f>
        <v>Not Registered</v>
      </c>
      <c r="F454">
        <f>VLOOKUP(A454,'Karykarta List'!A:B,2,FALSE)</f>
        <v>9820505363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21</v>
      </c>
      <c r="B455" t="s">
        <v>495</v>
      </c>
      <c r="C455">
        <v>9930298981</v>
      </c>
      <c r="D455" t="str">
        <f>_xlfn.IFNA(VLOOKUP(C455,UpdateLogToUse!A:D,4,FALSE),"Not Called")</f>
        <v>Confirmed Presence</v>
      </c>
      <c r="E455" t="str">
        <f>IF(ISNA(VLOOKUP(C455,Registration!A:A,1,FALSE)),"Not Registered","Registered")</f>
        <v>Not Registered</v>
      </c>
      <c r="F455">
        <f>VLOOKUP(A455,'Karykarta List'!A:B,2,FALSE)</f>
        <v>9820636392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31</v>
      </c>
      <c r="B456" t="s">
        <v>496</v>
      </c>
      <c r="C456">
        <v>9223464075</v>
      </c>
      <c r="D456" t="str">
        <f>_xlfn.IFNA(VLOOKUP(C456,UpdateLogToUse!A:D,4,FALSE),"Not Called")</f>
        <v>May be Attending</v>
      </c>
      <c r="E456" t="str">
        <f>IF(ISNA(VLOOKUP(C456,Registration!A:A,1,FALSE)),"Not Registered","Registered")</f>
        <v>Not Registered</v>
      </c>
      <c r="F456">
        <f>VLOOKUP(A456,'Karykarta List'!A:B,2,FALSE)</f>
        <v>9869064553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497</v>
      </c>
      <c r="C457">
        <v>9320035084</v>
      </c>
      <c r="D457" t="str">
        <f>_xlfn.IFNA(VLOOKUP(C457,UpdateLogToUse!A:D,4,FALSE),"Not Called")</f>
        <v>Confirmed Presence</v>
      </c>
      <c r="E457" t="str">
        <f>IF(ISNA(VLOOKUP(C457,Registration!A:A,1,FALSE)),"Not Registered","Registered")</f>
        <v>Not Registered</v>
      </c>
      <c r="F457">
        <f>VLOOKUP(A457,'Karykarta List'!A:B,2,FALSE)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35</v>
      </c>
      <c r="B458" t="s">
        <v>498</v>
      </c>
      <c r="C458">
        <v>9819873380</v>
      </c>
      <c r="D458" t="str">
        <f>_xlfn.IFNA(VLOOKUP(C458,UpdateLogToUse!A:D,4,FALSE),"Not Called")</f>
        <v>Not Called</v>
      </c>
      <c r="E458" t="str">
        <f>IF(ISNA(VLOOKUP(C458,Registration!A:A,1,FALSE)),"Not Registered","Registered")</f>
        <v>Not Registered</v>
      </c>
      <c r="F458">
        <f>VLOOKUP(A458,'Karykarta List'!A:B,2,FALSE)</f>
        <v>9833705425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17</v>
      </c>
      <c r="B459" t="s">
        <v>499</v>
      </c>
      <c r="C459">
        <v>9820989371</v>
      </c>
      <c r="D459" t="str">
        <f>_xlfn.IFNA(VLOOKUP(C459,UpdateLogToUse!A:D,4,FALSE),"Not Called")</f>
        <v>Not Called</v>
      </c>
      <c r="E459" t="str">
        <f>IF(ISNA(VLOOKUP(C459,Registration!A:A,1,FALSE)),"Not Registered","Registered")</f>
        <v>Not Registered</v>
      </c>
      <c r="F459">
        <f>VLOOKUP(A459,'Karykarta List'!A:B,2,FALSE)</f>
        <v>9869798705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23</v>
      </c>
      <c r="B460" t="s">
        <v>500</v>
      </c>
      <c r="C460">
        <v>9819424430</v>
      </c>
      <c r="D460" t="str">
        <f>_xlfn.IFNA(VLOOKUP(C460,UpdateLogToUse!A:D,4,FALSE),"Not Called")</f>
        <v>Confirmed Presence</v>
      </c>
      <c r="E460" t="str">
        <f>IF(ISNA(VLOOKUP(C460,Registration!A:A,1,FALSE)),"Not Registered","Registered")</f>
        <v>Registered</v>
      </c>
      <c r="F460">
        <f>VLOOKUP(A460,'Karykarta List'!A:B,2,FALSE)</f>
        <v>7977439717</v>
      </c>
      <c r="G460" t="str">
        <f>_xlfn.IFNA(VLOOKUP(C460,CallLog_Latest!A:H,8,FALSE),"")</f>
        <v/>
      </c>
      <c r="H460" t="str">
        <f>VLOOKUP(C460,[1]Sheet1!$F:$H,3,FALSE)</f>
        <v>A -205, Panchsheel -2, Raheja Township, Malad (E</v>
      </c>
    </row>
    <row r="461" spans="1:8" x14ac:dyDescent="0.25">
      <c r="A461" t="s">
        <v>43</v>
      </c>
      <c r="B461" t="s">
        <v>501</v>
      </c>
      <c r="C461">
        <v>9321489104</v>
      </c>
      <c r="D461" t="str">
        <f>_xlfn.IFNA(VLOOKUP(C461,UpdateLogToUse!A:D,4,FALSE),"Not Called")</f>
        <v>Phone Busy</v>
      </c>
      <c r="E461" t="str">
        <f>IF(ISNA(VLOOKUP(C461,Registration!A:A,1,FALSE)),"Not Registered","Registered")</f>
        <v>Not Registered</v>
      </c>
      <c r="F461">
        <f>VLOOKUP(A461,'Karykarta List'!A:B,2,FALSE)</f>
        <v>9320683201</v>
      </c>
      <c r="G461" t="str">
        <f>_xlfn.IFNA(VLOOKUP(C461,CallLog_Latest!A:H,8,FALSE),"")</f>
        <v/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57</v>
      </c>
      <c r="B462" t="s">
        <v>502</v>
      </c>
      <c r="C462">
        <v>9619499944</v>
      </c>
      <c r="D462" t="str">
        <f>_xlfn.IFNA(VLOOKUP(C462,UpdateLogToUse!A:D,4,FALSE),"Not Called")</f>
        <v>Phone Busy</v>
      </c>
      <c r="E462" t="str">
        <f>IF(ISNA(VLOOKUP(C462,Registration!A:A,1,FALSE)),"Not Registered","Registered")</f>
        <v>Not Registered</v>
      </c>
      <c r="F462">
        <f>VLOOKUP(A462,'Karykarta List'!A:B,2,FALSE)</f>
        <v>9101910341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72</v>
      </c>
      <c r="B463" t="s">
        <v>503</v>
      </c>
      <c r="C463">
        <v>9820284712</v>
      </c>
      <c r="D463" t="str">
        <f>_xlfn.IFNA(VLOOKUP(C463,UpdateLogToUse!A:D,4,FALSE),"Not Called")</f>
        <v>Not Reachable</v>
      </c>
      <c r="E463" t="str">
        <f>IF(ISNA(VLOOKUP(C463,Registration!A:A,1,FALSE)),"Not Registered","Registered")</f>
        <v>Not Registered</v>
      </c>
      <c r="F463">
        <f>VLOOKUP(A463,'Karykarta List'!A:B,2,FALSE)</f>
        <v>8879433174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60</v>
      </c>
      <c r="B464" t="s">
        <v>504</v>
      </c>
      <c r="C464">
        <v>9323978558</v>
      </c>
      <c r="D464" t="str">
        <f>_xlfn.IFNA(VLOOKUP(C464,UpdateLogToUse!A:D,4,FALSE),"Not Called")</f>
        <v>Not Called</v>
      </c>
      <c r="E464" t="str">
        <f>IF(ISNA(VLOOKUP(C464,Registration!A:A,1,FALSE)),"Not Registered","Registered")</f>
        <v>Not Registered</v>
      </c>
      <c r="F464">
        <f>VLOOKUP(A464,'Karykarta List'!A:B,2,FALSE)</f>
        <v>9820779873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1337</v>
      </c>
      <c r="B465" t="s">
        <v>505</v>
      </c>
      <c r="C465">
        <v>9323994860</v>
      </c>
      <c r="D465" t="str">
        <f>_xlfn.IFNA(VLOOKUP(C465,UpdateLogToUse!A:D,4,FALSE),"Not Called")</f>
        <v>Not Called</v>
      </c>
      <c r="E465" t="str">
        <f>IF(ISNA(VLOOKUP(C465,Registration!A:A,1,FALSE)),"Not Registered","Registered")</f>
        <v>Not Registered</v>
      </c>
      <c r="F465">
        <f>VLOOKUP(A465,'Karykarta List'!A:B,2,FALSE)</f>
        <v>9820130862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77</v>
      </c>
      <c r="B466" t="s">
        <v>506</v>
      </c>
      <c r="C466">
        <v>9869070123</v>
      </c>
      <c r="D466" t="str">
        <f>_xlfn.IFNA(VLOOKUP(C466,UpdateLogToUse!A:D,4,FALSE),"Not Called")</f>
        <v>Not Called</v>
      </c>
      <c r="E466" t="str">
        <f>IF(ISNA(VLOOKUP(C466,Registration!A:A,1,FALSE)),"Not Registered","Registered")</f>
        <v>Not Registered</v>
      </c>
      <c r="F466">
        <f>VLOOKUP(A466,'Karykarta List'!A:B,2,FALSE)</f>
        <v>9029105124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70</v>
      </c>
      <c r="B467" t="s">
        <v>507</v>
      </c>
      <c r="C467">
        <v>9599704370</v>
      </c>
      <c r="D467" t="str">
        <f>_xlfn.IFNA(VLOOKUP(C467,UpdateLogToUse!A:D,4,FALSE),"Not Called")</f>
        <v>Not Called</v>
      </c>
      <c r="E467" t="str">
        <f>IF(ISNA(VLOOKUP(C467,Registration!A:A,1,FALSE)),"Not Registered","Registered")</f>
        <v>Not Registered</v>
      </c>
      <c r="F467">
        <f>VLOOKUP(A467,'Karykarta List'!A:B,2,FALSE)</f>
        <v>9405263833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81</v>
      </c>
      <c r="B468" t="s">
        <v>508</v>
      </c>
      <c r="C468">
        <v>9819143782</v>
      </c>
      <c r="D468" t="str">
        <f>_xlfn.IFNA(VLOOKUP(C468,UpdateLogToUse!A:D,4,FALSE),"Not Called")</f>
        <v>Not Called</v>
      </c>
      <c r="E468" t="str">
        <f>IF(ISNA(VLOOKUP(C468,Registration!A:A,1,FALSE)),"Not Registered","Registered")</f>
        <v>Not Registered</v>
      </c>
      <c r="F468">
        <f>VLOOKUP(A468,'Karykarta List'!A:B,2,FALSE)</f>
        <v>9824100412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23</v>
      </c>
      <c r="B469" t="s">
        <v>509</v>
      </c>
      <c r="C469">
        <v>9331290465</v>
      </c>
      <c r="D469" t="str">
        <f>_xlfn.IFNA(VLOOKUP(C469,UpdateLogToUse!A:D,4,FALSE),"Not Called")</f>
        <v>Confirmed Presence</v>
      </c>
      <c r="E469" t="str">
        <f>IF(ISNA(VLOOKUP(C469,Registration!A:A,1,FALSE)),"Not Registered","Registered")</f>
        <v>Not Registered</v>
      </c>
      <c r="F469">
        <f>VLOOKUP(A469,'Karykarta List'!A:B,2,FALSE)</f>
        <v>7977439717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41</v>
      </c>
      <c r="B470" t="s">
        <v>510</v>
      </c>
      <c r="C470">
        <v>9324635055</v>
      </c>
      <c r="D470" t="str">
        <f>_xlfn.IFNA(VLOOKUP(C470,UpdateLogToUse!A:D,4,FALSE),"Not Called")</f>
        <v>Not Called</v>
      </c>
      <c r="E470" t="str">
        <f>IF(ISNA(VLOOKUP(C470,Registration!A:A,1,FALSE)),"Not Registered","Registered")</f>
        <v>Not Registered</v>
      </c>
      <c r="F470">
        <f>VLOOKUP(A470,'Karykarta List'!A:B,2,FALSE)</f>
        <v>8058973809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797</v>
      </c>
      <c r="B471" t="s">
        <v>511</v>
      </c>
      <c r="C471">
        <v>9833705425</v>
      </c>
      <c r="D471" t="str">
        <f>_xlfn.IFNA(VLOOKUP(C471,UpdateLogToUse!A:D,4,FALSE),"Not Called")</f>
        <v>Confirmed Presence</v>
      </c>
      <c r="E471" t="str">
        <f>IF(ISNA(VLOOKUP(C471,Registration!A:A,1,FALSE)),"Not Registered","Registered")</f>
        <v>Registered</v>
      </c>
      <c r="F471">
        <f>VLOOKUP(A471,'Karykarta List'!A:B,2,FALSE)</f>
        <v>9320309630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785</v>
      </c>
      <c r="B472" t="s">
        <v>512</v>
      </c>
      <c r="C472">
        <v>9821775817</v>
      </c>
      <c r="D472" t="str">
        <f>_xlfn.IFNA(VLOOKUP(C472,UpdateLogToUse!A:D,4,FALSE),"Not Called")</f>
        <v>Phone Busy</v>
      </c>
      <c r="E472" t="str">
        <f>IF(ISNA(VLOOKUP(C472,Registration!A:A,1,FALSE)),"Not Registered","Registered")</f>
        <v>Not Registered</v>
      </c>
      <c r="F472">
        <f>VLOOKUP(A472,'Karykarta List'!A:B,2,FALSE)</f>
        <v>9321532327</v>
      </c>
      <c r="G472" t="str">
        <f>_xlfn.IFNA(VLOOKUP(C472,CallLog_Latest!A:H,8,FALSE),"")</f>
        <v/>
      </c>
      <c r="H472" t="str">
        <f>VLOOKUP(C472,[1]Sheet1!$F:$H,3,FALSE)</f>
        <v>C/003  Panchawati 1 Raheja Township</v>
      </c>
    </row>
    <row r="473" spans="1:8" x14ac:dyDescent="0.25">
      <c r="A473" t="s">
        <v>83</v>
      </c>
      <c r="B473" t="s">
        <v>513</v>
      </c>
      <c r="C473">
        <v>9321240925</v>
      </c>
      <c r="D473" t="str">
        <f>_xlfn.IFNA(VLOOKUP(C473,UpdateLogToUse!A:D,4,FALSE),"Not Called")</f>
        <v>Not Called</v>
      </c>
      <c r="E473" t="str">
        <f>IF(ISNA(VLOOKUP(C473,Registration!A:A,1,FALSE)),"Not Registered","Registered")</f>
        <v>Not Registered</v>
      </c>
      <c r="F473">
        <f>VLOOKUP(A473,'Karykarta List'!A:B,2,FALSE)</f>
        <v>9225211083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799</v>
      </c>
      <c r="B474" t="s">
        <v>514</v>
      </c>
      <c r="C474">
        <v>8879380701</v>
      </c>
      <c r="D474" t="str">
        <f>_xlfn.IFNA(VLOOKUP(C474,UpdateLogToUse!A:D,4,FALSE),"Not Called")</f>
        <v>Confirmed Presence</v>
      </c>
      <c r="E474" t="str">
        <f>IF(ISNA(VLOOKUP(C474,Registration!A:A,1,FALSE)),"Not Registered","Registered")</f>
        <v>Not Registered</v>
      </c>
      <c r="F474">
        <f>VLOOKUP(A474,'Karykarta List'!A:B,2,FALSE)</f>
        <v>9324233820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805</v>
      </c>
      <c r="B475" t="s">
        <v>515</v>
      </c>
      <c r="C475">
        <v>9702733311</v>
      </c>
      <c r="D475" t="str">
        <f>_xlfn.IFNA(VLOOKUP(C475,UpdateLogToUse!A:D,4,FALSE),"Not Called")</f>
        <v>Not Coming</v>
      </c>
      <c r="E475" t="str">
        <f>IF(ISNA(VLOOKUP(C475,Registration!A:A,1,FALSE)),"Not Registered","Registered")</f>
        <v>Not Registered</v>
      </c>
      <c r="F475">
        <f>VLOOKUP(A475,'Karykarta List'!A:B,2,FALSE)</f>
        <v>9320770849</v>
      </c>
      <c r="G475" t="str">
        <f>_xlfn.IFNA(VLOOKUP(C475,CallLog_Latest!A:H,8,FALSE),"")</f>
        <v/>
      </c>
      <c r="H475" t="str">
        <f>VLOOKUP(C475,[1]Sheet1!$F:$H,3,FALSE)</f>
        <v>B-403  RAHEJA HEIGHTS GEN AK VAIDYA MARG</v>
      </c>
    </row>
    <row r="476" spans="1:8" x14ac:dyDescent="0.25">
      <c r="A476" t="s">
        <v>95</v>
      </c>
      <c r="B476" t="s">
        <v>516</v>
      </c>
      <c r="C476">
        <v>9323542296</v>
      </c>
      <c r="D476" t="str">
        <f>_xlfn.IFNA(VLOOKUP(C476,UpdateLogToUse!A:D,4,FALSE),"Not Called")</f>
        <v>Not Called</v>
      </c>
      <c r="E476" t="str">
        <f>IF(ISNA(VLOOKUP(C476,Registration!A:A,1,FALSE)),"Not Registered","Registered")</f>
        <v>Not Registered</v>
      </c>
      <c r="F476">
        <f>VLOOKUP(A476,'Karykarta List'!A:B,2,FALSE)</f>
        <v>9424584007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55</v>
      </c>
      <c r="B477" t="s">
        <v>517</v>
      </c>
      <c r="C477">
        <v>9819890390</v>
      </c>
      <c r="D477" t="str">
        <f>_xlfn.IFNA(VLOOKUP(C477,UpdateLogToUse!A:D,4,FALSE),"Not Called")</f>
        <v>Not Called</v>
      </c>
      <c r="E477" t="str">
        <f>IF(ISNA(VLOOKUP(C477,Registration!A:A,1,FALSE)),"Not Registered","Registered")</f>
        <v>Not Registered</v>
      </c>
      <c r="F477">
        <f>VLOOKUP(A477,'Karykarta List'!A:B,2,FALSE)</f>
        <v>9819083540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29</v>
      </c>
      <c r="B478" t="s">
        <v>518</v>
      </c>
      <c r="C478">
        <v>9088014904</v>
      </c>
      <c r="D478" t="str">
        <f>_xlfn.IFNA(VLOOKUP(C478,UpdateLogToUse!A:D,4,FALSE),"Not Called")</f>
        <v>Not Called</v>
      </c>
      <c r="E478" t="str">
        <f>IF(ISNA(VLOOKUP(C478,Registration!A:A,1,FALSE)),"Not Registered","Registered")</f>
        <v>Registered</v>
      </c>
      <c r="F478">
        <f>VLOOKUP(A478,'Karykarta List'!A:B,2,FALSE)</f>
        <v>9819364345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1306</v>
      </c>
      <c r="B479" t="s">
        <v>519</v>
      </c>
      <c r="C479">
        <v>9322608350</v>
      </c>
      <c r="D479" t="str">
        <f>_xlfn.IFNA(VLOOKUP(C479,UpdateLogToUse!A:D,4,FALSE),"Not Called")</f>
        <v>Not Called</v>
      </c>
      <c r="E479" t="str">
        <f>IF(ISNA(VLOOKUP(C479,Registration!A:A,1,FALSE)),"Not Registered","Registered")</f>
        <v>Not Registered</v>
      </c>
      <c r="F479">
        <f>VLOOKUP(A479,'Karykarta List'!A:B,2,FALSE)</f>
        <v>7977147591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789</v>
      </c>
      <c r="B480" t="s">
        <v>520</v>
      </c>
      <c r="C480">
        <v>9324473435</v>
      </c>
      <c r="D480" t="str">
        <f>_xlfn.IFNA(VLOOKUP(C480,UpdateLogToUse!A:D,4,FALSE),"Not Called")</f>
        <v>Not Called</v>
      </c>
      <c r="E480" t="str">
        <f>IF(ISNA(VLOOKUP(C480,Registration!A:A,1,FALSE)),"Not Registered","Registered")</f>
        <v>Not Registered</v>
      </c>
      <c r="F480">
        <f>VLOOKUP(A480,'Karykarta List'!A:B,2,FALSE)</f>
        <v>9702260383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11</v>
      </c>
      <c r="B481" t="s">
        <v>521</v>
      </c>
      <c r="C481">
        <v>9322232683</v>
      </c>
      <c r="D481" t="str">
        <f>_xlfn.IFNA(VLOOKUP(C481,UpdateLogToUse!A:D,4,FALSE),"Not Called")</f>
        <v>May be Attending</v>
      </c>
      <c r="E481" t="str">
        <f>IF(ISNA(VLOOKUP(C481,Registration!A:A,1,FALSE)),"Not Registered","Registered")</f>
        <v>Not Registered</v>
      </c>
      <c r="F481">
        <f>VLOOKUP(A481,'Karykarta List'!A:B,2,FALSE)</f>
        <v>9322598681</v>
      </c>
      <c r="G481" t="str">
        <f>_xlfn.IFNA(VLOOKUP(C481,CallLog_Latest!A:H,8,FALSE),"")</f>
        <v/>
      </c>
      <c r="H481" t="str">
        <f>VLOOKUP(C481,[1]Sheet1!$F:$H,3,FALSE)</f>
        <v>1201  Triveni CHS. Shuchi Dham Filmcity Road</v>
      </c>
    </row>
    <row r="482" spans="1:8" x14ac:dyDescent="0.25">
      <c r="A482" t="s">
        <v>1308</v>
      </c>
      <c r="B482" t="s">
        <v>522</v>
      </c>
      <c r="C482">
        <v>7738042645</v>
      </c>
      <c r="D482" t="str">
        <f>_xlfn.IFNA(VLOOKUP(C482,UpdateLogToUse!A:D,4,FALSE),"Not Called")</f>
        <v>Not Called</v>
      </c>
      <c r="E482" t="str">
        <f>IF(ISNA(VLOOKUP(C482,Registration!A:A,1,FALSE)),"Not Registered","Registered")</f>
        <v>Not Registered</v>
      </c>
      <c r="F482">
        <f>VLOOKUP(A482,'Karykarta List'!A:B,2,FALSE)</f>
        <v>9022922620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39</v>
      </c>
      <c r="B483" t="s">
        <v>523</v>
      </c>
      <c r="C483">
        <v>9322231538</v>
      </c>
      <c r="D483" t="str">
        <f>_xlfn.IFNA(VLOOKUP(C483,UpdateLogToUse!A:D,4,FALSE),"Not Called")</f>
        <v>Not Called</v>
      </c>
      <c r="E483" t="str">
        <f>IF(ISNA(VLOOKUP(C483,Registration!A:A,1,FALSE)),"Not Registered","Registered")</f>
        <v>Not Registered</v>
      </c>
      <c r="F483">
        <f>VLOOKUP(A483,'Karykarta List'!A:B,2,FALSE)</f>
        <v>9820505363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21</v>
      </c>
      <c r="B484" t="s">
        <v>524</v>
      </c>
      <c r="C484">
        <v>9769313925</v>
      </c>
      <c r="D484" t="str">
        <f>_xlfn.IFNA(VLOOKUP(C484,UpdateLogToUse!A:D,4,FALSE),"Not Called")</f>
        <v>Not Called</v>
      </c>
      <c r="E484" t="str">
        <f>IF(ISNA(VLOOKUP(C484,Registration!A:A,1,FALSE)),"Not Registered","Registered")</f>
        <v>Not Registered</v>
      </c>
      <c r="F484">
        <f>VLOOKUP(A484,'Karykarta List'!A:B,2,FALSE)</f>
        <v>9820636392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31</v>
      </c>
      <c r="B485" t="s">
        <v>525</v>
      </c>
      <c r="C485">
        <v>9833380315</v>
      </c>
      <c r="D485" t="str">
        <f>_xlfn.IFNA(VLOOKUP(C485,UpdateLogToUse!A:D,4,FALSE),"Not Called")</f>
        <v>Not Called</v>
      </c>
      <c r="E485" t="str">
        <f>IF(ISNA(VLOOKUP(C485,Registration!A:A,1,FALSE)),"Not Registered","Registered")</f>
        <v>Not Registered</v>
      </c>
      <c r="F485">
        <f>VLOOKUP(A485,'Karykarta List'!A:B,2,FALSE)</f>
        <v>9869064553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49</v>
      </c>
      <c r="B486" t="s">
        <v>526</v>
      </c>
      <c r="C486">
        <v>7977105715</v>
      </c>
      <c r="D486" t="str">
        <f>_xlfn.IFNA(VLOOKUP(C486,UpdateLogToUse!A:D,4,FALSE),"Not Called")</f>
        <v>Confirmed Presence</v>
      </c>
      <c r="E486" t="str">
        <f>IF(ISNA(VLOOKUP(C486,Registration!A:A,1,FALSE)),"Not Registered","Registered")</f>
        <v>Not Registered</v>
      </c>
      <c r="F486">
        <f>VLOOKUP(A486,'Karykarta List'!A:B,2,FALSE)</f>
        <v>9322206108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35</v>
      </c>
      <c r="B487" t="s">
        <v>527</v>
      </c>
      <c r="C487">
        <v>9920085200</v>
      </c>
      <c r="D487" t="str">
        <f>_xlfn.IFNA(VLOOKUP(C487,UpdateLogToUse!A:D,4,FALSE),"Not Called")</f>
        <v>Not Called</v>
      </c>
      <c r="E487" t="str">
        <f>IF(ISNA(VLOOKUP(C487,Registration!A:A,1,FALSE)),"Not Registered","Registered")</f>
        <v>Not Registered</v>
      </c>
      <c r="F487">
        <f>VLOOKUP(A487,'Karykarta List'!A:B,2,FALSE)</f>
        <v>9833705425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17</v>
      </c>
      <c r="B488" t="s">
        <v>528</v>
      </c>
      <c r="C488">
        <v>9322224551</v>
      </c>
      <c r="D488" t="str">
        <f>_xlfn.IFNA(VLOOKUP(C488,UpdateLogToUse!A:D,4,FALSE),"Not Called")</f>
        <v>Not Called</v>
      </c>
      <c r="E488" t="str">
        <f>IF(ISNA(VLOOKUP(C488,Registration!A:A,1,FALSE)),"Not Registered","Registered")</f>
        <v>Not Registered</v>
      </c>
      <c r="F488">
        <f>VLOOKUP(A488,'Karykarta List'!A:B,2,FALSE)</f>
        <v>9869798705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23</v>
      </c>
      <c r="B489" t="s">
        <v>529</v>
      </c>
      <c r="C489">
        <v>9324940513</v>
      </c>
      <c r="D489" t="str">
        <f>_xlfn.IFNA(VLOOKUP(C489,UpdateLogToUse!A:D,4,FALSE),"Not Called")</f>
        <v>Not Called</v>
      </c>
      <c r="E489" t="str">
        <f>IF(ISNA(VLOOKUP(C489,Registration!A:A,1,FALSE)),"Not Registered","Registered")</f>
        <v>Not Registered</v>
      </c>
      <c r="F489">
        <f>VLOOKUP(A489,'Karykarta List'!A:B,2,FALSE)</f>
        <v>7977439717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43</v>
      </c>
      <c r="B490" t="s">
        <v>530</v>
      </c>
      <c r="C490">
        <v>9987591749</v>
      </c>
      <c r="D490" t="str">
        <f>_xlfn.IFNA(VLOOKUP(C490,UpdateLogToUse!A:D,4,FALSE),"Not Called")</f>
        <v>Not Called</v>
      </c>
      <c r="E490" t="str">
        <f>IF(ISNA(VLOOKUP(C490,Registration!A:A,1,FALSE)),"Not Registered","Registered")</f>
        <v>Not Registered</v>
      </c>
      <c r="F490">
        <f>VLOOKUP(A490,'Karykarta List'!A:B,2,FALSE)</f>
        <v>9320683201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57</v>
      </c>
      <c r="B491" t="s">
        <v>531</v>
      </c>
      <c r="C491">
        <v>9820870115</v>
      </c>
      <c r="D491" t="str">
        <f>_xlfn.IFNA(VLOOKUP(C491,UpdateLogToUse!A:D,4,FALSE),"Not Called")</f>
        <v>Not Called</v>
      </c>
      <c r="E491" t="str">
        <f>IF(ISNA(VLOOKUP(C491,Registration!A:A,1,FALSE)),"Not Registered","Registered")</f>
        <v>Not Registered</v>
      </c>
      <c r="F491">
        <f>VLOOKUP(A491,'Karykarta List'!A:B,2,FALSE)</f>
        <v>9101910341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72</v>
      </c>
      <c r="B492" t="s">
        <v>532</v>
      </c>
      <c r="C492">
        <v>9833936221</v>
      </c>
      <c r="D492" t="str">
        <f>_xlfn.IFNA(VLOOKUP(C492,UpdateLogToUse!A:D,4,FALSE),"Not Called")</f>
        <v>Not Reachable</v>
      </c>
      <c r="E492" t="str">
        <f>IF(ISNA(VLOOKUP(C492,Registration!A:A,1,FALSE)),"Not Registered","Registered")</f>
        <v>Not Registered</v>
      </c>
      <c r="F492">
        <f>VLOOKUP(A492,'Karykarta List'!A:B,2,FALSE)</f>
        <v>8879433174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60</v>
      </c>
      <c r="B493" t="s">
        <v>533</v>
      </c>
      <c r="C493">
        <v>9322260986</v>
      </c>
      <c r="D493" t="str">
        <f>_xlfn.IFNA(VLOOKUP(C493,UpdateLogToUse!A:D,4,FALSE),"Not Called")</f>
        <v>Not Called</v>
      </c>
      <c r="E493" t="str">
        <f>IF(ISNA(VLOOKUP(C493,Registration!A:A,1,FALSE)),"Not Registered","Registered")</f>
        <v>Not Registered</v>
      </c>
      <c r="F493">
        <f>VLOOKUP(A493,'Karykarta List'!A:B,2,FALSE)</f>
        <v>9820779873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1337</v>
      </c>
      <c r="B494" t="s">
        <v>534</v>
      </c>
      <c r="C494">
        <v>9320683201</v>
      </c>
      <c r="D494" t="str">
        <f>_xlfn.IFNA(VLOOKUP(C494,UpdateLogToUse!A:D,4,FALSE),"Not Called")</f>
        <v>May be Attending</v>
      </c>
      <c r="E494" t="str">
        <f>IF(ISNA(VLOOKUP(C494,Registration!A:A,1,FALSE)),"Not Registered","Registered")</f>
        <v>Not Registered</v>
      </c>
      <c r="F494">
        <f>VLOOKUP(A494,'Karykarta List'!A:B,2,FALSE)</f>
        <v>9820130862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77</v>
      </c>
      <c r="B495" t="s">
        <v>535</v>
      </c>
      <c r="C495">
        <v>9892300157</v>
      </c>
      <c r="D495" t="str">
        <f>_xlfn.IFNA(VLOOKUP(C495,UpdateLogToUse!A:D,4,FALSE),"Not Called")</f>
        <v>Not Called</v>
      </c>
      <c r="E495" t="str">
        <f>IF(ISNA(VLOOKUP(C495,Registration!A:A,1,FALSE)),"Not Registered","Registered")</f>
        <v>Not Registered</v>
      </c>
      <c r="F495">
        <f>VLOOKUP(A495,'Karykarta List'!A:B,2,FALSE)</f>
        <v>9029105124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70</v>
      </c>
      <c r="B496" t="s">
        <v>536</v>
      </c>
      <c r="C496">
        <v>9322275160</v>
      </c>
      <c r="D496" t="str">
        <f>_xlfn.IFNA(VLOOKUP(C496,UpdateLogToUse!A:D,4,FALSE),"Not Called")</f>
        <v>Phone Busy</v>
      </c>
      <c r="E496" t="str">
        <f>IF(ISNA(VLOOKUP(C496,Registration!A:A,1,FALSE)),"Not Registered","Registered")</f>
        <v>Not Registered</v>
      </c>
      <c r="F496">
        <f>VLOOKUP(A496,'Karykarta List'!A:B,2,FALSE)</f>
        <v>9405263833</v>
      </c>
      <c r="G496" t="str">
        <f>_xlfn.IFNA(VLOOKUP(C496,CallLog_Latest!A:H,8,FALSE),"")</f>
        <v/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81</v>
      </c>
      <c r="B497" t="s">
        <v>537</v>
      </c>
      <c r="C497">
        <v>9324811111</v>
      </c>
      <c r="D497" t="str">
        <f>_xlfn.IFNA(VLOOKUP(C497,UpdateLogToUse!A:D,4,FALSE),"Not Called")</f>
        <v>Confirmed Presence</v>
      </c>
      <c r="E497" t="str">
        <f>IF(ISNA(VLOOKUP(C497,Registration!A:A,1,FALSE)),"Not Registered","Registered")</f>
        <v>Not Registered</v>
      </c>
      <c r="F497">
        <f>VLOOKUP(A497,'Karykarta List'!A:B,2,FALSE)</f>
        <v>9824100412</v>
      </c>
      <c r="G497" t="str">
        <f>_xlfn.IFNA(VLOOKUP(C497,CallLog_Latest!A:H,8,FALSE),"")</f>
        <v/>
      </c>
      <c r="H497" t="str">
        <f>VLOOKUP(C497,[1]Sheet1!$F:$H,3,FALSE)</f>
        <v>302-b  Gardenia  Vasant Vally Complex Filmcity Road</v>
      </c>
    </row>
    <row r="498" spans="1:8" x14ac:dyDescent="0.25">
      <c r="A498" t="s">
        <v>23</v>
      </c>
      <c r="B498" t="s">
        <v>538</v>
      </c>
      <c r="C498">
        <v>9920242371</v>
      </c>
      <c r="D498" t="str">
        <f>_xlfn.IFNA(VLOOKUP(C498,UpdateLogToUse!A:D,4,FALSE),"Not Called")</f>
        <v>May be Attending</v>
      </c>
      <c r="E498" t="str">
        <f>IF(ISNA(VLOOKUP(C498,Registration!A:A,1,FALSE)),"Not Registered","Registered")</f>
        <v>Not Registered</v>
      </c>
      <c r="F498">
        <f>VLOOKUP(A498,'Karykarta List'!A:B,2,FALSE)</f>
        <v>7977439717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41</v>
      </c>
      <c r="B499" t="s">
        <v>539</v>
      </c>
      <c r="C499">
        <v>9820779873</v>
      </c>
      <c r="D499" t="str">
        <f>_xlfn.IFNA(VLOOKUP(C499,UpdateLogToUse!A:D,4,FALSE),"Not Called")</f>
        <v>Not Called</v>
      </c>
      <c r="E499" t="str">
        <f>IF(ISNA(VLOOKUP(C499,Registration!A:A,1,FALSE)),"Not Registered","Registered")</f>
        <v>Not Registered</v>
      </c>
      <c r="F499">
        <f>VLOOKUP(A499,'Karykarta List'!A:B,2,FALSE)</f>
        <v>8058973809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797</v>
      </c>
      <c r="B500" t="s">
        <v>540</v>
      </c>
      <c r="C500">
        <v>9320916175</v>
      </c>
      <c r="D500" t="str">
        <f>_xlfn.IFNA(VLOOKUP(C500,UpdateLogToUse!A:D,4,FALSE),"Not Called")</f>
        <v>Confirmed Presence</v>
      </c>
      <c r="E500" t="str">
        <f>IF(ISNA(VLOOKUP(C500,Registration!A:A,1,FALSE)),"Not Registered","Registered")</f>
        <v>Not Registered</v>
      </c>
      <c r="F500">
        <f>VLOOKUP(A500,'Karykarta List'!A:B,2,FALSE)</f>
        <v>9320309630</v>
      </c>
      <c r="G500" t="str">
        <f>_xlfn.IFNA(VLOOKUP(C500,CallLog_Latest!A:H,8,FALSE),"")</f>
        <v/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785</v>
      </c>
      <c r="B501" t="s">
        <v>541</v>
      </c>
      <c r="C501">
        <v>9322397174</v>
      </c>
      <c r="D501" t="str">
        <f>_xlfn.IFNA(VLOOKUP(C501,UpdateLogToUse!A:D,4,FALSE),"Not Called")</f>
        <v>Confirmed Presence</v>
      </c>
      <c r="E501" t="str">
        <f>IF(ISNA(VLOOKUP(C501,Registration!A:A,1,FALSE)),"Not Registered","Registered")</f>
        <v>Not Registered</v>
      </c>
      <c r="F501">
        <f>VLOOKUP(A501,'Karykarta List'!A:B,2,FALSE)</f>
        <v>9321532327</v>
      </c>
      <c r="G501" t="str">
        <f>_xlfn.IFNA(VLOOKUP(C501,CallLog_Latest!A:H,8,FALSE),"")</f>
        <v/>
      </c>
      <c r="H501" t="str">
        <f>VLOOKUP(C501,[1]Sheet1!$F:$H,3,FALSE)</f>
        <v>B-601  Sarnath  Upper Govind Nagar</v>
      </c>
    </row>
    <row r="502" spans="1:8" x14ac:dyDescent="0.25">
      <c r="A502" t="s">
        <v>83</v>
      </c>
      <c r="B502" t="s">
        <v>542</v>
      </c>
      <c r="C502">
        <v>9004547878</v>
      </c>
      <c r="D502" t="str">
        <f>_xlfn.IFNA(VLOOKUP(C502,UpdateLogToUse!A:D,4,FALSE),"Not Called")</f>
        <v>Confirmed Presence</v>
      </c>
      <c r="E502" t="str">
        <f>IF(ISNA(VLOOKUP(C502,Registration!A:A,1,FALSE)),"Not Registered","Registered")</f>
        <v>Not Registered</v>
      </c>
      <c r="F502">
        <f>VLOOKUP(A502,'Karykarta List'!A:B,2,FALSE)</f>
        <v>9225211083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799</v>
      </c>
      <c r="B503" t="s">
        <v>543</v>
      </c>
      <c r="C503">
        <v>9819199907</v>
      </c>
      <c r="D503" t="str">
        <f>_xlfn.IFNA(VLOOKUP(C503,UpdateLogToUse!A:D,4,FALSE),"Not Called")</f>
        <v>Not Reachable</v>
      </c>
      <c r="E503" t="str">
        <f>IF(ISNA(VLOOKUP(C503,Registration!A:A,1,FALSE)),"Not Registered","Registered")</f>
        <v>Not Registered</v>
      </c>
      <c r="F503">
        <f>VLOOKUP(A503,'Karykarta List'!A:B,2,FALSE)</f>
        <v>9324233820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805</v>
      </c>
      <c r="B504" t="s">
        <v>544</v>
      </c>
      <c r="C504">
        <v>9322874559</v>
      </c>
      <c r="D504" t="str">
        <f>_xlfn.IFNA(VLOOKUP(C504,UpdateLogToUse!A:D,4,FALSE),"Not Called")</f>
        <v>Not Reachable</v>
      </c>
      <c r="E504" t="str">
        <f>IF(ISNA(VLOOKUP(C504,Registration!A:A,1,FALSE)),"Not Registered","Registered")</f>
        <v>Not Registered</v>
      </c>
      <c r="F504">
        <f>VLOOKUP(A504,'Karykarta List'!A:B,2,FALSE)</f>
        <v>9320770849</v>
      </c>
      <c r="G504" t="str">
        <f>_xlfn.IFNA(VLOOKUP(C504,CallLog_Latest!A:H,8,FALSE),"")</f>
        <v/>
      </c>
      <c r="H504" t="str">
        <f>VLOOKUP(C504,[1]Sheet1!$F:$H,3,FALSE)</f>
        <v>B-301  Harishchandra Raheja Township</v>
      </c>
    </row>
    <row r="505" spans="1:8" x14ac:dyDescent="0.25">
      <c r="A505" t="s">
        <v>95</v>
      </c>
      <c r="B505" t="s">
        <v>545</v>
      </c>
      <c r="C505">
        <v>9324474949</v>
      </c>
      <c r="D505" t="str">
        <f>_xlfn.IFNA(VLOOKUP(C505,UpdateLogToUse!A:D,4,FALSE),"Not Called")</f>
        <v>Confirmed Presence</v>
      </c>
      <c r="E505" t="str">
        <f>IF(ISNA(VLOOKUP(C505,Registration!A:A,1,FALSE)),"Not Registered","Registered")</f>
        <v>Not Registered</v>
      </c>
      <c r="F505">
        <f>VLOOKUP(A505,'Karykarta List'!A:B,2,FALSE)</f>
        <v>9424584007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55</v>
      </c>
      <c r="B506" t="s">
        <v>546</v>
      </c>
      <c r="C506">
        <v>9322177731</v>
      </c>
      <c r="D506" t="str">
        <f>_xlfn.IFNA(VLOOKUP(C506,UpdateLogToUse!A:D,4,FALSE),"Not Called")</f>
        <v>Not Called</v>
      </c>
      <c r="E506" t="str">
        <f>IF(ISNA(VLOOKUP(C506,Registration!A:A,1,FALSE)),"Not Registered","Registered")</f>
        <v>Not Registered</v>
      </c>
      <c r="F506">
        <f>VLOOKUP(A506,'Karykarta List'!A:B,2,FALSE)</f>
        <v>9819083540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29</v>
      </c>
      <c r="B507" t="s">
        <v>547</v>
      </c>
      <c r="C507">
        <v>9769951123</v>
      </c>
      <c r="D507" t="str">
        <f>_xlfn.IFNA(VLOOKUP(C507,UpdateLogToUse!A:D,4,FALSE),"Not Called")</f>
        <v>Not Called</v>
      </c>
      <c r="E507" t="str">
        <f>IF(ISNA(VLOOKUP(C507,Registration!A:A,1,FALSE)),"Not Registered","Registered")</f>
        <v>Not Registered</v>
      </c>
      <c r="F507">
        <f>VLOOKUP(A507,'Karykarta List'!A:B,2,FALSE)</f>
        <v>9819364345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1306</v>
      </c>
      <c r="B508" t="s">
        <v>548</v>
      </c>
      <c r="C508">
        <v>9819141611</v>
      </c>
      <c r="D508" t="str">
        <f>_xlfn.IFNA(VLOOKUP(C508,UpdateLogToUse!A:D,4,FALSE),"Not Called")</f>
        <v>Not Reachable</v>
      </c>
      <c r="E508" t="str">
        <f>IF(ISNA(VLOOKUP(C508,Registration!A:A,1,FALSE)),"Not Registered","Registered")</f>
        <v>Not Registered</v>
      </c>
      <c r="F508">
        <f>VLOOKUP(A508,'Karykarta List'!A:B,2,FALSE)</f>
        <v>7977147591</v>
      </c>
      <c r="G508" t="str">
        <f>_xlfn.IFNA(VLOOKUP(C508,CallLog_Latest!A:H,8,FALSE),"")</f>
        <v/>
      </c>
      <c r="H508" t="str">
        <f>VLOOKUP(C508,[1]Sheet1!$F:$H,3,FALSE)</f>
        <v>B / 406  Ganga Bldg  Rani Sati Marg  Malad (E</v>
      </c>
    </row>
    <row r="509" spans="1:8" x14ac:dyDescent="0.25">
      <c r="A509" t="s">
        <v>789</v>
      </c>
      <c r="B509" t="s">
        <v>549</v>
      </c>
      <c r="C509">
        <v>9167234508</v>
      </c>
      <c r="D509" t="str">
        <f>_xlfn.IFNA(VLOOKUP(C509,UpdateLogToUse!A:D,4,FALSE),"Not Called")</f>
        <v>Not Reachable</v>
      </c>
      <c r="E509" t="str">
        <f>IF(ISNA(VLOOKUP(C509,Registration!A:A,1,FALSE)),"Not Registered","Registered")</f>
        <v>Not Registered</v>
      </c>
      <c r="F509">
        <f>VLOOKUP(A509,'Karykarta List'!A:B,2,FALSE)</f>
        <v>9702260383</v>
      </c>
      <c r="G509" t="str">
        <f>_xlfn.IFNA(VLOOKUP(C509,CallLog_Latest!A:H,8,FALSE),"")</f>
        <v/>
      </c>
      <c r="H509" t="str">
        <f>VLOOKUP(C509,[1]Sheet1!$F:$H,3,FALSE)</f>
        <v>B / 406  Ganga Bldg  Rani Sati Marg  Malad (E</v>
      </c>
    </row>
    <row r="510" spans="1:8" x14ac:dyDescent="0.25">
      <c r="A510" t="s">
        <v>11</v>
      </c>
      <c r="B510" t="s">
        <v>550</v>
      </c>
      <c r="C510">
        <v>9322268494</v>
      </c>
      <c r="D510" t="str">
        <f>_xlfn.IFNA(VLOOKUP(C510,UpdateLogToUse!A:D,4,FALSE),"Not Called")</f>
        <v>Phone Busy</v>
      </c>
      <c r="E510" t="str">
        <f>IF(ISNA(VLOOKUP(C510,Registration!A:A,1,FALSE)),"Not Registered","Registered")</f>
        <v>Not Registered</v>
      </c>
      <c r="F510">
        <f>VLOOKUP(A510,'Karykarta List'!A:B,2,FALSE)</f>
        <v>9322598681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1308</v>
      </c>
      <c r="B511" t="s">
        <v>551</v>
      </c>
      <c r="C511">
        <v>7045887557</v>
      </c>
      <c r="D511" t="str">
        <f>_xlfn.IFNA(VLOOKUP(C511,UpdateLogToUse!A:D,4,FALSE),"Not Called")</f>
        <v>May be Attending</v>
      </c>
      <c r="E511" t="str">
        <f>IF(ISNA(VLOOKUP(C511,Registration!A:A,1,FALSE)),"Not Registered","Registered")</f>
        <v>Not Registered</v>
      </c>
      <c r="F511">
        <f>VLOOKUP(A511,'Karykarta List'!A:B,2,FALSE)</f>
        <v>9022922620</v>
      </c>
      <c r="G511" t="str">
        <f>_xlfn.IFNA(VLOOKUP(C511,CallLog_Latest!A:H,8,FALSE),"")</f>
        <v/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39</v>
      </c>
      <c r="B512" t="s">
        <v>552</v>
      </c>
      <c r="C512">
        <v>8291695989</v>
      </c>
      <c r="D512" t="str">
        <f>_xlfn.IFNA(VLOOKUP(C512,UpdateLogToUse!A:D,4,FALSE),"Not Called")</f>
        <v>Not Called</v>
      </c>
      <c r="E512" t="str">
        <f>IF(ISNA(VLOOKUP(C512,Registration!A:A,1,FALSE)),"Not Registered","Registered")</f>
        <v>Not Registered</v>
      </c>
      <c r="F512">
        <f>VLOOKUP(A512,'Karykarta List'!A:B,2,FALSE)</f>
        <v>9820505363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21</v>
      </c>
      <c r="B513" t="s">
        <v>553</v>
      </c>
      <c r="C513">
        <v>9833307697</v>
      </c>
      <c r="D513" t="str">
        <f>_xlfn.IFNA(VLOOKUP(C513,UpdateLogToUse!A:D,4,FALSE),"Not Called")</f>
        <v>Not Called</v>
      </c>
      <c r="E513" t="str">
        <f>IF(ISNA(VLOOKUP(C513,Registration!A:A,1,FALSE)),"Not Registered","Registered")</f>
        <v>Not Registered</v>
      </c>
      <c r="F513">
        <f>VLOOKUP(A513,'Karykarta List'!A:B,2,FALSE)</f>
        <v>9820636392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31</v>
      </c>
      <c r="B514" t="s">
        <v>554</v>
      </c>
      <c r="C514">
        <v>9867503405</v>
      </c>
      <c r="D514" t="str">
        <f>_xlfn.IFNA(VLOOKUP(C514,UpdateLogToUse!A:D,4,FALSE),"Not Called")</f>
        <v>Not Called</v>
      </c>
      <c r="E514" t="str">
        <f>IF(ISNA(VLOOKUP(C514,Registration!A:A,1,FALSE)),"Not Registered","Registered")</f>
        <v>Not Registered</v>
      </c>
      <c r="F514">
        <f>VLOOKUP(A514,'Karykarta List'!A:B,2,FALSE)</f>
        <v>9869064553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49</v>
      </c>
      <c r="B515" t="s">
        <v>555</v>
      </c>
      <c r="C515">
        <v>9322251660</v>
      </c>
      <c r="D515" t="str">
        <f>_xlfn.IFNA(VLOOKUP(C515,UpdateLogToUse!A:D,4,FALSE),"Not Called")</f>
        <v>Not Called</v>
      </c>
      <c r="E515" t="str">
        <f>IF(ISNA(VLOOKUP(C515,Registration!A:A,1,FALSE)),"Not Registered","Registered")</f>
        <v>Not Registered</v>
      </c>
      <c r="F515">
        <f>VLOOKUP(A515,'Karykarta List'!A:B,2,FALSE)</f>
        <v>9322206108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35</v>
      </c>
      <c r="B516" t="s">
        <v>556</v>
      </c>
      <c r="C516">
        <v>9820224506</v>
      </c>
      <c r="D516" t="str">
        <f>_xlfn.IFNA(VLOOKUP(C516,UpdateLogToUse!A:D,4,FALSE),"Not Called")</f>
        <v>Not Called</v>
      </c>
      <c r="E516" t="str">
        <f>IF(ISNA(VLOOKUP(C516,Registration!A:A,1,FALSE)),"Not Registered","Registered")</f>
        <v>Not Registered</v>
      </c>
      <c r="F516">
        <f>VLOOKUP(A516,'Karykarta List'!A:B,2,FALSE)</f>
        <v>9833705425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17</v>
      </c>
      <c r="B517" t="s">
        <v>557</v>
      </c>
      <c r="C517">
        <v>9920851258</v>
      </c>
      <c r="D517" t="str">
        <f>_xlfn.IFNA(VLOOKUP(C517,UpdateLogToUse!A:D,4,FALSE),"Not Called")</f>
        <v>Not Called</v>
      </c>
      <c r="E517" t="str">
        <f>IF(ISNA(VLOOKUP(C517,Registration!A:A,1,FALSE)),"Not Registered","Registered")</f>
        <v>Not Registered</v>
      </c>
      <c r="F517">
        <f>VLOOKUP(A517,'Karykarta List'!A:B,2,FALSE)</f>
        <v>9869798705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23</v>
      </c>
      <c r="B518" t="s">
        <v>558</v>
      </c>
      <c r="C518">
        <v>9004678266</v>
      </c>
      <c r="D518" t="str">
        <f>_xlfn.IFNA(VLOOKUP(C518,UpdateLogToUse!A:D,4,FALSE),"Not Called")</f>
        <v>Not Called</v>
      </c>
      <c r="E518" t="str">
        <f>IF(ISNA(VLOOKUP(C518,Registration!A:A,1,FALSE)),"Not Registered","Registered")</f>
        <v>Not Registered</v>
      </c>
      <c r="F518">
        <f>VLOOKUP(A518,'Karykarta List'!A:B,2,FALSE)</f>
        <v>7977439717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43</v>
      </c>
      <c r="B519" t="s">
        <v>559</v>
      </c>
      <c r="C519">
        <v>8879097778</v>
      </c>
      <c r="D519" t="str">
        <f>_xlfn.IFNA(VLOOKUP(C519,UpdateLogToUse!A:D,4,FALSE),"Not Called")</f>
        <v>Phone Busy</v>
      </c>
      <c r="E519" t="str">
        <f>IF(ISNA(VLOOKUP(C519,Registration!A:A,1,FALSE)),"Not Registered","Registered")</f>
        <v>Not Registered</v>
      </c>
      <c r="F519">
        <f>VLOOKUP(A519,'Karykarta List'!A:B,2,FALSE)</f>
        <v>9320683201</v>
      </c>
      <c r="G519" t="str">
        <f>_xlfn.IFNA(VLOOKUP(C519,CallLog_Latest!A:H,8,FALSE),"")</f>
        <v/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57</v>
      </c>
      <c r="B520" t="s">
        <v>560</v>
      </c>
      <c r="C520">
        <v>9323698838</v>
      </c>
      <c r="D520" t="str">
        <f>_xlfn.IFNA(VLOOKUP(C520,UpdateLogToUse!A:D,4,FALSE),"Not Called")</f>
        <v>Phone Busy</v>
      </c>
      <c r="E520" t="str">
        <f>IF(ISNA(VLOOKUP(C520,Registration!A:A,1,FALSE)),"Not Registered","Registered")</f>
        <v>Not Registered</v>
      </c>
      <c r="F520">
        <f>VLOOKUP(A520,'Karykarta List'!A:B,2,FALSE)</f>
        <v>9101910341</v>
      </c>
      <c r="G520" t="str">
        <f>_xlfn.IFNA(VLOOKUP(C520,CallLog_Latest!A:H,8,FALSE),"")</f>
        <v/>
      </c>
      <c r="H520" t="str">
        <f>VLOOKUP(C520,[1]Sheet1!$F:$H,3,FALSE)</f>
        <v>1-b  402  Green Meadows Co.op. Soc Lokhandwala Complex</v>
      </c>
    </row>
    <row r="521" spans="1:8" x14ac:dyDescent="0.25">
      <c r="A521" t="s">
        <v>72</v>
      </c>
      <c r="B521" t="s">
        <v>561</v>
      </c>
      <c r="C521">
        <v>9920177232</v>
      </c>
      <c r="D521" t="str">
        <f>_xlfn.IFNA(VLOOKUP(C521,UpdateLogToUse!A:D,4,FALSE),"Not Called")</f>
        <v>Not Called</v>
      </c>
      <c r="E521" t="str">
        <f>IF(ISNA(VLOOKUP(C521,Registration!A:A,1,FALSE)),"Not Registered","Registered")</f>
        <v>Not Registered</v>
      </c>
      <c r="F521">
        <f>VLOOKUP(A521,'Karykarta List'!A:B,2,FALSE)</f>
        <v>8879433174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60</v>
      </c>
      <c r="B522" t="s">
        <v>562</v>
      </c>
      <c r="C522">
        <v>9702060911</v>
      </c>
      <c r="D522" t="str">
        <f>_xlfn.IFNA(VLOOKUP(C522,UpdateLogToUse!A:D,4,FALSE),"Not Called")</f>
        <v>May be Attending</v>
      </c>
      <c r="E522" t="str">
        <f>IF(ISNA(VLOOKUP(C522,Registration!A:A,1,FALSE)),"Not Registered","Registered")</f>
        <v>Not Registered</v>
      </c>
      <c r="F522">
        <f>VLOOKUP(A522,'Karykarta List'!A:B,2,FALSE)</f>
        <v>9820779873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1337</v>
      </c>
      <c r="B523" t="s">
        <v>563</v>
      </c>
      <c r="C523">
        <v>9820660395</v>
      </c>
      <c r="D523" t="str">
        <f>_xlfn.IFNA(VLOOKUP(C523,UpdateLogToUse!A:D,4,FALSE),"Not Called")</f>
        <v>Not Coming</v>
      </c>
      <c r="E523" t="str">
        <f>IF(ISNA(VLOOKUP(C523,Registration!A:A,1,FALSE)),"Not Registered","Registered")</f>
        <v>Not Registered</v>
      </c>
      <c r="F523">
        <f>VLOOKUP(A523,'Karykarta List'!A:B,2,FALSE)</f>
        <v>9820130862</v>
      </c>
      <c r="G523" t="str">
        <f>_xlfn.IFNA(VLOOKUP(C523,CallLog_Latest!A:H,8,FALSE),"")</f>
        <v/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77</v>
      </c>
      <c r="B524" t="s">
        <v>564</v>
      </c>
      <c r="C524">
        <v>9322853147</v>
      </c>
      <c r="D524" t="str">
        <f>_xlfn.IFNA(VLOOKUP(C524,UpdateLogToUse!A:D,4,FALSE),"Not Called")</f>
        <v>Not Called</v>
      </c>
      <c r="E524" t="str">
        <f>IF(ISNA(VLOOKUP(C524,Registration!A:A,1,FALSE)),"Not Registered","Registered")</f>
        <v>Registered</v>
      </c>
      <c r="F524">
        <f>VLOOKUP(A524,'Karykarta List'!A:B,2,FALSE)</f>
        <v>9029105124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70</v>
      </c>
      <c r="B525" t="s">
        <v>565</v>
      </c>
      <c r="C525">
        <v>9833490712</v>
      </c>
      <c r="D525" t="str">
        <f>_xlfn.IFNA(VLOOKUP(C525,UpdateLogToUse!A:D,4,FALSE),"Not Called")</f>
        <v>Not Called</v>
      </c>
      <c r="E525" t="str">
        <f>IF(ISNA(VLOOKUP(C525,Registration!A:A,1,FALSE)),"Not Registered","Registered")</f>
        <v>Not Registered</v>
      </c>
      <c r="F525">
        <f>VLOOKUP(A525,'Karykarta List'!A:B,2,FALSE)</f>
        <v>9405263833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81</v>
      </c>
      <c r="B526" t="s">
        <v>566</v>
      </c>
      <c r="C526">
        <v>9820056029</v>
      </c>
      <c r="D526" t="str">
        <f>_xlfn.IFNA(VLOOKUP(C526,UpdateLogToUse!A:D,4,FALSE),"Not Called")</f>
        <v>Not Called</v>
      </c>
      <c r="E526" t="str">
        <f>IF(ISNA(VLOOKUP(C526,Registration!A:A,1,FALSE)),"Not Registered","Registered")</f>
        <v>Not Registered</v>
      </c>
      <c r="F526">
        <f>VLOOKUP(A526,'Karykarta List'!A:B,2,FALSE)</f>
        <v>9824100412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23</v>
      </c>
      <c r="B527" t="s">
        <v>567</v>
      </c>
      <c r="C527">
        <v>9821399306</v>
      </c>
      <c r="D527" t="str">
        <f>_xlfn.IFNA(VLOOKUP(C527,UpdateLogToUse!A:D,4,FALSE),"Not Called")</f>
        <v>Not Called</v>
      </c>
      <c r="E527" t="str">
        <f>IF(ISNA(VLOOKUP(C527,Registration!A:A,1,FALSE)),"Not Registered","Registered")</f>
        <v>Not Registered</v>
      </c>
      <c r="F527">
        <f>VLOOKUP(A527,'Karykarta List'!A:B,2,FALSE)</f>
        <v>7977439717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41</v>
      </c>
      <c r="B528" t="s">
        <v>568</v>
      </c>
      <c r="C528">
        <v>9821152231</v>
      </c>
      <c r="D528" t="str">
        <f>_xlfn.IFNA(VLOOKUP(C528,UpdateLogToUse!A:D,4,FALSE),"Not Called")</f>
        <v>Not Called</v>
      </c>
      <c r="E528" t="str">
        <f>IF(ISNA(VLOOKUP(C528,Registration!A:A,1,FALSE)),"Not Registered","Registered")</f>
        <v>Not Registered</v>
      </c>
      <c r="F528">
        <f>VLOOKUP(A528,'Karykarta List'!A:B,2,FALSE)</f>
        <v>8058973809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797</v>
      </c>
      <c r="B529" t="s">
        <v>569</v>
      </c>
      <c r="C529">
        <v>9331055539</v>
      </c>
      <c r="D529" t="str">
        <f>_xlfn.IFNA(VLOOKUP(C529,UpdateLogToUse!A:D,4,FALSE),"Not Called")</f>
        <v>May be Attending</v>
      </c>
      <c r="E529" t="str">
        <f>IF(ISNA(VLOOKUP(C529,Registration!A:A,1,FALSE)),"Not Registered","Registered")</f>
        <v>Not Registered</v>
      </c>
      <c r="F529">
        <f>VLOOKUP(A529,'Karykarta List'!A:B,2,FALSE)</f>
        <v>9320309630</v>
      </c>
      <c r="G529" t="str">
        <f>_xlfn.IFNA(VLOOKUP(C529,CallLog_Latest!A:H,8,FALSE),"")</f>
        <v/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785</v>
      </c>
      <c r="B530" t="s">
        <v>570</v>
      </c>
      <c r="C530">
        <v>9324531211</v>
      </c>
      <c r="D530" t="str">
        <f>_xlfn.IFNA(VLOOKUP(C530,UpdateLogToUse!A:D,4,FALSE),"Not Called")</f>
        <v>Not Called</v>
      </c>
      <c r="E530" t="str">
        <f>IF(ISNA(VLOOKUP(C530,Registration!A:A,1,FALSE)),"Not Registered","Registered")</f>
        <v>Not Registered</v>
      </c>
      <c r="F530">
        <f>VLOOKUP(A530,'Karykarta List'!A:B,2,FALSE)</f>
        <v>9321532327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83</v>
      </c>
      <c r="B531" t="s">
        <v>571</v>
      </c>
      <c r="C531">
        <v>9702224535</v>
      </c>
      <c r="D531" t="str">
        <f>_xlfn.IFNA(VLOOKUP(C531,UpdateLogToUse!A:D,4,FALSE),"Not Called")</f>
        <v>Confirmed Presence</v>
      </c>
      <c r="E531" t="str">
        <f>IF(ISNA(VLOOKUP(C531,Registration!A:A,1,FALSE)),"Not Registered","Registered")</f>
        <v>Registered</v>
      </c>
      <c r="F531">
        <f>VLOOKUP(A531,'Karykarta List'!A:B,2,FALSE)</f>
        <v>9225211083</v>
      </c>
      <c r="G531" t="str">
        <f>_xlfn.IFNA(VLOOKUP(C531,CallLog_Latest!A:H,8,FALSE),"")</f>
        <v/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799</v>
      </c>
      <c r="B532" t="s">
        <v>572</v>
      </c>
      <c r="C532">
        <v>9833910166</v>
      </c>
      <c r="D532" t="str">
        <f>_xlfn.IFNA(VLOOKUP(C532,UpdateLogToUse!A:D,4,FALSE),"Not Called")</f>
        <v>Not Called</v>
      </c>
      <c r="E532" t="str">
        <f>IF(ISNA(VLOOKUP(C532,Registration!A:A,1,FALSE)),"Not Registered","Registered")</f>
        <v>Not Registered</v>
      </c>
      <c r="F532">
        <f>VLOOKUP(A532,'Karykarta List'!A:B,2,FALSE)</f>
        <v>9324233820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805</v>
      </c>
      <c r="B533" t="s">
        <v>573</v>
      </c>
      <c r="C533">
        <v>9820505363</v>
      </c>
      <c r="D533" t="str">
        <f>_xlfn.IFNA(VLOOKUP(C533,UpdateLogToUse!A:D,4,FALSE),"Not Called")</f>
        <v>Not Called</v>
      </c>
      <c r="E533" t="str">
        <f>IF(ISNA(VLOOKUP(C533,Registration!A:A,1,FALSE)),"Not Registered","Registered")</f>
        <v>Not Registered</v>
      </c>
      <c r="F533">
        <f>VLOOKUP(A533,'Karykarta List'!A:B,2,FALSE)</f>
        <v>9320770849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95</v>
      </c>
      <c r="B534" t="s">
        <v>574</v>
      </c>
      <c r="C534">
        <v>9833353033</v>
      </c>
      <c r="D534" t="str">
        <f>_xlfn.IFNA(VLOOKUP(C534,UpdateLogToUse!A:D,4,FALSE),"Not Called")</f>
        <v>Confirmed Presence</v>
      </c>
      <c r="E534" t="str">
        <f>IF(ISNA(VLOOKUP(C534,Registration!A:A,1,FALSE)),"Not Registered","Registered")</f>
        <v>Not Registered</v>
      </c>
      <c r="F534">
        <f>VLOOKUP(A534,'Karykarta List'!A:B,2,FALSE)</f>
        <v>9424584007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55</v>
      </c>
      <c r="B535" t="s">
        <v>575</v>
      </c>
      <c r="C535">
        <v>9821444408</v>
      </c>
      <c r="D535" t="str">
        <f>_xlfn.IFNA(VLOOKUP(C535,UpdateLogToUse!A:D,4,FALSE),"Not Called")</f>
        <v>Not Called</v>
      </c>
      <c r="E535" t="str">
        <f>IF(ISNA(VLOOKUP(C535,Registration!A:A,1,FALSE)),"Not Registered","Registered")</f>
        <v>Not Registered</v>
      </c>
      <c r="F535">
        <f>VLOOKUP(A535,'Karykarta List'!A:B,2,FALSE)</f>
        <v>9819083540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29</v>
      </c>
      <c r="B536" t="s">
        <v>576</v>
      </c>
      <c r="C536">
        <v>8080978873</v>
      </c>
      <c r="D536" t="str">
        <f>_xlfn.IFNA(VLOOKUP(C536,UpdateLogToUse!A:D,4,FALSE),"Not Called")</f>
        <v>Not Called</v>
      </c>
      <c r="E536" t="str">
        <f>IF(ISNA(VLOOKUP(C536,Registration!A:A,1,FALSE)),"Not Registered","Registered")</f>
        <v>Not Registered</v>
      </c>
      <c r="F536">
        <f>VLOOKUP(A536,'Karykarta List'!A:B,2,FALSE)</f>
        <v>9819364345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1306</v>
      </c>
      <c r="B537" t="s">
        <v>577</v>
      </c>
      <c r="C537">
        <v>9820087717</v>
      </c>
      <c r="D537" t="str">
        <f>_xlfn.IFNA(VLOOKUP(C537,UpdateLogToUse!A:D,4,FALSE),"Not Called")</f>
        <v>Confirmed Presence</v>
      </c>
      <c r="E537" t="str">
        <f>IF(ISNA(VLOOKUP(C537,Registration!A:A,1,FALSE)),"Not Registered","Registered")</f>
        <v>Not Registered</v>
      </c>
      <c r="F537">
        <f>VLOOKUP(A537,'Karykarta List'!A:B,2,FALSE)</f>
        <v>7977147591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789</v>
      </c>
      <c r="B538" t="s">
        <v>578</v>
      </c>
      <c r="C538">
        <v>9619742286</v>
      </c>
      <c r="D538" t="str">
        <f>_xlfn.IFNA(VLOOKUP(C538,UpdateLogToUse!A:D,4,FALSE),"Not Called")</f>
        <v>Not Called</v>
      </c>
      <c r="E538" t="str">
        <f>IF(ISNA(VLOOKUP(C538,Registration!A:A,1,FALSE)),"Not Registered","Registered")</f>
        <v>Not Registered</v>
      </c>
      <c r="F538">
        <f>VLOOKUP(A538,'Karykarta List'!A:B,2,FALSE)</f>
        <v>9702260383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11</v>
      </c>
      <c r="B539" t="s">
        <v>579</v>
      </c>
      <c r="C539">
        <v>9320087717</v>
      </c>
      <c r="D539" t="str">
        <f>_xlfn.IFNA(VLOOKUP(C539,UpdateLogToUse!A:D,4,FALSE),"Not Called")</f>
        <v>Not Called</v>
      </c>
      <c r="E539" t="str">
        <f>IF(ISNA(VLOOKUP(C539,Registration!A:A,1,FALSE)),"Not Registered","Registered")</f>
        <v>Not Registered</v>
      </c>
      <c r="F539">
        <f>VLOOKUP(A539,'Karykarta List'!A:B,2,FALSE)</f>
        <v>9322598681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1308</v>
      </c>
      <c r="B540" t="s">
        <v>580</v>
      </c>
      <c r="C540">
        <v>9892062311</v>
      </c>
      <c r="D540" t="str">
        <f>_xlfn.IFNA(VLOOKUP(C540,UpdateLogToUse!A:D,4,FALSE),"Not Called")</f>
        <v>Not Reachable</v>
      </c>
      <c r="E540" t="str">
        <f>IF(ISNA(VLOOKUP(C540,Registration!A:A,1,FALSE)),"Not Registered","Registered")</f>
        <v>Not Registered</v>
      </c>
      <c r="F540">
        <f>VLOOKUP(A540,'Karykarta List'!A:B,2,FALSE)</f>
        <v>9022922620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39</v>
      </c>
      <c r="B541" t="s">
        <v>581</v>
      </c>
      <c r="C541">
        <v>9571913590</v>
      </c>
      <c r="D541" t="str">
        <f>_xlfn.IFNA(VLOOKUP(C541,UpdateLogToUse!A:D,4,FALSE),"Not Called")</f>
        <v>Not Called</v>
      </c>
      <c r="E541" t="str">
        <f>IF(ISNA(VLOOKUP(C541,Registration!A:A,1,FALSE)),"Not Registered","Registered")</f>
        <v>Not Registered</v>
      </c>
      <c r="F541">
        <f>VLOOKUP(A541,'Karykarta List'!A:B,2,FALSE)</f>
        <v>9820505363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21</v>
      </c>
      <c r="B542" t="s">
        <v>582</v>
      </c>
      <c r="C542">
        <v>9920409121</v>
      </c>
      <c r="D542" t="str">
        <f>_xlfn.IFNA(VLOOKUP(C542,UpdateLogToUse!A:D,4,FALSE),"Not Called")</f>
        <v>Not Called</v>
      </c>
      <c r="E542" t="str">
        <f>IF(ISNA(VLOOKUP(C542,Registration!A:A,1,FALSE)),"Not Registered","Registered")</f>
        <v>Not Registered</v>
      </c>
      <c r="F542">
        <f>VLOOKUP(A542,'Karykarta List'!A:B,2,FALSE)</f>
        <v>9820636392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31</v>
      </c>
      <c r="B543" t="s">
        <v>583</v>
      </c>
      <c r="C543">
        <v>9619010408</v>
      </c>
      <c r="D543" t="str">
        <f>_xlfn.IFNA(VLOOKUP(C543,UpdateLogToUse!A:D,4,FALSE),"Not Called")</f>
        <v>Not Called</v>
      </c>
      <c r="E543" t="str">
        <f>IF(ISNA(VLOOKUP(C543,Registration!A:A,1,FALSE)),"Not Registered","Registered")</f>
        <v>Not Registered</v>
      </c>
      <c r="F543">
        <f>VLOOKUP(A543,'Karykarta List'!A:B,2,FALSE)</f>
        <v>9869064553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49</v>
      </c>
      <c r="B544" t="s">
        <v>584</v>
      </c>
      <c r="C544">
        <v>9833032997</v>
      </c>
      <c r="D544" t="str">
        <f>_xlfn.IFNA(VLOOKUP(C544,UpdateLogToUse!A:D,4,FALSE),"Not Called")</f>
        <v>May be Attending</v>
      </c>
      <c r="E544" t="str">
        <f>IF(ISNA(VLOOKUP(C544,Registration!A:A,1,FALSE)),"Not Registered","Registered")</f>
        <v>Not Registered</v>
      </c>
      <c r="F544">
        <f>VLOOKUP(A544,'Karykarta List'!A:B,2,FALSE)</f>
        <v>9322206108</v>
      </c>
      <c r="G544" t="str">
        <f>_xlfn.IFNA(VLOOKUP(C544,CallLog_Latest!A:H,8,FALSE),"")</f>
        <v/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35</v>
      </c>
      <c r="B545" t="s">
        <v>585</v>
      </c>
      <c r="C545">
        <v>9324285448</v>
      </c>
      <c r="D545" t="str">
        <f>_xlfn.IFNA(VLOOKUP(C545,UpdateLogToUse!A:D,4,FALSE),"Not Called")</f>
        <v>Confirmed Presence</v>
      </c>
      <c r="E545" t="str">
        <f>IF(ISNA(VLOOKUP(C545,Registration!A:A,1,FALSE)),"Not Registered","Registered")</f>
        <v>Not Registered</v>
      </c>
      <c r="F545">
        <f>VLOOKUP(A545,'Karykarta List'!A:B,2,FALSE)</f>
        <v>9833705425</v>
      </c>
      <c r="G545" t="str">
        <f>_xlfn.IFNA(VLOOKUP(C545,CallLog_Latest!A:H,8,FALSE),"")</f>
        <v/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17</v>
      </c>
      <c r="B546" t="s">
        <v>586</v>
      </c>
      <c r="C546">
        <v>9022963335</v>
      </c>
      <c r="D546" t="str">
        <f>_xlfn.IFNA(VLOOKUP(C546,UpdateLogToUse!A:D,4,FALSE),"Not Called")</f>
        <v>Phone Busy</v>
      </c>
      <c r="E546" t="str">
        <f>IF(ISNA(VLOOKUP(C546,Registration!A:A,1,FALSE)),"Not Registered","Registered")</f>
        <v>Not Registered</v>
      </c>
      <c r="F546">
        <f>VLOOKUP(A546,'Karykarta List'!A:B,2,FALSE)</f>
        <v>9869798705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23</v>
      </c>
      <c r="B547" t="s">
        <v>587</v>
      </c>
      <c r="C547">
        <v>9820293375</v>
      </c>
      <c r="D547" t="str">
        <f>_xlfn.IFNA(VLOOKUP(C547,UpdateLogToUse!A:D,4,FALSE),"Not Called")</f>
        <v>Not Called</v>
      </c>
      <c r="E547" t="str">
        <f>IF(ISNA(VLOOKUP(C547,Registration!A:A,1,FALSE)),"Not Registered","Registered")</f>
        <v>Not Registered</v>
      </c>
      <c r="F547">
        <f>VLOOKUP(A547,'Karykarta List'!A:B,2,FALSE)</f>
        <v>7977439717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43</v>
      </c>
      <c r="B548" t="s">
        <v>588</v>
      </c>
      <c r="C548">
        <v>9833933540</v>
      </c>
      <c r="D548" t="str">
        <f>_xlfn.IFNA(VLOOKUP(C548,UpdateLogToUse!A:D,4,FALSE),"Not Called")</f>
        <v>Not Reachable</v>
      </c>
      <c r="E548" t="str">
        <f>IF(ISNA(VLOOKUP(C548,Registration!A:A,1,FALSE)),"Not Registered","Registered")</f>
        <v>Not Registered</v>
      </c>
      <c r="F548">
        <f>VLOOKUP(A548,'Karykarta List'!A:B,2,FALSE)</f>
        <v>9320683201</v>
      </c>
      <c r="G548" t="str">
        <f>_xlfn.IFNA(VLOOKUP(C548,CallLog_Latest!A:H,8,FALSE),"")</f>
        <v/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57</v>
      </c>
      <c r="B549" t="s">
        <v>589</v>
      </c>
      <c r="C549">
        <v>9833577351</v>
      </c>
      <c r="D549" t="str">
        <f>_xlfn.IFNA(VLOOKUP(C549,UpdateLogToUse!A:D,4,FALSE),"Not Called")</f>
        <v>Not Reachable</v>
      </c>
      <c r="E549" t="str">
        <f>IF(ISNA(VLOOKUP(C549,Registration!A:A,1,FALSE)),"Not Registered","Registered")</f>
        <v>Not Registered</v>
      </c>
      <c r="F549">
        <f>VLOOKUP(A549,'Karykarta List'!A:B,2,FALSE)</f>
        <v>9101910341</v>
      </c>
      <c r="G549" t="str">
        <f>_xlfn.IFNA(VLOOKUP(C549,CallLog_Latest!A:H,8,FALSE),"")</f>
        <v/>
      </c>
      <c r="H549" t="str">
        <f>VLOOKUP(C549,[1]Sheet1!$F:$H,3,FALSE)</f>
        <v>Raheja Eternity, B-301 Thakur Village, Kandivali (E</v>
      </c>
    </row>
    <row r="550" spans="1:8" x14ac:dyDescent="0.25">
      <c r="A550" t="s">
        <v>72</v>
      </c>
      <c r="B550" t="s">
        <v>590</v>
      </c>
      <c r="C550">
        <v>9820094563</v>
      </c>
      <c r="D550" t="str">
        <f>_xlfn.IFNA(VLOOKUP(C550,UpdateLogToUse!A:D,4,FALSE),"Not Called")</f>
        <v>Not Called</v>
      </c>
      <c r="E550" t="str">
        <f>IF(ISNA(VLOOKUP(C550,Registration!A:A,1,FALSE)),"Not Registered","Registered")</f>
        <v>Not Registered</v>
      </c>
      <c r="F550">
        <f>VLOOKUP(A550,'Karykarta List'!A:B,2,FALSE)</f>
        <v>8879433174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60</v>
      </c>
      <c r="B551" t="s">
        <v>591</v>
      </c>
      <c r="C551">
        <v>7506055680</v>
      </c>
      <c r="D551" t="str">
        <f>_xlfn.IFNA(VLOOKUP(C551,UpdateLogToUse!A:D,4,FALSE),"Not Called")</f>
        <v>May be Attending</v>
      </c>
      <c r="E551" t="str">
        <f>IF(ISNA(VLOOKUP(C551,Registration!A:A,1,FALSE)),"Not Registered","Registered")</f>
        <v>Not Registered</v>
      </c>
      <c r="F551">
        <f>VLOOKUP(A551,'Karykarta List'!A:B,2,FALSE)</f>
        <v>9820779873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1337</v>
      </c>
      <c r="B552" t="s">
        <v>592</v>
      </c>
      <c r="C552">
        <v>9323053856</v>
      </c>
      <c r="D552" t="str">
        <f>_xlfn.IFNA(VLOOKUP(C552,UpdateLogToUse!A:D,4,FALSE),"Not Called")</f>
        <v>Not Reachable</v>
      </c>
      <c r="E552" t="str">
        <f>IF(ISNA(VLOOKUP(C552,Registration!A:A,1,FALSE)),"Not Registered","Registered")</f>
        <v>Not Registered</v>
      </c>
      <c r="F552">
        <f>VLOOKUP(A552,'Karykarta List'!A:B,2,FALSE)</f>
        <v>9820130862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77</v>
      </c>
      <c r="B553" t="s">
        <v>593</v>
      </c>
      <c r="C553">
        <v>9920307573</v>
      </c>
      <c r="D553" t="str">
        <f>_xlfn.IFNA(VLOOKUP(C553,UpdateLogToUse!A:D,4,FALSE),"Not Called")</f>
        <v>Confirmed Presence</v>
      </c>
      <c r="E553" t="str">
        <f>IF(ISNA(VLOOKUP(C553,Registration!A:A,1,FALSE)),"Not Registered","Registered")</f>
        <v>Registered</v>
      </c>
      <c r="F553">
        <f>VLOOKUP(A553,'Karykarta List'!A:B,2,FALSE)</f>
        <v>9029105124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70</v>
      </c>
      <c r="B554" t="s">
        <v>594</v>
      </c>
      <c r="C554">
        <v>9619494026</v>
      </c>
      <c r="D554" t="str">
        <f>_xlfn.IFNA(VLOOKUP(C554,UpdateLogToUse!A:D,4,FALSE),"Not Called")</f>
        <v>Not Called</v>
      </c>
      <c r="E554" t="str">
        <f>IF(ISNA(VLOOKUP(C554,Registration!A:A,1,FALSE)),"Not Registered","Registered")</f>
        <v>Not Registered</v>
      </c>
      <c r="F554">
        <f>VLOOKUP(A554,'Karykarta List'!A:B,2,FALSE)</f>
        <v>9405263833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81</v>
      </c>
      <c r="B555" t="s">
        <v>595</v>
      </c>
      <c r="C555">
        <v>8879704601</v>
      </c>
      <c r="D555" t="str">
        <f>_xlfn.IFNA(VLOOKUP(C555,UpdateLogToUse!A:D,4,FALSE),"Not Called")</f>
        <v>Not Called</v>
      </c>
      <c r="E555" t="str">
        <f>IF(ISNA(VLOOKUP(C555,Registration!A:A,1,FALSE)),"Not Registered","Registered")</f>
        <v>Not Registered</v>
      </c>
      <c r="F555">
        <f>VLOOKUP(A555,'Karykarta List'!A:B,2,FALSE)</f>
        <v>9824100412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23</v>
      </c>
      <c r="B556" t="s">
        <v>596</v>
      </c>
      <c r="C556">
        <v>9967071927</v>
      </c>
      <c r="D556" t="str">
        <f>_xlfn.IFNA(VLOOKUP(C556,UpdateLogToUse!A:D,4,FALSE),"Not Called")</f>
        <v>Phone Busy</v>
      </c>
      <c r="E556" t="str">
        <f>IF(ISNA(VLOOKUP(C556,Registration!A:A,1,FALSE)),"Not Registered","Registered")</f>
        <v>Not Registered</v>
      </c>
      <c r="F556">
        <f>VLOOKUP(A556,'Karykarta List'!A:B,2,FALSE)</f>
        <v>7977439717</v>
      </c>
      <c r="G556" t="str">
        <f>_xlfn.IFNA(VLOOKUP(C556,CallLog_Latest!A:H,8,FALSE),"")</f>
        <v/>
      </c>
      <c r="H556" t="str">
        <f>VLOOKUP(C556,[1]Sheet1!$F:$H,3,FALSE)</f>
        <v>603 - C Wing  Tulip Thakur Village  Kandivali (E</v>
      </c>
    </row>
    <row r="557" spans="1:8" x14ac:dyDescent="0.25">
      <c r="A557" t="s">
        <v>41</v>
      </c>
      <c r="B557" t="s">
        <v>597</v>
      </c>
      <c r="C557">
        <v>9920299939</v>
      </c>
      <c r="D557" t="str">
        <f>_xlfn.IFNA(VLOOKUP(C557,UpdateLogToUse!A:D,4,FALSE),"Not Called")</f>
        <v>Not Reachable</v>
      </c>
      <c r="E557" t="str">
        <f>IF(ISNA(VLOOKUP(C557,Registration!A:A,1,FALSE)),"Not Registered","Registered")</f>
        <v>Not Registered</v>
      </c>
      <c r="F557">
        <f>VLOOKUP(A557,'Karykarta List'!A:B,2,FALSE)</f>
        <v>8058973809</v>
      </c>
      <c r="G557" t="str">
        <f>_xlfn.IFNA(VLOOKUP(C557,CallLog_Latest!A:H,8,FALSE),"")</f>
        <v/>
      </c>
      <c r="H557" t="str">
        <f>VLOOKUP(C557,[1]Sheet1!$F:$H,3,FALSE)</f>
        <v>6B-1206  Sapphire Heights Lokhandwala Complex, Kandivali (W</v>
      </c>
    </row>
    <row r="558" spans="1:8" x14ac:dyDescent="0.25">
      <c r="A558" t="s">
        <v>797</v>
      </c>
      <c r="B558" t="s">
        <v>598</v>
      </c>
      <c r="C558">
        <v>9322328211</v>
      </c>
      <c r="D558" t="str">
        <f>_xlfn.IFNA(VLOOKUP(C558,UpdateLogToUse!A:D,4,FALSE),"Not Called")</f>
        <v>Not Reachable</v>
      </c>
      <c r="E558" t="str">
        <f>IF(ISNA(VLOOKUP(C558,Registration!A:A,1,FALSE)),"Not Registered","Registered")</f>
        <v>Not Registered</v>
      </c>
      <c r="F558">
        <f>VLOOKUP(A558,'Karykarta List'!A:B,2,FALSE)</f>
        <v>9320309630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785</v>
      </c>
      <c r="B559" t="s">
        <v>599</v>
      </c>
      <c r="C559">
        <v>9820267735</v>
      </c>
      <c r="D559" t="str">
        <f>_xlfn.IFNA(VLOOKUP(C559,UpdateLogToUse!A:D,4,FALSE),"Not Called")</f>
        <v>Not Reachable</v>
      </c>
      <c r="E559" t="str">
        <f>IF(ISNA(VLOOKUP(C559,Registration!A:A,1,FALSE)),"Not Registered","Registered")</f>
        <v>Not Registered</v>
      </c>
      <c r="F559">
        <f>VLOOKUP(A559,'Karykarta List'!A:B,2,FALSE)</f>
        <v>9321532327</v>
      </c>
      <c r="G559" t="str">
        <f>_xlfn.IFNA(VLOOKUP(C559,CallLog_Latest!A:H,8,FALSE),"")</f>
        <v/>
      </c>
      <c r="H559" t="str">
        <f>VLOOKUP(C559,[1]Sheet1!$F:$H,3,FALSE)</f>
        <v>8-B  Tower-C Viceroy Park  Thakur Village</v>
      </c>
    </row>
    <row r="560" spans="1:8" x14ac:dyDescent="0.25">
      <c r="A560" t="s">
        <v>83</v>
      </c>
      <c r="B560" t="s">
        <v>600</v>
      </c>
      <c r="C560">
        <v>9322328211</v>
      </c>
      <c r="D560" t="str">
        <f>_xlfn.IFNA(VLOOKUP(C560,UpdateLogToUse!A:D,4,FALSE),"Not Called")</f>
        <v>Not Reachable</v>
      </c>
      <c r="E560" t="str">
        <f>IF(ISNA(VLOOKUP(C560,Registration!A:A,1,FALSE)),"Not Registered","Registered")</f>
        <v>Not Registered</v>
      </c>
      <c r="F560">
        <f>VLOOKUP(A560,'Karykarta List'!A:B,2,FALSE)</f>
        <v>9225211083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799</v>
      </c>
      <c r="B561" t="s">
        <v>601</v>
      </c>
      <c r="C561">
        <v>9820133326</v>
      </c>
      <c r="D561" t="str">
        <f>_xlfn.IFNA(VLOOKUP(C561,UpdateLogToUse!A:D,4,FALSE),"Not Called")</f>
        <v>Not Called</v>
      </c>
      <c r="E561" t="str">
        <f>IF(ISNA(VLOOKUP(C561,Registration!A:A,1,FALSE)),"Not Registered","Registered")</f>
        <v>Not Registered</v>
      </c>
      <c r="F561">
        <f>VLOOKUP(A561,'Karykarta List'!A:B,2,FALSE)</f>
        <v>9324233820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805</v>
      </c>
      <c r="B562" t="s">
        <v>602</v>
      </c>
      <c r="C562">
        <v>9322889347</v>
      </c>
      <c r="D562" t="str">
        <f>_xlfn.IFNA(VLOOKUP(C562,UpdateLogToUse!A:D,4,FALSE),"Not Called")</f>
        <v>Not Called</v>
      </c>
      <c r="E562" t="str">
        <f>IF(ISNA(VLOOKUP(C562,Registration!A:A,1,FALSE)),"Not Registered","Registered")</f>
        <v>Not Registered</v>
      </c>
      <c r="F562">
        <f>VLOOKUP(A562,'Karykarta List'!A:B,2,FALSE)</f>
        <v>9320770849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95</v>
      </c>
      <c r="B563" t="s">
        <v>603</v>
      </c>
      <c r="C563">
        <v>9820199877</v>
      </c>
      <c r="D563" t="str">
        <f>_xlfn.IFNA(VLOOKUP(C563,UpdateLogToUse!A:D,4,FALSE),"Not Called")</f>
        <v>Not Called</v>
      </c>
      <c r="E563" t="str">
        <f>IF(ISNA(VLOOKUP(C563,Registration!A:A,1,FALSE)),"Not Registered","Registered")</f>
        <v>Not Registered</v>
      </c>
      <c r="F563">
        <f>VLOOKUP(A563,'Karykarta List'!A:B,2,FALSE)</f>
        <v>9424584007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55</v>
      </c>
      <c r="B564" t="s">
        <v>604</v>
      </c>
      <c r="C564">
        <v>9819802826</v>
      </c>
      <c r="D564" t="str">
        <f>_xlfn.IFNA(VLOOKUP(C564,UpdateLogToUse!A:D,4,FALSE),"Not Called")</f>
        <v>Not Reachable</v>
      </c>
      <c r="E564" t="str">
        <f>IF(ISNA(VLOOKUP(C564,Registration!A:A,1,FALSE)),"Not Registered","Registered")</f>
        <v>Not Registered</v>
      </c>
      <c r="F564">
        <f>VLOOKUP(A564,'Karykarta List'!A:B,2,FALSE)</f>
        <v>9819083540</v>
      </c>
      <c r="G564" t="str">
        <f>_xlfn.IFNA(VLOOKUP(C564,CallLog_Latest!A:H,8,FALSE),"")</f>
        <v/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29</v>
      </c>
      <c r="B565" t="s">
        <v>605</v>
      </c>
      <c r="C565">
        <v>9820610112</v>
      </c>
      <c r="D565" t="str">
        <f>_xlfn.IFNA(VLOOKUP(C565,UpdateLogToUse!A:D,4,FALSE),"Not Called")</f>
        <v>Confirmed Presence</v>
      </c>
      <c r="E565" t="str">
        <f>IF(ISNA(VLOOKUP(C565,Registration!A:A,1,FALSE)),"Not Registered","Registered")</f>
        <v>Not Registered</v>
      </c>
      <c r="F565">
        <f>VLOOKUP(A565,'Karykarta List'!A:B,2,FALSE)</f>
        <v>9819364345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1306</v>
      </c>
      <c r="B566" t="s">
        <v>606</v>
      </c>
      <c r="C566">
        <v>9820029905</v>
      </c>
      <c r="D566" t="str">
        <f>_xlfn.IFNA(VLOOKUP(C566,UpdateLogToUse!A:D,4,FALSE),"Not Called")</f>
        <v>Not Called</v>
      </c>
      <c r="E566" t="str">
        <f>IF(ISNA(VLOOKUP(C566,Registration!A:A,1,FALSE)),"Not Registered","Registered")</f>
        <v>Not Registered</v>
      </c>
      <c r="F566">
        <f>VLOOKUP(A566,'Karykarta List'!A:B,2,FALSE)</f>
        <v>7977147591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789</v>
      </c>
      <c r="B567" t="s">
        <v>607</v>
      </c>
      <c r="C567">
        <v>9892537304</v>
      </c>
      <c r="D567" t="str">
        <f>_xlfn.IFNA(VLOOKUP(C567,UpdateLogToUse!A:D,4,FALSE),"Not Called")</f>
        <v>Confirmed Presence</v>
      </c>
      <c r="E567" t="str">
        <f>IF(ISNA(VLOOKUP(C567,Registration!A:A,1,FALSE)),"Not Registered","Registered")</f>
        <v>Not Registered</v>
      </c>
      <c r="F567">
        <f>VLOOKUP(A567,'Karykarta List'!A:B,2,FALSE)</f>
        <v>9702260383</v>
      </c>
      <c r="G567" t="str">
        <f>_xlfn.IFNA(VLOOKUP(C567,CallLog_Latest!A:H,8,FALSE),"")</f>
        <v/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11</v>
      </c>
      <c r="B568" t="s">
        <v>608</v>
      </c>
      <c r="C568">
        <v>7303221249</v>
      </c>
      <c r="D568" t="str">
        <f>_xlfn.IFNA(VLOOKUP(C568,UpdateLogToUse!A:D,4,FALSE),"Not Called")</f>
        <v>Confirmed Presence</v>
      </c>
      <c r="E568" t="str">
        <f>IF(ISNA(VLOOKUP(C568,Registration!A:A,1,FALSE)),"Not Registered","Registered")</f>
        <v>Not Registered</v>
      </c>
      <c r="F568">
        <f>VLOOKUP(A568,'Karykarta List'!A:B,2,FALSE)</f>
        <v>9322598681</v>
      </c>
      <c r="G568" t="str">
        <f>_xlfn.IFNA(VLOOKUP(C568,CallLog_Latest!A:H,8,FALSE),"")</f>
        <v/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1308</v>
      </c>
      <c r="B569" t="s">
        <v>609</v>
      </c>
      <c r="C569">
        <v>9029404426</v>
      </c>
      <c r="D569" t="str">
        <f>_xlfn.IFNA(VLOOKUP(C569,UpdateLogToUse!A:D,4,FALSE),"Not Called")</f>
        <v>Not Called</v>
      </c>
      <c r="E569" t="str">
        <f>IF(ISNA(VLOOKUP(C569,Registration!A:A,1,FALSE)),"Not Registered","Registered")</f>
        <v>Not Registered</v>
      </c>
      <c r="F569">
        <f>VLOOKUP(A569,'Karykarta List'!A:B,2,FALSE)</f>
        <v>9022922620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39</v>
      </c>
      <c r="B570" t="s">
        <v>610</v>
      </c>
      <c r="C570">
        <v>9821048063</v>
      </c>
      <c r="D570" t="str">
        <f>_xlfn.IFNA(VLOOKUP(C570,UpdateLogToUse!A:D,4,FALSE),"Not Called")</f>
        <v>Confirmed Presence</v>
      </c>
      <c r="E570" t="str">
        <f>IF(ISNA(VLOOKUP(C570,Registration!A:A,1,FALSE)),"Not Registered","Registered")</f>
        <v>Not Registered</v>
      </c>
      <c r="F570">
        <f>VLOOKUP(A570,'Karykarta List'!A:B,2,FALSE)</f>
        <v>9820505363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21</v>
      </c>
      <c r="B571" t="s">
        <v>611</v>
      </c>
      <c r="C571">
        <v>9664467750</v>
      </c>
      <c r="D571" t="str">
        <f>_xlfn.IFNA(VLOOKUP(C571,UpdateLogToUse!A:D,4,FALSE),"Not Called")</f>
        <v>Confirmed Presence</v>
      </c>
      <c r="E571" t="str">
        <f>IF(ISNA(VLOOKUP(C571,Registration!A:A,1,FALSE)),"Not Registered","Registered")</f>
        <v>Registered</v>
      </c>
      <c r="F571">
        <f>VLOOKUP(A571,'Karykarta List'!A:B,2,FALSE)</f>
        <v>9820636392</v>
      </c>
      <c r="G571" t="str">
        <f>_xlfn.IFNA(VLOOKUP(C571,CallLog_Latest!A:H,8,FALSE),"")</f>
        <v/>
      </c>
      <c r="H571" t="str">
        <f>VLOOKUP(C571,[1]Sheet1!$F:$H,3,FALSE)</f>
        <v>Krishna Vasant Sagar A-603   Thakur Village, Kandivali (E</v>
      </c>
    </row>
    <row r="572" spans="1:8" x14ac:dyDescent="0.25">
      <c r="A572" t="s">
        <v>31</v>
      </c>
      <c r="B572" t="s">
        <v>612</v>
      </c>
      <c r="C572">
        <v>9820305852</v>
      </c>
      <c r="D572" t="str">
        <f>_xlfn.IFNA(VLOOKUP(C572,UpdateLogToUse!A:D,4,FALSE),"Not Called")</f>
        <v>Not Called</v>
      </c>
      <c r="E572" t="str">
        <f>IF(ISNA(VLOOKUP(C572,Registration!A:A,1,FALSE)),"Not Registered","Registered")</f>
        <v>Not Registered</v>
      </c>
      <c r="F572">
        <f>VLOOKUP(A572,'Karykarta List'!A:B,2,FALSE)</f>
        <v>9869064553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49</v>
      </c>
      <c r="B573" t="s">
        <v>613</v>
      </c>
      <c r="C573">
        <v>9967065195</v>
      </c>
      <c r="D573" t="str">
        <f>_xlfn.IFNA(VLOOKUP(C573,UpdateLogToUse!A:D,4,FALSE),"Not Called")</f>
        <v>Not Called</v>
      </c>
      <c r="E573" t="str">
        <f>IF(ISNA(VLOOKUP(C573,Registration!A:A,1,FALSE)),"Not Registered","Registered")</f>
        <v>Not Registered</v>
      </c>
      <c r="F573">
        <f>VLOOKUP(A573,'Karykarta List'!A:B,2,FALSE)</f>
        <v>9322206108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35</v>
      </c>
      <c r="B574" t="s">
        <v>614</v>
      </c>
      <c r="C574">
        <v>9892726278</v>
      </c>
      <c r="D574" t="str">
        <f>_xlfn.IFNA(VLOOKUP(C574,UpdateLogToUse!A:D,4,FALSE),"Not Called")</f>
        <v>Not Called</v>
      </c>
      <c r="E574" t="str">
        <f>IF(ISNA(VLOOKUP(C574,Registration!A:A,1,FALSE)),"Not Registered","Registered")</f>
        <v>Not Registered</v>
      </c>
      <c r="F574">
        <f>VLOOKUP(A574,'Karykarta List'!A:B,2,FALSE)</f>
        <v>9833705425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17</v>
      </c>
      <c r="B575" t="s">
        <v>615</v>
      </c>
      <c r="C575">
        <v>9323035882</v>
      </c>
      <c r="D575" t="str">
        <f>_xlfn.IFNA(VLOOKUP(C575,UpdateLogToUse!A:D,4,FALSE),"Not Called")</f>
        <v>Not Called</v>
      </c>
      <c r="E575" t="str">
        <f>IF(ISNA(VLOOKUP(C575,Registration!A:A,1,FALSE)),"Not Registered","Registered")</f>
        <v>Not Registered</v>
      </c>
      <c r="F575">
        <f>VLOOKUP(A575,'Karykarta List'!A:B,2,FALSE)</f>
        <v>9869798705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23</v>
      </c>
      <c r="B576" t="s">
        <v>616</v>
      </c>
      <c r="C576">
        <v>9820216468</v>
      </c>
      <c r="D576" t="str">
        <f>_xlfn.IFNA(VLOOKUP(C576,UpdateLogToUse!A:D,4,FALSE),"Not Called")</f>
        <v>Not Called</v>
      </c>
      <c r="E576" t="str">
        <f>IF(ISNA(VLOOKUP(C576,Registration!A:A,1,FALSE)),"Not Registered","Registered")</f>
        <v>Not Registered</v>
      </c>
      <c r="F576">
        <f>VLOOKUP(A576,'Karykarta List'!A:B,2,FALSE)</f>
        <v>7977439717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43</v>
      </c>
      <c r="B577" t="s">
        <v>617</v>
      </c>
      <c r="C577">
        <v>9967015641</v>
      </c>
      <c r="D577" t="str">
        <f>_xlfn.IFNA(VLOOKUP(C577,UpdateLogToUse!A:D,4,FALSE),"Not Called")</f>
        <v>Not Coming</v>
      </c>
      <c r="E577" t="str">
        <f>IF(ISNA(VLOOKUP(C577,Registration!A:A,1,FALSE)),"Not Registered","Registered")</f>
        <v>Not Registered</v>
      </c>
      <c r="F577">
        <f>VLOOKUP(A577,'Karykarta List'!A:B,2,FALSE)</f>
        <v>9320683201</v>
      </c>
      <c r="G577" t="str">
        <f>_xlfn.IFNA(VLOOKUP(C577,CallLog_Latest!A:H,8,FALSE),"")</f>
        <v/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57</v>
      </c>
      <c r="B578" t="s">
        <v>618</v>
      </c>
      <c r="C578">
        <v>9837338000</v>
      </c>
      <c r="D578" t="str">
        <f>_xlfn.IFNA(VLOOKUP(C578,UpdateLogToUse!A:D,4,FALSE),"Not Called")</f>
        <v>Not Called</v>
      </c>
      <c r="E578" t="str">
        <f>IF(ISNA(VLOOKUP(C578,Registration!A:A,1,FALSE)),"Not Registered","Registered")</f>
        <v>Not Registered</v>
      </c>
      <c r="F578">
        <f>VLOOKUP(A578,'Karykarta List'!A:B,2,FALSE)</f>
        <v>9101910341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72</v>
      </c>
      <c r="B579" t="s">
        <v>619</v>
      </c>
      <c r="C579">
        <v>9413245223</v>
      </c>
      <c r="D579" t="str">
        <f>_xlfn.IFNA(VLOOKUP(C579,UpdateLogToUse!A:D,4,FALSE),"Not Called")</f>
        <v>Not Called</v>
      </c>
      <c r="E579" t="str">
        <f>IF(ISNA(VLOOKUP(C579,Registration!A:A,1,FALSE)),"Not Registered","Registered")</f>
        <v>Not Registered</v>
      </c>
      <c r="F579">
        <f>VLOOKUP(A579,'Karykarta List'!A:B,2,FALSE)</f>
        <v>8879433174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60</v>
      </c>
      <c r="B580" t="s">
        <v>620</v>
      </c>
      <c r="C580">
        <v>9167390835</v>
      </c>
      <c r="D580" t="str">
        <f>_xlfn.IFNA(VLOOKUP(C580,UpdateLogToUse!A:D,4,FALSE),"Not Called")</f>
        <v>Not Called</v>
      </c>
      <c r="E580" t="str">
        <f>IF(ISNA(VLOOKUP(C580,Registration!A:A,1,FALSE)),"Not Registered","Registered")</f>
        <v>Not Registered</v>
      </c>
      <c r="F580">
        <f>VLOOKUP(A580,'Karykarta List'!A:B,2,FALSE)</f>
        <v>9820779873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1337</v>
      </c>
      <c r="B581" t="s">
        <v>621</v>
      </c>
      <c r="C581">
        <v>980000000</v>
      </c>
      <c r="D581" t="str">
        <f>_xlfn.IFNA(VLOOKUP(C581,UpdateLogToUse!A:D,4,FALSE),"Not Called")</f>
        <v>Not Called</v>
      </c>
      <c r="E581" t="str">
        <f>IF(ISNA(VLOOKUP(C581,Registration!A:A,1,FALSE)),"Not Registered","Registered")</f>
        <v>Not Registered</v>
      </c>
      <c r="F581">
        <f>VLOOKUP(A581,'Karykarta List'!A:B,2,FALSE)</f>
        <v>9820130862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77</v>
      </c>
      <c r="B582" t="s">
        <v>622</v>
      </c>
      <c r="C582">
        <v>9321210074</v>
      </c>
      <c r="D582" t="str">
        <f>_xlfn.IFNA(VLOOKUP(C582,UpdateLogToUse!A:D,4,FALSE),"Not Called")</f>
        <v>Not Coming</v>
      </c>
      <c r="E582" t="str">
        <f>IF(ISNA(VLOOKUP(C582,Registration!A:A,1,FALSE)),"Not Registered","Registered")</f>
        <v>Not Registered</v>
      </c>
      <c r="F582">
        <f>VLOOKUP(A582,'Karykarta List'!A:B,2,FALSE)</f>
        <v>9029105124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70</v>
      </c>
      <c r="B583" t="s">
        <v>623</v>
      </c>
      <c r="C583">
        <v>9324400220</v>
      </c>
      <c r="D583" t="str">
        <f>_xlfn.IFNA(VLOOKUP(C583,UpdateLogToUse!A:D,4,FALSE),"Not Called")</f>
        <v>Not Called</v>
      </c>
      <c r="E583" t="str">
        <f>IF(ISNA(VLOOKUP(C583,Registration!A:A,1,FALSE)),"Not Registered","Registered")</f>
        <v>Not Registered</v>
      </c>
      <c r="F583">
        <f>VLOOKUP(A583,'Karykarta List'!A:B,2,FALSE)</f>
        <v>9405263833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81</v>
      </c>
      <c r="B584" t="s">
        <v>624</v>
      </c>
      <c r="C584">
        <v>9821207646</v>
      </c>
      <c r="D584" t="str">
        <f>_xlfn.IFNA(VLOOKUP(C584,UpdateLogToUse!A:D,4,FALSE),"Not Called")</f>
        <v>Not Called</v>
      </c>
      <c r="E584" t="str">
        <f>IF(ISNA(VLOOKUP(C584,Registration!A:A,1,FALSE)),"Not Registered","Registered")</f>
        <v>Not Registered</v>
      </c>
      <c r="F584">
        <f>VLOOKUP(A584,'Karykarta List'!A:B,2,FALSE)</f>
        <v>9824100412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23</v>
      </c>
      <c r="B585" t="s">
        <v>625</v>
      </c>
      <c r="C585">
        <v>9028711211</v>
      </c>
      <c r="D585" t="str">
        <f>_xlfn.IFNA(VLOOKUP(C585,UpdateLogToUse!A:D,4,FALSE),"Not Called")</f>
        <v>Confirmed Presence</v>
      </c>
      <c r="E585" t="str">
        <f>IF(ISNA(VLOOKUP(C585,Registration!A:A,1,FALSE)),"Not Registered","Registered")</f>
        <v>Not Registered</v>
      </c>
      <c r="F585">
        <f>VLOOKUP(A585,'Karykarta List'!A:B,2,FALSE)</f>
        <v>7977439717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41</v>
      </c>
      <c r="B586" t="s">
        <v>626</v>
      </c>
      <c r="C586">
        <v>9320767993</v>
      </c>
      <c r="D586" t="str">
        <f>_xlfn.IFNA(VLOOKUP(C586,UpdateLogToUse!A:D,4,FALSE),"Not Called")</f>
        <v>Not Called</v>
      </c>
      <c r="E586" t="str">
        <f>IF(ISNA(VLOOKUP(C586,Registration!A:A,1,FALSE)),"Not Registered","Registered")</f>
        <v>Not Registered</v>
      </c>
      <c r="F586">
        <f>VLOOKUP(A586,'Karykarta List'!A:B,2,FALSE)</f>
        <v>8058973809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797</v>
      </c>
      <c r="B587" t="s">
        <v>627</v>
      </c>
      <c r="C587">
        <v>9820189523</v>
      </c>
      <c r="D587" t="str">
        <f>_xlfn.IFNA(VLOOKUP(C587,UpdateLogToUse!A:D,4,FALSE),"Not Called")</f>
        <v>Confirmed Presence</v>
      </c>
      <c r="E587" t="str">
        <f>IF(ISNA(VLOOKUP(C587,Registration!A:A,1,FALSE)),"Not Registered","Registered")</f>
        <v>Not Registered</v>
      </c>
      <c r="F587">
        <f>VLOOKUP(A587,'Karykarta List'!A:B,2,FALSE)</f>
        <v>9320309630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785</v>
      </c>
      <c r="B588" t="s">
        <v>628</v>
      </c>
      <c r="C588">
        <v>9594784401</v>
      </c>
      <c r="D588" t="str">
        <f>_xlfn.IFNA(VLOOKUP(C588,UpdateLogToUse!A:D,4,FALSE),"Not Called")</f>
        <v>Confirmed Presence</v>
      </c>
      <c r="E588" t="str">
        <f>IF(ISNA(VLOOKUP(C588,Registration!A:A,1,FALSE)),"Not Registered","Registered")</f>
        <v>Registered</v>
      </c>
      <c r="F588">
        <f>VLOOKUP(A588,'Karykarta List'!A:B,2,FALSE)</f>
        <v>9321532327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83</v>
      </c>
      <c r="B589" t="s">
        <v>629</v>
      </c>
      <c r="C589">
        <v>9325040615</v>
      </c>
      <c r="D589" t="str">
        <f>_xlfn.IFNA(VLOOKUP(C589,UpdateLogToUse!A:D,4,FALSE),"Not Called")</f>
        <v>Not Called</v>
      </c>
      <c r="E589" t="str">
        <f>IF(ISNA(VLOOKUP(C589,Registration!A:A,1,FALSE)),"Not Registered","Registered")</f>
        <v>Not Registered</v>
      </c>
      <c r="F589">
        <f>VLOOKUP(A589,'Karykarta List'!A:B,2,FALSE)</f>
        <v>9225211083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799</v>
      </c>
      <c r="B590" t="s">
        <v>630</v>
      </c>
      <c r="C590">
        <v>9022848918</v>
      </c>
      <c r="D590" t="str">
        <f>_xlfn.IFNA(VLOOKUP(C590,UpdateLogToUse!A:D,4,FALSE),"Not Called")</f>
        <v>Not Called</v>
      </c>
      <c r="E590" t="str">
        <f>IF(ISNA(VLOOKUP(C590,Registration!A:A,1,FALSE)),"Not Registered","Registered")</f>
        <v>Not Registered</v>
      </c>
      <c r="F590">
        <f>VLOOKUP(A590,'Karykarta List'!A:B,2,FALSE)</f>
        <v>9324233820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805</v>
      </c>
      <c r="B591" t="s">
        <v>29</v>
      </c>
      <c r="C591">
        <v>9819364345</v>
      </c>
      <c r="D591" t="str">
        <f>_xlfn.IFNA(VLOOKUP(C591,UpdateLogToUse!A:D,4,FALSE),"Not Called")</f>
        <v>Confirmed Presence</v>
      </c>
      <c r="E591" t="str">
        <f>IF(ISNA(VLOOKUP(C591,Registration!A:A,1,FALSE)),"Not Registered","Registered")</f>
        <v>Registered</v>
      </c>
      <c r="F591">
        <f>VLOOKUP(A591,'Karykarta List'!A:B,2,FALSE)</f>
        <v>9320770849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95</v>
      </c>
      <c r="B592" t="s">
        <v>631</v>
      </c>
      <c r="C592">
        <v>9819007027</v>
      </c>
      <c r="D592" t="str">
        <f>_xlfn.IFNA(VLOOKUP(C592,UpdateLogToUse!A:D,4,FALSE),"Not Called")</f>
        <v>Not Called</v>
      </c>
      <c r="E592" t="str">
        <f>IF(ISNA(VLOOKUP(C592,Registration!A:A,1,FALSE)),"Not Registered","Registered")</f>
        <v>Not Registered</v>
      </c>
      <c r="F592">
        <f>VLOOKUP(A592,'Karykarta List'!A:B,2,FALSE)</f>
        <v>9424584007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55</v>
      </c>
      <c r="B593" t="s">
        <v>632</v>
      </c>
      <c r="C593">
        <v>9324478418</v>
      </c>
      <c r="D593" t="str">
        <f>_xlfn.IFNA(VLOOKUP(C593,UpdateLogToUse!A:D,4,FALSE),"Not Called")</f>
        <v>Confirmed Presence</v>
      </c>
      <c r="E593" t="str">
        <f>IF(ISNA(VLOOKUP(C593,Registration!A:A,1,FALSE)),"Not Registered","Registered")</f>
        <v>Not Registered</v>
      </c>
      <c r="F593">
        <f>VLOOKUP(A593,'Karykarta List'!A:B,2,FALSE)</f>
        <v>9819083540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29</v>
      </c>
      <c r="B594" t="s">
        <v>633</v>
      </c>
      <c r="C594">
        <v>9422581711</v>
      </c>
      <c r="D594" t="str">
        <f>_xlfn.IFNA(VLOOKUP(C594,UpdateLogToUse!A:D,4,FALSE),"Not Called")</f>
        <v>Not Called</v>
      </c>
      <c r="E594" t="str">
        <f>IF(ISNA(VLOOKUP(C594,Registration!A:A,1,FALSE)),"Not Registered","Registered")</f>
        <v>Not Registered</v>
      </c>
      <c r="F594">
        <f>VLOOKUP(A594,'Karykarta List'!A:B,2,FALSE)</f>
        <v>9819364345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1306</v>
      </c>
      <c r="B595" t="s">
        <v>634</v>
      </c>
      <c r="C595">
        <v>9322337842</v>
      </c>
      <c r="D595" t="str">
        <f>_xlfn.IFNA(VLOOKUP(C595,UpdateLogToUse!A:D,4,FALSE),"Not Called")</f>
        <v>Not Called</v>
      </c>
      <c r="E595" t="str">
        <f>IF(ISNA(VLOOKUP(C595,Registration!A:A,1,FALSE)),"Not Registered","Registered")</f>
        <v>Not Registered</v>
      </c>
      <c r="F595">
        <f>VLOOKUP(A595,'Karykarta List'!A:B,2,FALSE)</f>
        <v>7977147591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789</v>
      </c>
      <c r="B596" t="s">
        <v>635</v>
      </c>
      <c r="C596">
        <v>9821129200</v>
      </c>
      <c r="D596" t="str">
        <f>_xlfn.IFNA(VLOOKUP(C596,UpdateLogToUse!A:D,4,FALSE),"Not Called")</f>
        <v>Confirmed Presence</v>
      </c>
      <c r="E596" t="str">
        <f>IF(ISNA(VLOOKUP(C596,Registration!A:A,1,FALSE)),"Not Registered","Registered")</f>
        <v>Not Registered</v>
      </c>
      <c r="F596">
        <f>VLOOKUP(A596,'Karykarta List'!A:B,2,FALSE)</f>
        <v>9702260383</v>
      </c>
      <c r="G596" t="str">
        <f>_xlfn.IFNA(VLOOKUP(C596,CallLog_Latest!A:H,8,FALSE),"")</f>
        <v/>
      </c>
      <c r="H596" t="str">
        <f>VLOOKUP(C596,[1]Sheet1!$F:$H,3,FALSE)</f>
        <v>B-1604 Gokul Gagan Tower Thakur Village</v>
      </c>
    </row>
    <row r="597" spans="1:8" x14ac:dyDescent="0.25">
      <c r="A597" t="s">
        <v>11</v>
      </c>
      <c r="B597" t="s">
        <v>636</v>
      </c>
      <c r="C597">
        <v>9820659788</v>
      </c>
      <c r="D597" t="str">
        <f>_xlfn.IFNA(VLOOKUP(C597,UpdateLogToUse!A:D,4,FALSE),"Not Called")</f>
        <v>Not Reachable</v>
      </c>
      <c r="E597" t="str">
        <f>IF(ISNA(VLOOKUP(C597,Registration!A:A,1,FALSE)),"Not Registered","Registered")</f>
        <v>Not Registered</v>
      </c>
      <c r="F597">
        <f>VLOOKUP(A597,'Karykarta List'!A:B,2,FALSE)</f>
        <v>9322598681</v>
      </c>
      <c r="G597" t="str">
        <f>_xlfn.IFNA(VLOOKUP(C597,CallLog_Latest!A:H,8,FALSE),"")</f>
        <v/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1308</v>
      </c>
      <c r="B598" t="s">
        <v>637</v>
      </c>
      <c r="C598">
        <v>9867621977</v>
      </c>
      <c r="D598" t="str">
        <f>_xlfn.IFNA(VLOOKUP(C598,UpdateLogToUse!A:D,4,FALSE),"Not Called")</f>
        <v>Not Called</v>
      </c>
      <c r="E598" t="str">
        <f>IF(ISNA(VLOOKUP(C598,Registration!A:A,1,FALSE)),"Not Registered","Registered")</f>
        <v>Registered</v>
      </c>
      <c r="F598">
        <f>VLOOKUP(A598,'Karykarta List'!A:B,2,FALSE)</f>
        <v>9022922620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39</v>
      </c>
      <c r="B599" t="s">
        <v>638</v>
      </c>
      <c r="C599">
        <v>9987005185</v>
      </c>
      <c r="D599" t="str">
        <f>_xlfn.IFNA(VLOOKUP(C599,UpdateLogToUse!A:D,4,FALSE),"Not Called")</f>
        <v>Confirmed Presence</v>
      </c>
      <c r="E599" t="str">
        <f>IF(ISNA(VLOOKUP(C599,Registration!A:A,1,FALSE)),"Not Registered","Registered")</f>
        <v>Not Registered</v>
      </c>
      <c r="F599">
        <f>VLOOKUP(A599,'Karykarta List'!A:B,2,FALSE)</f>
        <v>9820505363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21</v>
      </c>
      <c r="B600" t="s">
        <v>639</v>
      </c>
      <c r="C600">
        <v>9324545321</v>
      </c>
      <c r="D600" t="str">
        <f>_xlfn.IFNA(VLOOKUP(C600,UpdateLogToUse!A:D,4,FALSE),"Not Called")</f>
        <v>Not Reachable</v>
      </c>
      <c r="E600" t="str">
        <f>IF(ISNA(VLOOKUP(C600,Registration!A:A,1,FALSE)),"Not Registered","Registered")</f>
        <v>Not Registered</v>
      </c>
      <c r="F600">
        <f>VLOOKUP(A600,'Karykarta List'!A:B,2,FALSE)</f>
        <v>9820636392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31</v>
      </c>
      <c r="B601" t="s">
        <v>640</v>
      </c>
      <c r="C601">
        <v>9892289016</v>
      </c>
      <c r="D601" t="str">
        <f>_xlfn.IFNA(VLOOKUP(C601,UpdateLogToUse!A:D,4,FALSE),"Not Called")</f>
        <v>Not Called</v>
      </c>
      <c r="E601" t="str">
        <f>IF(ISNA(VLOOKUP(C601,Registration!A:A,1,FALSE)),"Not Registered","Registered")</f>
        <v>Not Registered</v>
      </c>
      <c r="F601">
        <f>VLOOKUP(A601,'Karykarta List'!A:B,2,FALSE)</f>
        <v>9869064553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49</v>
      </c>
      <c r="B602" t="s">
        <v>641</v>
      </c>
      <c r="C602">
        <v>9699859943</v>
      </c>
      <c r="D602" t="str">
        <f>_xlfn.IFNA(VLOOKUP(C602,UpdateLogToUse!A:D,4,FALSE),"Not Called")</f>
        <v>Not Called</v>
      </c>
      <c r="E602" t="str">
        <f>IF(ISNA(VLOOKUP(C602,Registration!A:A,1,FALSE)),"Not Registered","Registered")</f>
        <v>Not Registered</v>
      </c>
      <c r="F602">
        <f>VLOOKUP(A602,'Karykarta List'!A:B,2,FALSE)</f>
        <v>9322206108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35</v>
      </c>
      <c r="B603" t="s">
        <v>642</v>
      </c>
      <c r="C603">
        <v>9820731770</v>
      </c>
      <c r="D603" t="str">
        <f>_xlfn.IFNA(VLOOKUP(C603,UpdateLogToUse!A:D,4,FALSE),"Not Called")</f>
        <v>Not Called</v>
      </c>
      <c r="E603" t="str">
        <f>IF(ISNA(VLOOKUP(C603,Registration!A:A,1,FALSE)),"Not Registered","Registered")</f>
        <v>Not Registered</v>
      </c>
      <c r="F603">
        <f>VLOOKUP(A603,'Karykarta List'!A:B,2,FALSE)</f>
        <v>9833705425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17</v>
      </c>
      <c r="B604" t="s">
        <v>643</v>
      </c>
      <c r="C604">
        <v>9930799429</v>
      </c>
      <c r="D604" t="str">
        <f>_xlfn.IFNA(VLOOKUP(C604,UpdateLogToUse!A:D,4,FALSE),"Not Called")</f>
        <v>Phone Busy</v>
      </c>
      <c r="E604" t="str">
        <f>IF(ISNA(VLOOKUP(C604,Registration!A:A,1,FALSE)),"Not Registered","Registered")</f>
        <v>Not Registered</v>
      </c>
      <c r="F604">
        <f>VLOOKUP(A604,'Karykarta List'!A:B,2,FALSE)</f>
        <v>9869798705</v>
      </c>
      <c r="G604" t="str">
        <f>_xlfn.IFNA(VLOOKUP(C604,CallLog_Latest!A:H,8,FALSE),"")</f>
        <v/>
      </c>
      <c r="H604" t="str">
        <f>VLOOKUP(C604,[1]Sheet1!$F:$H,3,FALSE)</f>
        <v>Evershine Crown, A-401 Thakur Village, Kandivali (E</v>
      </c>
    </row>
    <row r="605" spans="1:8" x14ac:dyDescent="0.25">
      <c r="A605" t="s">
        <v>23</v>
      </c>
      <c r="B605" t="s">
        <v>644</v>
      </c>
      <c r="C605">
        <v>9324543199</v>
      </c>
      <c r="D605" t="str">
        <f>_xlfn.IFNA(VLOOKUP(C605,UpdateLogToUse!A:D,4,FALSE),"Not Called")</f>
        <v>Confirmed Presence</v>
      </c>
      <c r="E605" t="str">
        <f>IF(ISNA(VLOOKUP(C605,Registration!A:A,1,FALSE)),"Not Registered","Registered")</f>
        <v>Not Registered</v>
      </c>
      <c r="F605">
        <f>VLOOKUP(A605,'Karykarta List'!A:B,2,FALSE)</f>
        <v>7977439717</v>
      </c>
      <c r="G605" t="str">
        <f>_xlfn.IFNA(VLOOKUP(C605,CallLog_Latest!A:H,8,FALSE),"")</f>
        <v/>
      </c>
      <c r="H605" t="str">
        <f>VLOOKUP(C605,[1]Sheet1!$F:$H,3,FALSE)</f>
        <v>A Wing,Serenity Raheja Reflection,Thakur Village</v>
      </c>
    </row>
    <row r="606" spans="1:8" x14ac:dyDescent="0.25">
      <c r="A606" t="s">
        <v>43</v>
      </c>
      <c r="B606" t="s">
        <v>645</v>
      </c>
      <c r="C606">
        <v>9819514056</v>
      </c>
      <c r="D606" t="str">
        <f>_xlfn.IFNA(VLOOKUP(C606,UpdateLogToUse!A:D,4,FALSE),"Not Called")</f>
        <v>Not Reachable</v>
      </c>
      <c r="E606" t="str">
        <f>IF(ISNA(VLOOKUP(C606,Registration!A:A,1,FALSE)),"Not Registered","Registered")</f>
        <v>Not Registered</v>
      </c>
      <c r="F606">
        <f>VLOOKUP(A606,'Karykarta List'!A:B,2,FALSE)</f>
        <v>9320683201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57</v>
      </c>
      <c r="B607" t="s">
        <v>646</v>
      </c>
      <c r="C607">
        <v>9833374470</v>
      </c>
      <c r="D607" t="str">
        <f>_xlfn.IFNA(VLOOKUP(C607,UpdateLogToUse!A:D,4,FALSE),"Not Called")</f>
        <v>Not Coming</v>
      </c>
      <c r="E607" t="str">
        <f>IF(ISNA(VLOOKUP(C607,Registration!A:A,1,FALSE)),"Not Registered","Registered")</f>
        <v>Not Registered</v>
      </c>
      <c r="F607">
        <f>VLOOKUP(A607,'Karykarta List'!A:B,2,FALSE)</f>
        <v>9101910341</v>
      </c>
      <c r="G607" t="str">
        <f>_xlfn.IFNA(VLOOKUP(C607,CallLog_Latest!A:H,8,FALSE),"")</f>
        <v/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72</v>
      </c>
      <c r="B608" t="s">
        <v>647</v>
      </c>
      <c r="C608">
        <v>9324760100</v>
      </c>
      <c r="D608" t="str">
        <f>_xlfn.IFNA(VLOOKUP(C608,UpdateLogToUse!A:D,4,FALSE),"Not Called")</f>
        <v>Not Called</v>
      </c>
      <c r="E608" t="str">
        <f>IF(ISNA(VLOOKUP(C608,Registration!A:A,1,FALSE)),"Not Registered","Registered")</f>
        <v>Not Registered</v>
      </c>
      <c r="F608">
        <f>VLOOKUP(A608,'Karykarta List'!A:B,2,FALSE)</f>
        <v>8879433174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60</v>
      </c>
      <c r="B609" t="s">
        <v>648</v>
      </c>
      <c r="C609">
        <v>9323035129</v>
      </c>
      <c r="D609" t="str">
        <f>_xlfn.IFNA(VLOOKUP(C609,UpdateLogToUse!A:D,4,FALSE),"Not Called")</f>
        <v>Not Called</v>
      </c>
      <c r="E609" t="str">
        <f>IF(ISNA(VLOOKUP(C609,Registration!A:A,1,FALSE)),"Not Registered","Registered")</f>
        <v>Not Registered</v>
      </c>
      <c r="F609">
        <f>VLOOKUP(A609,'Karykarta List'!A:B,2,FALSE)</f>
        <v>9820779873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1337</v>
      </c>
      <c r="B610" t="s">
        <v>649</v>
      </c>
      <c r="C610">
        <v>9322206108</v>
      </c>
      <c r="D610" t="str">
        <f>_xlfn.IFNA(VLOOKUP(C610,UpdateLogToUse!A:D,4,FALSE),"Not Called")</f>
        <v>Not Called</v>
      </c>
      <c r="E610" t="str">
        <f>IF(ISNA(VLOOKUP(C610,Registration!A:A,1,FALSE)),"Not Registered","Registered")</f>
        <v>Registered</v>
      </c>
      <c r="F610">
        <f>VLOOKUP(A610,'Karykarta List'!A:B,2,FALSE)</f>
        <v>9820130862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77</v>
      </c>
      <c r="B611" t="s">
        <v>650</v>
      </c>
      <c r="C611">
        <v>9702051155</v>
      </c>
      <c r="D611" t="str">
        <f>_xlfn.IFNA(VLOOKUP(C611,UpdateLogToUse!A:D,4,FALSE),"Not Called")</f>
        <v>Not Called</v>
      </c>
      <c r="E611" t="str">
        <f>IF(ISNA(VLOOKUP(C611,Registration!A:A,1,FALSE)),"Not Registered","Registered")</f>
        <v>Not Registered</v>
      </c>
      <c r="F611">
        <f>VLOOKUP(A611,'Karykarta List'!A:B,2,FALSE)</f>
        <v>9029105124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70</v>
      </c>
      <c r="B612" t="s">
        <v>651</v>
      </c>
      <c r="C612">
        <v>9930491850</v>
      </c>
      <c r="D612" t="str">
        <f>_xlfn.IFNA(VLOOKUP(C612,UpdateLogToUse!A:D,4,FALSE),"Not Called")</f>
        <v>Not Called</v>
      </c>
      <c r="E612" t="str">
        <f>IF(ISNA(VLOOKUP(C612,Registration!A:A,1,FALSE)),"Not Registered","Registered")</f>
        <v>Not Registered</v>
      </c>
      <c r="F612">
        <f>VLOOKUP(A612,'Karykarta List'!A:B,2,FALSE)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81</v>
      </c>
      <c r="B613" t="s">
        <v>652</v>
      </c>
      <c r="C613">
        <v>9819064004</v>
      </c>
      <c r="D613" t="str">
        <f>_xlfn.IFNA(VLOOKUP(C613,UpdateLogToUse!A:D,4,FALSE),"Not Called")</f>
        <v>Not Reachable</v>
      </c>
      <c r="E613" t="str">
        <f>IF(ISNA(VLOOKUP(C613,Registration!A:A,1,FALSE)),"Not Registered","Registered")</f>
        <v>Not Registered</v>
      </c>
      <c r="F613">
        <f>VLOOKUP(A613,'Karykarta List'!A:B,2,FALSE)</f>
        <v>9824100412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23</v>
      </c>
      <c r="B614" t="s">
        <v>653</v>
      </c>
      <c r="C614">
        <v>9820078730</v>
      </c>
      <c r="D614" t="str">
        <f>_xlfn.IFNA(VLOOKUP(C614,UpdateLogToUse!A:D,4,FALSE),"Not Called")</f>
        <v>Not Called</v>
      </c>
      <c r="E614" t="str">
        <f>IF(ISNA(VLOOKUP(C614,Registration!A:A,1,FALSE)),"Not Registered","Registered")</f>
        <v>Not Registered</v>
      </c>
      <c r="F614">
        <f>VLOOKUP(A614,'Karykarta List'!A:B,2,FALSE)</f>
        <v>7977439717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41</v>
      </c>
      <c r="B615" t="s">
        <v>654</v>
      </c>
      <c r="C615">
        <v>9833729262</v>
      </c>
      <c r="D615" t="str">
        <f>_xlfn.IFNA(VLOOKUP(C615,UpdateLogToUse!A:D,4,FALSE),"Not Called")</f>
        <v>Not Reachable</v>
      </c>
      <c r="E615" t="str">
        <f>IF(ISNA(VLOOKUP(C615,Registration!A:A,1,FALSE)),"Not Registered","Registered")</f>
        <v>Not Registered</v>
      </c>
      <c r="F615">
        <f>VLOOKUP(A615,'Karykarta List'!A:B,2,FALSE)</f>
        <v>8058973809</v>
      </c>
      <c r="G615" t="str">
        <f>_xlfn.IFNA(VLOOKUP(C615,CallLog_Latest!A:H,8,FALSE),"")</f>
        <v/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797</v>
      </c>
      <c r="B616" t="s">
        <v>655</v>
      </c>
      <c r="C616">
        <v>9579122701</v>
      </c>
      <c r="D616" t="str">
        <f>_xlfn.IFNA(VLOOKUP(C616,UpdateLogToUse!A:D,4,FALSE),"Not Called")</f>
        <v>Not Reachable</v>
      </c>
      <c r="E616" t="str">
        <f>IF(ISNA(VLOOKUP(C616,Registration!A:A,1,FALSE)),"Not Registered","Registered")</f>
        <v>Not Registered</v>
      </c>
      <c r="F616">
        <f>VLOOKUP(A616,'Karykarta List'!A:B,2,FALSE)</f>
        <v>9320309630</v>
      </c>
      <c r="G616" t="str">
        <f>_xlfn.IFNA(VLOOKUP(C616,CallLog_Latest!A:H,8,FALSE),"")</f>
        <v/>
      </c>
      <c r="H616" t="str">
        <f>VLOOKUP(C616,[1]Sheet1!$F:$H,3,FALSE)</f>
        <v>Flat no. 1601, Highland Towers, Lokhandwala, Kandivali (E</v>
      </c>
    </row>
    <row r="617" spans="1:8" x14ac:dyDescent="0.25">
      <c r="A617" t="s">
        <v>785</v>
      </c>
      <c r="B617" t="s">
        <v>656</v>
      </c>
      <c r="C617">
        <v>7666603760</v>
      </c>
      <c r="D617" t="str">
        <f>_xlfn.IFNA(VLOOKUP(C617,UpdateLogToUse!A:D,4,FALSE),"Not Called")</f>
        <v>Not Called</v>
      </c>
      <c r="E617" t="str">
        <f>IF(ISNA(VLOOKUP(C617,Registration!A:A,1,FALSE)),"Not Registered","Registered")</f>
        <v>Not Registered</v>
      </c>
      <c r="F617">
        <f>VLOOKUP(A617,'Karykarta List'!A:B,2,FALSE)</f>
        <v>9321532327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83</v>
      </c>
      <c r="B618" t="s">
        <v>657</v>
      </c>
      <c r="C618">
        <v>9987297056</v>
      </c>
      <c r="D618" t="str">
        <f>_xlfn.IFNA(VLOOKUP(C618,UpdateLogToUse!A:D,4,FALSE),"Not Called")</f>
        <v>May be Attending</v>
      </c>
      <c r="E618" t="str">
        <f>IF(ISNA(VLOOKUP(C618,Registration!A:A,1,FALSE)),"Not Registered","Registered")</f>
        <v>Not Registered</v>
      </c>
      <c r="F618">
        <f>VLOOKUP(A618,'Karykarta List'!A:B,2,FALSE)</f>
        <v>9225211083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799</v>
      </c>
      <c r="B619" t="s">
        <v>658</v>
      </c>
      <c r="C619">
        <v>9967592693</v>
      </c>
      <c r="D619" t="str">
        <f>_xlfn.IFNA(VLOOKUP(C619,UpdateLogToUse!A:D,4,FALSE),"Not Called")</f>
        <v>Not Coming</v>
      </c>
      <c r="E619" t="str">
        <f>IF(ISNA(VLOOKUP(C619,Registration!A:A,1,FALSE)),"Not Registered","Registered")</f>
        <v>Not Registered</v>
      </c>
      <c r="F619">
        <f>VLOOKUP(A619,'Karykarta List'!A:B,2,FALSE)</f>
        <v>9324233820</v>
      </c>
      <c r="G619" t="str">
        <f>_xlfn.IFNA(VLOOKUP(C619,CallLog_Latest!A:H,8,FALSE),"")</f>
        <v/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805</v>
      </c>
      <c r="B620" t="s">
        <v>659</v>
      </c>
      <c r="C620">
        <v>9821721970</v>
      </c>
      <c r="D620" t="str">
        <f>_xlfn.IFNA(VLOOKUP(C620,UpdateLogToUse!A:D,4,FALSE),"Not Called")</f>
        <v>Not Called</v>
      </c>
      <c r="E620" t="str">
        <f>IF(ISNA(VLOOKUP(C620,Registration!A:A,1,FALSE)),"Not Registered","Registered")</f>
        <v>Not Registered</v>
      </c>
      <c r="F620">
        <f>VLOOKUP(A620,'Karykarta List'!A:B,2,FALSE)</f>
        <v>9320770849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95</v>
      </c>
      <c r="B621" t="s">
        <v>660</v>
      </c>
      <c r="C621">
        <v>9699634839</v>
      </c>
      <c r="D621" t="str">
        <f>_xlfn.IFNA(VLOOKUP(C621,UpdateLogToUse!A:D,4,FALSE),"Not Called")</f>
        <v>Not Called</v>
      </c>
      <c r="E621" t="str">
        <f>IF(ISNA(VLOOKUP(C621,Registration!A:A,1,FALSE)),"Not Registered","Registered")</f>
        <v>Not Registered</v>
      </c>
      <c r="F621">
        <f>VLOOKUP(A621,'Karykarta List'!A:B,2,FALSE)</f>
        <v>9424584007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55</v>
      </c>
      <c r="B622" t="s">
        <v>661</v>
      </c>
      <c r="C622">
        <v>9820425656</v>
      </c>
      <c r="D622" t="str">
        <f>_xlfn.IFNA(VLOOKUP(C622,UpdateLogToUse!A:D,4,FALSE),"Not Called")</f>
        <v>Not Called</v>
      </c>
      <c r="E622" t="str">
        <f>IF(ISNA(VLOOKUP(C622,Registration!A:A,1,FALSE)),"Not Registered","Registered")</f>
        <v>Not Registered</v>
      </c>
      <c r="F622">
        <f>VLOOKUP(A622,'Karykarta List'!A:B,2,FALSE)</f>
        <v>9819083540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29</v>
      </c>
      <c r="B623" t="s">
        <v>662</v>
      </c>
      <c r="C623">
        <v>9892450932</v>
      </c>
      <c r="D623" t="str">
        <f>_xlfn.IFNA(VLOOKUP(C623,UpdateLogToUse!A:D,4,FALSE),"Not Called")</f>
        <v>Not Called</v>
      </c>
      <c r="E623" t="str">
        <f>IF(ISNA(VLOOKUP(C623,Registration!A:A,1,FALSE)),"Not Registered","Registered")</f>
        <v>Not Registered</v>
      </c>
      <c r="F623">
        <f>VLOOKUP(A623,'Karykarta List'!A:B,2,FALSE)</f>
        <v>9819364345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1306</v>
      </c>
      <c r="B624" t="s">
        <v>663</v>
      </c>
      <c r="C624">
        <v>9324236755</v>
      </c>
      <c r="D624" t="str">
        <f>_xlfn.IFNA(VLOOKUP(C624,UpdateLogToUse!A:D,4,FALSE),"Not Called")</f>
        <v>Not Called</v>
      </c>
      <c r="E624" t="str">
        <f>IF(ISNA(VLOOKUP(C624,Registration!A:A,1,FALSE)),"Not Registered","Registered")</f>
        <v>Not Registered</v>
      </c>
      <c r="F624">
        <f>VLOOKUP(A624,'Karykarta List'!A:B,2,FALSE)</f>
        <v>7977147591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789</v>
      </c>
      <c r="B625" t="s">
        <v>664</v>
      </c>
      <c r="C625">
        <v>9820522401</v>
      </c>
      <c r="D625" t="str">
        <f>_xlfn.IFNA(VLOOKUP(C625,UpdateLogToUse!A:D,4,FALSE),"Not Called")</f>
        <v>Not Reachable</v>
      </c>
      <c r="E625" t="str">
        <f>IF(ISNA(VLOOKUP(C625,Registration!A:A,1,FALSE)),"Not Registered","Registered")</f>
        <v>Registered</v>
      </c>
      <c r="F625">
        <f>VLOOKUP(A625,'Karykarta List'!A:B,2,FALSE)</f>
        <v>9702260383</v>
      </c>
      <c r="G625" t="str">
        <f>_xlfn.IFNA(VLOOKUP(C625,CallLog_Latest!A:H,8,FALSE),"")</f>
        <v/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11</v>
      </c>
      <c r="B626" t="s">
        <v>665</v>
      </c>
      <c r="C626">
        <v>9004390067</v>
      </c>
      <c r="D626" t="str">
        <f>_xlfn.IFNA(VLOOKUP(C626,UpdateLogToUse!A:D,4,FALSE),"Not Called")</f>
        <v>Not Called</v>
      </c>
      <c r="E626" t="str">
        <f>IF(ISNA(VLOOKUP(C626,Registration!A:A,1,FALSE)),"Not Registered","Registered")</f>
        <v>Not Registered</v>
      </c>
      <c r="F626">
        <f>VLOOKUP(A626,'Karykarta List'!A:B,2,FALSE)</f>
        <v>9322598681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1308</v>
      </c>
      <c r="B627" t="s">
        <v>666</v>
      </c>
      <c r="C627">
        <v>9967321313</v>
      </c>
      <c r="D627" t="str">
        <f>_xlfn.IFNA(VLOOKUP(C627,UpdateLogToUse!A:D,4,FALSE),"Not Called")</f>
        <v>Not Called</v>
      </c>
      <c r="E627" t="str">
        <f>IF(ISNA(VLOOKUP(C627,Registration!A:A,1,FALSE)),"Not Registered","Registered")</f>
        <v>Not Registered</v>
      </c>
      <c r="F627">
        <f>VLOOKUP(A627,'Karykarta List'!A:B,2,FALSE)</f>
        <v>9022922620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39</v>
      </c>
      <c r="B628" t="s">
        <v>667</v>
      </c>
      <c r="C628">
        <v>9820812296</v>
      </c>
      <c r="D628" t="str">
        <f>_xlfn.IFNA(VLOOKUP(C628,UpdateLogToUse!A:D,4,FALSE),"Not Called")</f>
        <v>Not Called</v>
      </c>
      <c r="E628" t="str">
        <f>IF(ISNA(VLOOKUP(C628,Registration!A:A,1,FALSE)),"Not Registered","Registered")</f>
        <v>Not Registered</v>
      </c>
      <c r="F628">
        <f>VLOOKUP(A628,'Karykarta List'!A:B,2,FALSE)</f>
        <v>9820505363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21</v>
      </c>
      <c r="B629" t="s">
        <v>668</v>
      </c>
      <c r="C629">
        <v>9892612707</v>
      </c>
      <c r="D629" t="str">
        <f>_xlfn.IFNA(VLOOKUP(C629,UpdateLogToUse!A:D,4,FALSE),"Not Called")</f>
        <v>Not Called</v>
      </c>
      <c r="E629" t="str">
        <f>IF(ISNA(VLOOKUP(C629,Registration!A:A,1,FALSE)),"Not Registered","Registered")</f>
        <v>Not Registered</v>
      </c>
      <c r="F629">
        <f>VLOOKUP(A629,'Karykarta List'!A:B,2,FALSE)</f>
        <v>9820636392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31</v>
      </c>
      <c r="B630" t="s">
        <v>669</v>
      </c>
      <c r="C630">
        <v>7208855720</v>
      </c>
      <c r="D630" t="str">
        <f>_xlfn.IFNA(VLOOKUP(C630,UpdateLogToUse!A:D,4,FALSE),"Not Called")</f>
        <v>Phone Busy</v>
      </c>
      <c r="E630" t="str">
        <f>IF(ISNA(VLOOKUP(C630,Registration!A:A,1,FALSE)),"Not Registered","Registered")</f>
        <v>Not Registered</v>
      </c>
      <c r="F630">
        <f>VLOOKUP(A630,'Karykarta List'!A:B,2,FALSE)</f>
        <v>9869064553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49</v>
      </c>
      <c r="B631" t="s">
        <v>670</v>
      </c>
      <c r="C631">
        <v>9819213850</v>
      </c>
      <c r="D631" t="str">
        <f>_xlfn.IFNA(VLOOKUP(C631,UpdateLogToUse!A:D,4,FALSE),"Not Called")</f>
        <v>Not Called</v>
      </c>
      <c r="E631" t="str">
        <f>IF(ISNA(VLOOKUP(C631,Registration!A:A,1,FALSE)),"Not Registered","Registered")</f>
        <v>Not Registered</v>
      </c>
      <c r="F631">
        <f>VLOOKUP(A631,'Karykarta List'!A:B,2,FALSE)</f>
        <v>9322206108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35</v>
      </c>
      <c r="B632" t="s">
        <v>671</v>
      </c>
      <c r="C632">
        <v>9967328169</v>
      </c>
      <c r="D632" t="str">
        <f>_xlfn.IFNA(VLOOKUP(C632,UpdateLogToUse!A:D,4,FALSE),"Not Called")</f>
        <v>Not Called</v>
      </c>
      <c r="E632" t="str">
        <f>IF(ISNA(VLOOKUP(C632,Registration!A:A,1,FALSE)),"Not Registered","Registered")</f>
        <v>Not Registered</v>
      </c>
      <c r="F632">
        <f>VLOOKUP(A632,'Karykarta List'!A:B,2,FALSE)</f>
        <v>9833705425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672</v>
      </c>
      <c r="C633">
        <v>9702045640</v>
      </c>
      <c r="D633" t="str">
        <f>_xlfn.IFNA(VLOOKUP(C633,UpdateLogToUse!A:D,4,FALSE),"Not Called")</f>
        <v>Not Reachable</v>
      </c>
      <c r="E633" t="str">
        <f>IF(ISNA(VLOOKUP(C633,Registration!A:A,1,FALSE)),"Not Registered","Registered")</f>
        <v>Not Registered</v>
      </c>
      <c r="F633">
        <f>VLOOKUP(A633,'Karykarta List'!A:B,2,FALSE)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23</v>
      </c>
      <c r="B634" t="s">
        <v>673</v>
      </c>
      <c r="C634">
        <v>9930642134</v>
      </c>
      <c r="D634" t="str">
        <f>_xlfn.IFNA(VLOOKUP(C634,UpdateLogToUse!A:D,4,FALSE),"Not Called")</f>
        <v>Not Called</v>
      </c>
      <c r="E634" t="str">
        <f>IF(ISNA(VLOOKUP(C634,Registration!A:A,1,FALSE)),"Not Registered","Registered")</f>
        <v>Not Registered</v>
      </c>
      <c r="F634">
        <f>VLOOKUP(A634,'Karykarta List'!A:B,2,FALSE)</f>
        <v>7977439717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43</v>
      </c>
      <c r="B635" t="s">
        <v>674</v>
      </c>
      <c r="C635">
        <v>9322673170</v>
      </c>
      <c r="D635" t="str">
        <f>_xlfn.IFNA(VLOOKUP(C635,UpdateLogToUse!A:D,4,FALSE),"Not Called")</f>
        <v>Not Called</v>
      </c>
      <c r="E635" t="str">
        <f>IF(ISNA(VLOOKUP(C635,Registration!A:A,1,FALSE)),"Not Registered","Registered")</f>
        <v>Not Registered</v>
      </c>
      <c r="F635">
        <f>VLOOKUP(A635,'Karykarta List'!A:B,2,FALSE)</f>
        <v>9320683201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57</v>
      </c>
      <c r="B636" t="s">
        <v>675</v>
      </c>
      <c r="C636">
        <v>9223411117</v>
      </c>
      <c r="D636" t="str">
        <f>_xlfn.IFNA(VLOOKUP(C636,UpdateLogToUse!A:D,4,FALSE),"Not Called")</f>
        <v>Not Reachable</v>
      </c>
      <c r="E636" t="str">
        <f>IF(ISNA(VLOOKUP(C636,Registration!A:A,1,FALSE)),"Not Registered","Registered")</f>
        <v>Not Registered</v>
      </c>
      <c r="F636">
        <f>VLOOKUP(A636,'Karykarta List'!A:B,2,FALSE)</f>
        <v>9101910341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72</v>
      </c>
      <c r="B637" t="s">
        <v>676</v>
      </c>
      <c r="C637">
        <v>9819223498</v>
      </c>
      <c r="D637" t="str">
        <f>_xlfn.IFNA(VLOOKUP(C637,UpdateLogToUse!A:D,4,FALSE),"Not Called")</f>
        <v>Not Called</v>
      </c>
      <c r="E637" t="str">
        <f>IF(ISNA(VLOOKUP(C637,Registration!A:A,1,FALSE)),"Not Registered","Registered")</f>
        <v>Not Registered</v>
      </c>
      <c r="F637">
        <f>VLOOKUP(A637,'Karykarta List'!A:B,2,FALSE)</f>
        <v>8879433174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60</v>
      </c>
      <c r="B638" t="s">
        <v>677</v>
      </c>
      <c r="C638">
        <v>9619187738</v>
      </c>
      <c r="D638" t="str">
        <f>_xlfn.IFNA(VLOOKUP(C638,UpdateLogToUse!A:D,4,FALSE),"Not Called")</f>
        <v>Not Called</v>
      </c>
      <c r="E638" t="str">
        <f>IF(ISNA(VLOOKUP(C638,Registration!A:A,1,FALSE)),"Not Registered","Registered")</f>
        <v>Not Registered</v>
      </c>
      <c r="F638">
        <f>VLOOKUP(A638,'Karykarta List'!A:B,2,FALSE)</f>
        <v>9820779873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1337</v>
      </c>
      <c r="B639" t="s">
        <v>678</v>
      </c>
      <c r="C639">
        <v>9833886788</v>
      </c>
      <c r="D639" t="str">
        <f>_xlfn.IFNA(VLOOKUP(C639,UpdateLogToUse!A:D,4,FALSE),"Not Called")</f>
        <v>Not Called</v>
      </c>
      <c r="E639" t="str">
        <f>IF(ISNA(VLOOKUP(C639,Registration!A:A,1,FALSE)),"Not Registered","Registered")</f>
        <v>Not Registered</v>
      </c>
      <c r="F639">
        <f>VLOOKUP(A639,'Karykarta List'!A:B,2,FALSE)</f>
        <v>9820130862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77</v>
      </c>
      <c r="B640" t="s">
        <v>679</v>
      </c>
      <c r="C640">
        <v>9920445444</v>
      </c>
      <c r="D640" t="str">
        <f>_xlfn.IFNA(VLOOKUP(C640,UpdateLogToUse!A:D,4,FALSE),"Not Called")</f>
        <v>Not Reachable</v>
      </c>
      <c r="E640" t="str">
        <f>IF(ISNA(VLOOKUP(C640,Registration!A:A,1,FALSE)),"Not Registered","Registered")</f>
        <v>Not Registered</v>
      </c>
      <c r="F640">
        <f>VLOOKUP(A640,'Karykarta List'!A:B,2,FALSE)</f>
        <v>9029105124</v>
      </c>
      <c r="G640" t="str">
        <f>_xlfn.IFNA(VLOOKUP(C640,CallLog_Latest!A:H,8,FALSE),"")</f>
        <v/>
      </c>
      <c r="H640" t="str">
        <f>VLOOKUP(C640,[1]Sheet1!$F:$H,3,FALSE)</f>
        <v>A-1903, Oberoi Gardens Thakur Village, Kandivali East,</v>
      </c>
    </row>
    <row r="641" spans="1:8" x14ac:dyDescent="0.25">
      <c r="A641" t="s">
        <v>70</v>
      </c>
      <c r="B641" t="s">
        <v>680</v>
      </c>
      <c r="C641">
        <v>9320308008</v>
      </c>
      <c r="D641" t="str">
        <f>_xlfn.IFNA(VLOOKUP(C641,UpdateLogToUse!A:D,4,FALSE),"Not Called")</f>
        <v>Confirmed Presence</v>
      </c>
      <c r="E641" t="str">
        <f>IF(ISNA(VLOOKUP(C641,Registration!A:A,1,FALSE)),"Not Registered","Registered")</f>
        <v>Not Registered</v>
      </c>
      <c r="F641">
        <f>VLOOKUP(A641,'Karykarta List'!A:B,2,FALSE)</f>
        <v>9405263833</v>
      </c>
      <c r="G641" t="str">
        <f>_xlfn.IFNA(VLOOKUP(C641,CallLog_Latest!A:H,8,FALSE),"")</f>
        <v/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81</v>
      </c>
      <c r="B642" t="s">
        <v>681</v>
      </c>
      <c r="C642">
        <v>9324998811</v>
      </c>
      <c r="D642" t="str">
        <f>_xlfn.IFNA(VLOOKUP(C642,UpdateLogToUse!A:D,4,FALSE),"Not Called")</f>
        <v>Confirmed Presence</v>
      </c>
      <c r="E642" t="str">
        <f>IF(ISNA(VLOOKUP(C642,Registration!A:A,1,FALSE)),"Not Registered","Registered")</f>
        <v>Not Registered</v>
      </c>
      <c r="F642">
        <f>VLOOKUP(A642,'Karykarta List'!A:B,2,FALSE)</f>
        <v>9824100412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23</v>
      </c>
      <c r="B643" t="s">
        <v>682</v>
      </c>
      <c r="C643">
        <v>9867300018</v>
      </c>
      <c r="D643" t="str">
        <f>_xlfn.IFNA(VLOOKUP(C643,UpdateLogToUse!A:D,4,FALSE),"Not Called")</f>
        <v>Not Called</v>
      </c>
      <c r="E643" t="str">
        <f>IF(ISNA(VLOOKUP(C643,Registration!A:A,1,FALSE)),"Not Registered","Registered")</f>
        <v>Not Registered</v>
      </c>
      <c r="F643">
        <f>VLOOKUP(A643,'Karykarta List'!A:B,2,FALSE)</f>
        <v>7977439717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41</v>
      </c>
      <c r="B644" t="s">
        <v>683</v>
      </c>
      <c r="C644">
        <v>9869488744</v>
      </c>
      <c r="D644" t="str">
        <f>_xlfn.IFNA(VLOOKUP(C644,UpdateLogToUse!A:D,4,FALSE),"Not Called")</f>
        <v>Not Called</v>
      </c>
      <c r="E644" t="str">
        <f>IF(ISNA(VLOOKUP(C644,Registration!A:A,1,FALSE)),"Not Registered","Registered")</f>
        <v>Not Registered</v>
      </c>
      <c r="F644">
        <f>VLOOKUP(A644,'Karykarta List'!A:B,2,FALSE)</f>
        <v>8058973809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797</v>
      </c>
      <c r="B645" t="s">
        <v>684</v>
      </c>
      <c r="C645">
        <v>9930723354</v>
      </c>
      <c r="D645" t="str">
        <f>_xlfn.IFNA(VLOOKUP(C645,UpdateLogToUse!A:D,4,FALSE),"Not Called")</f>
        <v>Confirmed Presence</v>
      </c>
      <c r="E645" t="str">
        <f>IF(ISNA(VLOOKUP(C645,Registration!A:A,1,FALSE)),"Not Registered","Registered")</f>
        <v>Not Registered</v>
      </c>
      <c r="F645">
        <f>VLOOKUP(A645,'Karykarta List'!A:B,2,FALSE)</f>
        <v>9320309630</v>
      </c>
      <c r="G645" t="str">
        <f>_xlfn.IFNA(VLOOKUP(C645,CallLog_Latest!A:H,8,FALSE),"")</f>
        <v/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785</v>
      </c>
      <c r="B646" t="s">
        <v>685</v>
      </c>
      <c r="C646">
        <v>9322123231</v>
      </c>
      <c r="D646" t="str">
        <f>_xlfn.IFNA(VLOOKUP(C646,UpdateLogToUse!A:D,4,FALSE),"Not Called")</f>
        <v>Not Reachable</v>
      </c>
      <c r="E646" t="str">
        <f>IF(ISNA(VLOOKUP(C646,Registration!A:A,1,FALSE)),"Not Registered","Registered")</f>
        <v>Not Registered</v>
      </c>
      <c r="F646">
        <f>VLOOKUP(A646,'Karykarta List'!A:B,2,FALSE)</f>
        <v>9321532327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83</v>
      </c>
      <c r="B647" t="s">
        <v>686</v>
      </c>
      <c r="C647">
        <v>9324163209</v>
      </c>
      <c r="D647" t="str">
        <f>_xlfn.IFNA(VLOOKUP(C647,UpdateLogToUse!A:D,4,FALSE),"Not Called")</f>
        <v>Not Coming</v>
      </c>
      <c r="E647" t="str">
        <f>IF(ISNA(VLOOKUP(C647,Registration!A:A,1,FALSE)),"Not Registered","Registered")</f>
        <v>Not Registered</v>
      </c>
      <c r="F647">
        <f>VLOOKUP(A647,'Karykarta List'!A:B,2,FALSE)</f>
        <v>9225211083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799</v>
      </c>
      <c r="B648" t="s">
        <v>687</v>
      </c>
      <c r="C648">
        <v>9833169698</v>
      </c>
      <c r="D648" t="str">
        <f>_xlfn.IFNA(VLOOKUP(C648,UpdateLogToUse!A:D,4,FALSE),"Not Called")</f>
        <v>Not Reachable</v>
      </c>
      <c r="E648" t="str">
        <f>IF(ISNA(VLOOKUP(C648,Registration!A:A,1,FALSE)),"Not Registered","Registered")</f>
        <v>Not Registered</v>
      </c>
      <c r="F648">
        <f>VLOOKUP(A648,'Karykarta List'!A:B,2,FALSE)</f>
        <v>9324233820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805</v>
      </c>
      <c r="B649" t="s">
        <v>688</v>
      </c>
      <c r="C649">
        <v>9324777747</v>
      </c>
      <c r="D649" t="str">
        <f>_xlfn.IFNA(VLOOKUP(C649,UpdateLogToUse!A:D,4,FALSE),"Not Called")</f>
        <v>Confirmed Presence</v>
      </c>
      <c r="E649" t="str">
        <f>IF(ISNA(VLOOKUP(C649,Registration!A:A,1,FALSE)),"Not Registered","Registered")</f>
        <v>Not Registered</v>
      </c>
      <c r="F649">
        <f>VLOOKUP(A649,'Karykarta List'!A:B,2,FALSE)</f>
        <v>9320770849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95</v>
      </c>
      <c r="B650" t="s">
        <v>689</v>
      </c>
      <c r="C650">
        <v>9821528600</v>
      </c>
      <c r="D650" t="str">
        <f>_xlfn.IFNA(VLOOKUP(C650,UpdateLogToUse!A:D,4,FALSE),"Not Called")</f>
        <v>Not Called</v>
      </c>
      <c r="E650" t="str">
        <f>IF(ISNA(VLOOKUP(C650,Registration!A:A,1,FALSE)),"Not Registered","Registered")</f>
        <v>Not Registered</v>
      </c>
      <c r="F650">
        <f>VLOOKUP(A650,'Karykarta List'!A:B,2,FALSE)</f>
        <v>9424584007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55</v>
      </c>
      <c r="B651" t="s">
        <v>690</v>
      </c>
      <c r="C651">
        <v>9833098570</v>
      </c>
      <c r="D651" t="str">
        <f>_xlfn.IFNA(VLOOKUP(C651,UpdateLogToUse!A:D,4,FALSE),"Not Called")</f>
        <v>Not Called</v>
      </c>
      <c r="E651" t="str">
        <f>IF(ISNA(VLOOKUP(C651,Registration!A:A,1,FALSE)),"Not Registered","Registered")</f>
        <v>Not Registered</v>
      </c>
      <c r="F651">
        <f>VLOOKUP(A651,'Karykarta List'!A:B,2,FALSE)</f>
        <v>9819083540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29</v>
      </c>
      <c r="B652" t="s">
        <v>691</v>
      </c>
      <c r="C652">
        <v>8425048184</v>
      </c>
      <c r="D652" t="str">
        <f>_xlfn.IFNA(VLOOKUP(C652,UpdateLogToUse!A:D,4,FALSE),"Not Called")</f>
        <v>Confirmed Presence</v>
      </c>
      <c r="E652" t="str">
        <f>IF(ISNA(VLOOKUP(C652,Registration!A:A,1,FALSE)),"Not Registered","Registered")</f>
        <v>Not Registered</v>
      </c>
      <c r="F652">
        <f>VLOOKUP(A652,'Karykarta List'!A:B,2,FALSE)</f>
        <v>9819364345</v>
      </c>
      <c r="G652" t="str">
        <f>_xlfn.IFNA(VLOOKUP(C652,CallLog_Latest!A:H,8,FALSE),"")</f>
        <v/>
      </c>
      <c r="H652" t="str">
        <f>VLOOKUP(C652,[1]Sheet1!$F:$H,3,FALSE)</f>
        <v>A-202, Rashmi Avenue Thakur Complex, Kandivali (E</v>
      </c>
    </row>
    <row r="653" spans="1:8" x14ac:dyDescent="0.25">
      <c r="A653" t="s">
        <v>1306</v>
      </c>
      <c r="B653" t="s">
        <v>692</v>
      </c>
      <c r="C653">
        <v>9819461122</v>
      </c>
      <c r="D653" t="str">
        <f>_xlfn.IFNA(VLOOKUP(C653,UpdateLogToUse!A:D,4,FALSE),"Not Called")</f>
        <v>Not Coming</v>
      </c>
      <c r="E653" t="str">
        <f>IF(ISNA(VLOOKUP(C653,Registration!A:A,1,FALSE)),"Not Registered","Registered")</f>
        <v>Not Registered</v>
      </c>
      <c r="F653">
        <f>VLOOKUP(A653,'Karykarta List'!A:B,2,FALSE)</f>
        <v>7977147591</v>
      </c>
      <c r="G653" t="str">
        <f>_xlfn.IFNA(VLOOKUP(C653,CallLog_Latest!A:H,8,FALSE),"")</f>
        <v/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789</v>
      </c>
      <c r="B654" t="s">
        <v>693</v>
      </c>
      <c r="C654">
        <v>9820027895</v>
      </c>
      <c r="D654" t="str">
        <f>_xlfn.IFNA(VLOOKUP(C654,UpdateLogToUse!A:D,4,FALSE),"Not Called")</f>
        <v>Not Coming</v>
      </c>
      <c r="E654" t="str">
        <f>IF(ISNA(VLOOKUP(C654,Registration!A:A,1,FALSE)),"Not Registered","Registered")</f>
        <v>Not Registered</v>
      </c>
      <c r="F654">
        <f>VLOOKUP(A654,'Karykarta List'!A:B,2,FALSE)</f>
        <v>9702260383</v>
      </c>
      <c r="G654" t="str">
        <f>_xlfn.IFNA(VLOOKUP(C654,CallLog_Latest!A:H,8,FALSE),"")</f>
        <v/>
      </c>
      <c r="H654" t="str">
        <f>VLOOKUP(C654,[1]Sheet1!$F:$H,3,FALSE)</f>
        <v>3A/503. Wishpring Palms  Lokhandwala Township Akurli Road</v>
      </c>
    </row>
    <row r="655" spans="1:8" x14ac:dyDescent="0.25">
      <c r="A655" t="s">
        <v>11</v>
      </c>
      <c r="B655" t="s">
        <v>694</v>
      </c>
      <c r="C655">
        <v>9820027895</v>
      </c>
      <c r="D655" t="str">
        <f>_xlfn.IFNA(VLOOKUP(C655,UpdateLogToUse!A:D,4,FALSE),"Not Called")</f>
        <v>Not Coming</v>
      </c>
      <c r="E655" t="str">
        <f>IF(ISNA(VLOOKUP(C655,Registration!A:A,1,FALSE)),"Not Registered","Registered")</f>
        <v>Not Registered</v>
      </c>
      <c r="F655">
        <f>VLOOKUP(A655,'Karykarta List'!A:B,2,FALSE)</f>
        <v>9322598681</v>
      </c>
      <c r="G655" t="str">
        <f>_xlfn.IFNA(VLOOKUP(C655,CallLog_Latest!A:H,8,FALSE),"")</f>
        <v/>
      </c>
      <c r="H655" t="str">
        <f>VLOOKUP(C655,[1]Sheet1!$F:$H,3,FALSE)</f>
        <v>3A/503. Wishpring Palms  Lokhandwala Township Akurli Road</v>
      </c>
    </row>
    <row r="656" spans="1:8" x14ac:dyDescent="0.25">
      <c r="A656" t="s">
        <v>1308</v>
      </c>
      <c r="B656" t="s">
        <v>695</v>
      </c>
      <c r="C656">
        <v>9594120790</v>
      </c>
      <c r="D656" t="str">
        <f>_xlfn.IFNA(VLOOKUP(C656,UpdateLogToUse!A:D,4,FALSE),"Not Called")</f>
        <v>Not Called</v>
      </c>
      <c r="E656" t="str">
        <f>IF(ISNA(VLOOKUP(C656,Registration!A:A,1,FALSE)),"Not Registered","Registered")</f>
        <v>Not Registered</v>
      </c>
      <c r="F656">
        <f>VLOOKUP(A656,'Karykarta List'!A:B,2,FALSE)</f>
        <v>9022922620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39</v>
      </c>
      <c r="B657" t="s">
        <v>696</v>
      </c>
      <c r="C657">
        <v>9892046790</v>
      </c>
      <c r="D657" t="str">
        <f>_xlfn.IFNA(VLOOKUP(C657,UpdateLogToUse!A:D,4,FALSE),"Not Called")</f>
        <v>Not Called</v>
      </c>
      <c r="E657" t="str">
        <f>IF(ISNA(VLOOKUP(C657,Registration!A:A,1,FALSE)),"Not Registered","Registered")</f>
        <v>Not Registered</v>
      </c>
      <c r="F657">
        <f>VLOOKUP(A657,'Karykarta List'!A:B,2,FALSE)</f>
        <v>9820505363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21</v>
      </c>
      <c r="B658" t="s">
        <v>697</v>
      </c>
      <c r="C658">
        <v>9829088465</v>
      </c>
      <c r="D658" t="str">
        <f>_xlfn.IFNA(VLOOKUP(C658,UpdateLogToUse!A:D,4,FALSE),"Not Called")</f>
        <v>Not Called</v>
      </c>
      <c r="E658" t="str">
        <f>IF(ISNA(VLOOKUP(C658,Registration!A:A,1,FALSE)),"Not Registered","Registered")</f>
        <v>Not Registered</v>
      </c>
      <c r="F658">
        <f>VLOOKUP(A658,'Karykarta List'!A:B,2,FALSE)</f>
        <v>9820636392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31</v>
      </c>
      <c r="B659" t="s">
        <v>698</v>
      </c>
      <c r="C659">
        <v>7021861203</v>
      </c>
      <c r="D659" t="str">
        <f>_xlfn.IFNA(VLOOKUP(C659,UpdateLogToUse!A:D,4,FALSE),"Not Called")</f>
        <v>Not Called</v>
      </c>
      <c r="E659" t="str">
        <f>IF(ISNA(VLOOKUP(C659,Registration!A:A,1,FALSE)),"Not Registered","Registered")</f>
        <v>Not Registered</v>
      </c>
      <c r="F659">
        <f>VLOOKUP(A659,'Karykarta List'!A:B,2,FALSE)</f>
        <v>9869064553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49</v>
      </c>
      <c r="B660" t="s">
        <v>699</v>
      </c>
      <c r="C660">
        <v>9892590626</v>
      </c>
      <c r="D660" t="str">
        <f>_xlfn.IFNA(VLOOKUP(C660,UpdateLogToUse!A:D,4,FALSE),"Not Called")</f>
        <v>May be Attending</v>
      </c>
      <c r="E660" t="str">
        <f>IF(ISNA(VLOOKUP(C660,Registration!A:A,1,FALSE)),"Not Registered","Registered")</f>
        <v>Not Registered</v>
      </c>
      <c r="F660">
        <f>VLOOKUP(A660,'Karykarta List'!A:B,2,FALSE)</f>
        <v>9322206108</v>
      </c>
      <c r="G660" t="str">
        <f>_xlfn.IFNA(VLOOKUP(C660,CallLog_Latest!A:H,8,FALSE),"")</f>
        <v/>
      </c>
      <c r="H660" t="str">
        <f>VLOOKUP(C660,[1]Sheet1!$F:$H,3,FALSE)</f>
        <v>E-804  Octacrest Lokhandwala Township, Kandivali East</v>
      </c>
    </row>
    <row r="661" spans="1:8" x14ac:dyDescent="0.25">
      <c r="A661" t="s">
        <v>35</v>
      </c>
      <c r="B661" t="s">
        <v>700</v>
      </c>
      <c r="C661">
        <v>9324604104</v>
      </c>
      <c r="D661" t="str">
        <f>_xlfn.IFNA(VLOOKUP(C661,UpdateLogToUse!A:D,4,FALSE),"Not Called")</f>
        <v>May be Attending</v>
      </c>
      <c r="E661" t="str">
        <f>IF(ISNA(VLOOKUP(C661,Registration!A:A,1,FALSE)),"Not Registered","Registered")</f>
        <v>Not Registered</v>
      </c>
      <c r="F661">
        <f>VLOOKUP(A661,'Karykarta List'!A:B,2,FALSE)</f>
        <v>9833705425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17</v>
      </c>
      <c r="B662" t="s">
        <v>701</v>
      </c>
      <c r="C662">
        <v>9323854452</v>
      </c>
      <c r="D662" t="str">
        <f>_xlfn.IFNA(VLOOKUP(C662,UpdateLogToUse!A:D,4,FALSE),"Not Called")</f>
        <v>Not Called</v>
      </c>
      <c r="E662" t="str">
        <f>IF(ISNA(VLOOKUP(C662,Registration!A:A,1,FALSE)),"Not Registered","Registered")</f>
        <v>Not Registered</v>
      </c>
      <c r="F662">
        <f>VLOOKUP(A662,'Karykarta List'!A:B,2,FALSE)</f>
        <v>9869798705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23</v>
      </c>
      <c r="B663" t="s">
        <v>702</v>
      </c>
      <c r="C663">
        <v>9820019992</v>
      </c>
      <c r="D663" t="str">
        <f>_xlfn.IFNA(VLOOKUP(C663,UpdateLogToUse!A:D,4,FALSE),"Not Called")</f>
        <v>Not Called</v>
      </c>
      <c r="E663" t="str">
        <f>IF(ISNA(VLOOKUP(C663,Registration!A:A,1,FALSE)),"Not Registered","Registered")</f>
        <v>Not Registered</v>
      </c>
      <c r="F663">
        <f>VLOOKUP(A663,'Karykarta List'!A:B,2,FALSE)</f>
        <v>7977439717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43</v>
      </c>
      <c r="B664" t="s">
        <v>703</v>
      </c>
      <c r="C664">
        <v>9820970907</v>
      </c>
      <c r="D664" t="str">
        <f>_xlfn.IFNA(VLOOKUP(C664,UpdateLogToUse!A:D,4,FALSE),"Not Called")</f>
        <v>Not Coming</v>
      </c>
      <c r="E664" t="str">
        <f>IF(ISNA(VLOOKUP(C664,Registration!A:A,1,FALSE)),"Not Registered","Registered")</f>
        <v>Not Registered</v>
      </c>
      <c r="F664">
        <f>VLOOKUP(A664,'Karykarta List'!A:B,2,FALSE)</f>
        <v>9320683201</v>
      </c>
      <c r="G664" t="str">
        <f>_xlfn.IFNA(VLOOKUP(C664,CallLog_Latest!A:H,8,FALSE),"")</f>
        <v/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57</v>
      </c>
      <c r="B665" t="s">
        <v>704</v>
      </c>
      <c r="C665">
        <v>9833650952</v>
      </c>
      <c r="D665" t="str">
        <f>_xlfn.IFNA(VLOOKUP(C665,UpdateLogToUse!A:D,4,FALSE),"Not Called")</f>
        <v>Not Called</v>
      </c>
      <c r="E665" t="str">
        <f>IF(ISNA(VLOOKUP(C665,Registration!A:A,1,FALSE)),"Not Registered","Registered")</f>
        <v>Not Registered</v>
      </c>
      <c r="F665">
        <f>VLOOKUP(A665,'Karykarta List'!A:B,2,FALSE)</f>
        <v>9101910341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72</v>
      </c>
      <c r="B666" t="s">
        <v>705</v>
      </c>
      <c r="C666">
        <v>9867382329</v>
      </c>
      <c r="D666" t="str">
        <f>_xlfn.IFNA(VLOOKUP(C666,UpdateLogToUse!A:D,4,FALSE),"Not Called")</f>
        <v>Not Called</v>
      </c>
      <c r="E666" t="str">
        <f>IF(ISNA(VLOOKUP(C666,Registration!A:A,1,FALSE)),"Not Registered","Registered")</f>
        <v>Not Registered</v>
      </c>
      <c r="F666">
        <f>VLOOKUP(A666,'Karykarta List'!A:B,2,FALSE)</f>
        <v>8879433174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60</v>
      </c>
      <c r="B667" t="s">
        <v>706</v>
      </c>
      <c r="C667">
        <v>9322080898</v>
      </c>
      <c r="D667" t="str">
        <f>_xlfn.IFNA(VLOOKUP(C667,UpdateLogToUse!A:D,4,FALSE),"Not Called")</f>
        <v>May be Attending</v>
      </c>
      <c r="E667" t="str">
        <f>IF(ISNA(VLOOKUP(C667,Registration!A:A,1,FALSE)),"Not Registered","Registered")</f>
        <v>Not Registered</v>
      </c>
      <c r="F667">
        <f>VLOOKUP(A667,'Karykarta List'!A:B,2,FALSE)</f>
        <v>9820779873</v>
      </c>
      <c r="G667" t="str">
        <f>_xlfn.IFNA(VLOOKUP(C667,CallLog_Latest!A:H,8,FALSE),"")</f>
        <v/>
      </c>
      <c r="H667" t="str">
        <f>VLOOKUP(C667,[1]Sheet1!$F:$H,3,FALSE)</f>
        <v>Sanskruti, 30/703  Thakur Complex, Kandivali (E</v>
      </c>
    </row>
    <row r="668" spans="1:8" x14ac:dyDescent="0.25">
      <c r="A668" t="s">
        <v>1337</v>
      </c>
      <c r="B668" t="s">
        <v>707</v>
      </c>
      <c r="C668">
        <v>8652897767</v>
      </c>
      <c r="D668" t="str">
        <f>_xlfn.IFNA(VLOOKUP(C668,UpdateLogToUse!A:D,4,FALSE),"Not Called")</f>
        <v>Not Called</v>
      </c>
      <c r="E668" t="str">
        <f>IF(ISNA(VLOOKUP(C668,Registration!A:A,1,FALSE)),"Not Registered","Registered")</f>
        <v>Not Registered</v>
      </c>
      <c r="F668">
        <f>VLOOKUP(A668,'Karykarta List'!A:B,2,FALSE)</f>
        <v>9820130862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77</v>
      </c>
      <c r="B669" t="s">
        <v>708</v>
      </c>
      <c r="C669">
        <v>9322231062</v>
      </c>
      <c r="D669" t="str">
        <f>_xlfn.IFNA(VLOOKUP(C669,UpdateLogToUse!A:D,4,FALSE),"Not Called")</f>
        <v>Not Called</v>
      </c>
      <c r="E669" t="str">
        <f>IF(ISNA(VLOOKUP(C669,Registration!A:A,1,FALSE)),"Not Registered","Registered")</f>
        <v>Not Registered</v>
      </c>
      <c r="F669">
        <f>VLOOKUP(A669,'Karykarta List'!A:B,2,FALSE)</f>
        <v>9029105124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70</v>
      </c>
      <c r="B670" t="s">
        <v>709</v>
      </c>
      <c r="C670">
        <v>9619680714</v>
      </c>
      <c r="D670" t="str">
        <f>_xlfn.IFNA(VLOOKUP(C670,UpdateLogToUse!A:D,4,FALSE),"Not Called")</f>
        <v>Not Called</v>
      </c>
      <c r="E670" t="str">
        <f>IF(ISNA(VLOOKUP(C670,Registration!A:A,1,FALSE)),"Not Registered","Registered")</f>
        <v>Not Registered</v>
      </c>
      <c r="F670">
        <f>VLOOKUP(A670,'Karykarta List'!A:B,2,FALSE)</f>
        <v>9405263833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81</v>
      </c>
      <c r="B671" t="s">
        <v>710</v>
      </c>
      <c r="C671">
        <v>9867174174</v>
      </c>
      <c r="D671" t="str">
        <f>_xlfn.IFNA(VLOOKUP(C671,UpdateLogToUse!A:D,4,FALSE),"Not Called")</f>
        <v>Not Called</v>
      </c>
      <c r="E671" t="str">
        <f>IF(ISNA(VLOOKUP(C671,Registration!A:A,1,FALSE)),"Not Registered","Registered")</f>
        <v>Not Registered</v>
      </c>
      <c r="F671">
        <f>VLOOKUP(A671,'Karykarta List'!A:B,2,FALSE)</f>
        <v>9824100412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23</v>
      </c>
      <c r="B672" t="s">
        <v>711</v>
      </c>
      <c r="C672">
        <v>9867712820</v>
      </c>
      <c r="D672" t="str">
        <f>_xlfn.IFNA(VLOOKUP(C672,UpdateLogToUse!A:D,4,FALSE),"Not Called")</f>
        <v>Not Called</v>
      </c>
      <c r="E672" t="str">
        <f>IF(ISNA(VLOOKUP(C672,Registration!A:A,1,FALSE)),"Not Registered","Registered")</f>
        <v>Not Registered</v>
      </c>
      <c r="F672">
        <f>VLOOKUP(A672,'Karykarta List'!A:B,2,FALSE)</f>
        <v>7977439717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41</v>
      </c>
      <c r="B673" t="s">
        <v>712</v>
      </c>
      <c r="C673">
        <v>9702088221</v>
      </c>
      <c r="D673" t="str">
        <f>_xlfn.IFNA(VLOOKUP(C673,UpdateLogToUse!A:D,4,FALSE),"Not Called")</f>
        <v>Confirmed Presence</v>
      </c>
      <c r="E673" t="str">
        <f>IF(ISNA(VLOOKUP(C673,Registration!A:A,1,FALSE)),"Not Registered","Registered")</f>
        <v>Not Registered</v>
      </c>
      <c r="F673">
        <f>VLOOKUP(A673,'Karykarta List'!A:B,2,FALSE)</f>
        <v>8058973809</v>
      </c>
      <c r="G673" t="str">
        <f>_xlfn.IFNA(VLOOKUP(C673,CallLog_Latest!A:H,8,FALSE),"")</f>
        <v/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797</v>
      </c>
      <c r="B674" t="s">
        <v>713</v>
      </c>
      <c r="C674">
        <v>9820216355</v>
      </c>
      <c r="D674" t="str">
        <f>_xlfn.IFNA(VLOOKUP(C674,UpdateLogToUse!A:D,4,FALSE),"Not Called")</f>
        <v>Not Called</v>
      </c>
      <c r="E674" t="str">
        <f>IF(ISNA(VLOOKUP(C674,Registration!A:A,1,FALSE)),"Not Registered","Registered")</f>
        <v>Not Registered</v>
      </c>
      <c r="F674">
        <f>VLOOKUP(A674,'Karykarta List'!A:B,2,FALSE)</f>
        <v>9320309630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785</v>
      </c>
      <c r="B675" t="s">
        <v>714</v>
      </c>
      <c r="C675">
        <v>9967841114</v>
      </c>
      <c r="D675" t="str">
        <f>_xlfn.IFNA(VLOOKUP(C675,UpdateLogToUse!A:D,4,FALSE),"Not Called")</f>
        <v>Not Called</v>
      </c>
      <c r="E675" t="str">
        <f>IF(ISNA(VLOOKUP(C675,Registration!A:A,1,FALSE)),"Not Registered","Registered")</f>
        <v>Registered</v>
      </c>
      <c r="F675">
        <f>VLOOKUP(A675,'Karykarta List'!A:B,2,FALSE)</f>
        <v>9321532327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83</v>
      </c>
      <c r="B676" t="s">
        <v>715</v>
      </c>
      <c r="C676">
        <v>9223304605</v>
      </c>
      <c r="D676" t="str">
        <f>_xlfn.IFNA(VLOOKUP(C676,UpdateLogToUse!A:D,4,FALSE),"Not Called")</f>
        <v>Not Called</v>
      </c>
      <c r="E676" t="str">
        <f>IF(ISNA(VLOOKUP(C676,Registration!A:A,1,FALSE)),"Not Registered","Registered")</f>
        <v>Not Registered</v>
      </c>
      <c r="F676">
        <f>VLOOKUP(A676,'Karykarta List'!A:B,2,FALSE)</f>
        <v>9225211083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799</v>
      </c>
      <c r="B677" t="s">
        <v>716</v>
      </c>
      <c r="C677">
        <v>9029066833</v>
      </c>
      <c r="D677" t="str">
        <f>_xlfn.IFNA(VLOOKUP(C677,UpdateLogToUse!A:D,4,FALSE),"Not Called")</f>
        <v>Not Called</v>
      </c>
      <c r="E677" t="str">
        <f>IF(ISNA(VLOOKUP(C677,Registration!A:A,1,FALSE)),"Not Registered","Registered")</f>
        <v>Not Registered</v>
      </c>
      <c r="F677">
        <f>VLOOKUP(A677,'Karykarta List'!A:B,2,FALSE)</f>
        <v>9324233820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805</v>
      </c>
      <c r="B678" t="s">
        <v>717</v>
      </c>
      <c r="C678">
        <v>9223388791</v>
      </c>
      <c r="D678" t="str">
        <f>_xlfn.IFNA(VLOOKUP(C678,UpdateLogToUse!A:D,4,FALSE),"Not Called")</f>
        <v>Not Reachable</v>
      </c>
      <c r="E678" t="str">
        <f>IF(ISNA(VLOOKUP(C678,Registration!A:A,1,FALSE)),"Not Registered","Registered")</f>
        <v>Not Registered</v>
      </c>
      <c r="F678">
        <f>VLOOKUP(A678,'Karykarta List'!A:B,2,FALSE)</f>
        <v>9320770849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95</v>
      </c>
      <c r="B679" t="s">
        <v>718</v>
      </c>
      <c r="C679">
        <v>7498076883</v>
      </c>
      <c r="D679" t="str">
        <f>_xlfn.IFNA(VLOOKUP(C679,UpdateLogToUse!A:D,4,FALSE),"Not Called")</f>
        <v>Not Called</v>
      </c>
      <c r="E679" t="str">
        <f>IF(ISNA(VLOOKUP(C679,Registration!A:A,1,FALSE)),"Not Registered","Registered")</f>
        <v>Not Registered</v>
      </c>
      <c r="F679">
        <f>VLOOKUP(A679,'Karykarta List'!A:B,2,FALSE)</f>
        <v>9424584007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55</v>
      </c>
      <c r="B680" t="s">
        <v>719</v>
      </c>
      <c r="C680">
        <v>9769992623</v>
      </c>
      <c r="D680" t="str">
        <f>_xlfn.IFNA(VLOOKUP(C680,UpdateLogToUse!A:D,4,FALSE),"Not Called")</f>
        <v>Not Called</v>
      </c>
      <c r="E680" t="str">
        <f>IF(ISNA(VLOOKUP(C680,Registration!A:A,1,FALSE)),"Not Registered","Registered")</f>
        <v>Not Registered</v>
      </c>
      <c r="F680">
        <f>VLOOKUP(A680,'Karykarta List'!A:B,2,FALSE)</f>
        <v>9819083540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29</v>
      </c>
      <c r="B681" t="s">
        <v>720</v>
      </c>
      <c r="C681">
        <v>9867200070</v>
      </c>
      <c r="D681" t="str">
        <f>_xlfn.IFNA(VLOOKUP(C681,UpdateLogToUse!A:D,4,FALSE),"Not Called")</f>
        <v>Confirmed Presence</v>
      </c>
      <c r="E681" t="str">
        <f>IF(ISNA(VLOOKUP(C681,Registration!A:A,1,FALSE)),"Not Registered","Registered")</f>
        <v>Not Registered</v>
      </c>
      <c r="F681">
        <f>VLOOKUP(A681,'Karykarta List'!A:B,2,FALSE)</f>
        <v>9819364345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1306</v>
      </c>
      <c r="B682" t="s">
        <v>721</v>
      </c>
      <c r="C682">
        <v>9867297925</v>
      </c>
      <c r="D682" t="str">
        <f>_xlfn.IFNA(VLOOKUP(C682,UpdateLogToUse!A:D,4,FALSE),"Not Called")</f>
        <v>Not Called</v>
      </c>
      <c r="E682" t="str">
        <f>IF(ISNA(VLOOKUP(C682,Registration!A:A,1,FALSE)),"Not Registered","Registered")</f>
        <v>Not Registered</v>
      </c>
      <c r="F682">
        <f>VLOOKUP(A682,'Karykarta List'!A:B,2,FALSE)</f>
        <v>7977147591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789</v>
      </c>
      <c r="B683" t="s">
        <v>722</v>
      </c>
      <c r="C683">
        <v>9967931264</v>
      </c>
      <c r="D683" t="str">
        <f>_xlfn.IFNA(VLOOKUP(C683,UpdateLogToUse!A:D,4,FALSE),"Not Called")</f>
        <v>Not Called</v>
      </c>
      <c r="E683" t="str">
        <f>IF(ISNA(VLOOKUP(C683,Registration!A:A,1,FALSE)),"Not Registered","Registered")</f>
        <v>Not Registered</v>
      </c>
      <c r="F683">
        <f>VLOOKUP(A683,'Karykarta List'!A:B,2,FALSE)</f>
        <v>9702260383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11</v>
      </c>
      <c r="B684" t="s">
        <v>723</v>
      </c>
      <c r="C684">
        <v>7045652750</v>
      </c>
      <c r="D684" t="str">
        <f>_xlfn.IFNA(VLOOKUP(C684,UpdateLogToUse!A:D,4,FALSE),"Not Called")</f>
        <v>Not Coming</v>
      </c>
      <c r="E684" t="str">
        <f>IF(ISNA(VLOOKUP(C684,Registration!A:A,1,FALSE)),"Not Registered","Registered")</f>
        <v>Not Registered</v>
      </c>
      <c r="F684">
        <f>VLOOKUP(A684,'Karykarta List'!A:B,2,FALSE)</f>
        <v>9322598681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1308</v>
      </c>
      <c r="B685" t="s">
        <v>724</v>
      </c>
      <c r="C685">
        <v>9702023242</v>
      </c>
      <c r="D685" t="str">
        <f>_xlfn.IFNA(VLOOKUP(C685,UpdateLogToUse!A:D,4,FALSE),"Not Called")</f>
        <v>Not Called</v>
      </c>
      <c r="E685" t="str">
        <f>IF(ISNA(VLOOKUP(C685,Registration!A:A,1,FALSE)),"Not Registered","Registered")</f>
        <v>Not Registered</v>
      </c>
      <c r="F685">
        <f>VLOOKUP(A685,'Karykarta List'!A:B,2,FALSE)</f>
        <v>9022922620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39</v>
      </c>
      <c r="B686" t="s">
        <v>725</v>
      </c>
      <c r="C686">
        <v>9594014078</v>
      </c>
      <c r="D686" t="str">
        <f>_xlfn.IFNA(VLOOKUP(C686,UpdateLogToUse!A:D,4,FALSE),"Not Called")</f>
        <v>Not Called</v>
      </c>
      <c r="E686" t="str">
        <f>IF(ISNA(VLOOKUP(C686,Registration!A:A,1,FALSE)),"Not Registered","Registered")</f>
        <v>Not Registered</v>
      </c>
      <c r="F686">
        <f>VLOOKUP(A686,'Karykarta List'!A:B,2,FALSE)</f>
        <v>9820505363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21</v>
      </c>
      <c r="B687" t="s">
        <v>726</v>
      </c>
      <c r="C687">
        <v>9820849697</v>
      </c>
      <c r="D687" t="str">
        <f>_xlfn.IFNA(VLOOKUP(C687,UpdateLogToUse!A:D,4,FALSE),"Not Called")</f>
        <v>Not Called</v>
      </c>
      <c r="E687" t="str">
        <f>IF(ISNA(VLOOKUP(C687,Registration!A:A,1,FALSE)),"Not Registered","Registered")</f>
        <v>Not Registered</v>
      </c>
      <c r="F687">
        <f>VLOOKUP(A687,'Karykarta List'!A:B,2,FALSE)</f>
        <v>9820636392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727</v>
      </c>
      <c r="C688">
        <v>9820804282</v>
      </c>
      <c r="D688" t="str">
        <f>_xlfn.IFNA(VLOOKUP(C688,UpdateLogToUse!A:D,4,FALSE),"Not Called")</f>
        <v>Confirmed Presence</v>
      </c>
      <c r="E688" t="str">
        <f>IF(ISNA(VLOOKUP(C688,Registration!A:A,1,FALSE)),"Not Registered","Registered")</f>
        <v>Not Registered</v>
      </c>
      <c r="F688">
        <f>VLOOKUP(A688,'Karykarta List'!A:B,2,FALSE)</f>
        <v>9869064553</v>
      </c>
      <c r="G688" t="str">
        <f>_xlfn.IFNA(VLOOKUP(C688,CallLog_Latest!A:H,8,FALSE),"")</f>
        <v/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49</v>
      </c>
      <c r="B689" t="s">
        <v>728</v>
      </c>
      <c r="C689">
        <v>9529611813</v>
      </c>
      <c r="D689" t="str">
        <f>_xlfn.IFNA(VLOOKUP(C689,UpdateLogToUse!A:D,4,FALSE),"Not Called")</f>
        <v>Confirmed Presence</v>
      </c>
      <c r="E689" t="str">
        <f>IF(ISNA(VLOOKUP(C689,Registration!A:A,1,FALSE)),"Not Registered","Registered")</f>
        <v>Registered</v>
      </c>
      <c r="F689">
        <f>VLOOKUP(A689,'Karykarta List'!A:B,2,FALSE)</f>
        <v>9322206108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729</v>
      </c>
      <c r="C690">
        <v>9664033466</v>
      </c>
      <c r="D690" t="str">
        <f>_xlfn.IFNA(VLOOKUP(C690,UpdateLogToUse!A:D,4,FALSE),"Not Called")</f>
        <v>Phone Busy</v>
      </c>
      <c r="E690" t="str">
        <f>IF(ISNA(VLOOKUP(C690,Registration!A:A,1,FALSE)),"Not Registered","Registered")</f>
        <v>Not Registered</v>
      </c>
      <c r="F690">
        <f>VLOOKUP(A690,'Karykarta List'!A:B,2,FALSE)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17</v>
      </c>
      <c r="B691" t="s">
        <v>730</v>
      </c>
      <c r="C691">
        <v>9820419060</v>
      </c>
      <c r="D691" t="str">
        <f>_xlfn.IFNA(VLOOKUP(C691,UpdateLogToUse!A:D,4,FALSE),"Not Called")</f>
        <v>Not Called</v>
      </c>
      <c r="E691" t="str">
        <f>IF(ISNA(VLOOKUP(C691,Registration!A:A,1,FALSE)),"Not Registered","Registered")</f>
        <v>Not Registered</v>
      </c>
      <c r="F691">
        <f>VLOOKUP(A691,'Karykarta List'!A:B,2,FALSE)</f>
        <v>9869798705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23</v>
      </c>
      <c r="B692" t="s">
        <v>731</v>
      </c>
      <c r="C692">
        <v>9022989405</v>
      </c>
      <c r="D692" t="str">
        <f>_xlfn.IFNA(VLOOKUP(C692,UpdateLogToUse!A:D,4,FALSE),"Not Called")</f>
        <v>Not Called</v>
      </c>
      <c r="E692" t="str">
        <f>IF(ISNA(VLOOKUP(C692,Registration!A:A,1,FALSE)),"Not Registered","Registered")</f>
        <v>Not Registered</v>
      </c>
      <c r="F692">
        <f>VLOOKUP(A692,'Karykarta List'!A:B,2,FALSE)</f>
        <v>7977439717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43</v>
      </c>
      <c r="B693" t="s">
        <v>732</v>
      </c>
      <c r="C693">
        <v>7506747155</v>
      </c>
      <c r="D693" t="str">
        <f>_xlfn.IFNA(VLOOKUP(C693,UpdateLogToUse!A:D,4,FALSE),"Not Called")</f>
        <v>Not Reachable</v>
      </c>
      <c r="E693" t="str">
        <f>IF(ISNA(VLOOKUP(C693,Registration!A:A,1,FALSE)),"Not Registered","Registered")</f>
        <v>Registered</v>
      </c>
      <c r="F693">
        <f>VLOOKUP(A693,'Karykarta List'!A:B,2,FALSE)</f>
        <v>9320683201</v>
      </c>
      <c r="G693" t="str">
        <f>_xlfn.IFNA(VLOOKUP(C693,CallLog_Latest!A:H,8,FALSE),"")</f>
        <v/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57</v>
      </c>
      <c r="B694" t="s">
        <v>733</v>
      </c>
      <c r="C694">
        <v>9321882437</v>
      </c>
      <c r="D694" t="str">
        <f>_xlfn.IFNA(VLOOKUP(C694,UpdateLogToUse!A:D,4,FALSE),"Not Called")</f>
        <v>Not Reachable</v>
      </c>
      <c r="E694" t="str">
        <f>IF(ISNA(VLOOKUP(C694,Registration!A:A,1,FALSE)),"Not Registered","Registered")</f>
        <v>Not Registered</v>
      </c>
      <c r="F694">
        <f>VLOOKUP(A694,'Karykarta List'!A:B,2,FALSE)</f>
        <v>9101910341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72</v>
      </c>
      <c r="B695" t="s">
        <v>734</v>
      </c>
      <c r="C695">
        <v>9820551229</v>
      </c>
      <c r="D695" t="str">
        <f>_xlfn.IFNA(VLOOKUP(C695,UpdateLogToUse!A:D,4,FALSE),"Not Called")</f>
        <v>Confirmed Presence</v>
      </c>
      <c r="E695" t="str">
        <f>IF(ISNA(VLOOKUP(C695,Registration!A:A,1,FALSE)),"Not Registered","Registered")</f>
        <v>Not Registered</v>
      </c>
      <c r="F695">
        <f>VLOOKUP(A695,'Karykarta List'!A:B,2,FALSE)</f>
        <v>8879433174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60</v>
      </c>
      <c r="B696" t="s">
        <v>735</v>
      </c>
      <c r="C696">
        <v>9967587634</v>
      </c>
      <c r="D696" t="str">
        <f>_xlfn.IFNA(VLOOKUP(C696,UpdateLogToUse!A:D,4,FALSE),"Not Called")</f>
        <v>Confirmed Presence</v>
      </c>
      <c r="E696" t="str">
        <f>IF(ISNA(VLOOKUP(C696,Registration!A:A,1,FALSE)),"Not Registered","Registered")</f>
        <v>Not Registered</v>
      </c>
      <c r="F696">
        <f>VLOOKUP(A696,'Karykarta List'!A:B,2,FALSE)</f>
        <v>9820779873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1337</v>
      </c>
      <c r="B697" t="s">
        <v>736</v>
      </c>
      <c r="C697">
        <v>9892199169</v>
      </c>
      <c r="D697" t="str">
        <f>_xlfn.IFNA(VLOOKUP(C697,UpdateLogToUse!A:D,4,FALSE),"Not Called")</f>
        <v>Confirmed Presence</v>
      </c>
      <c r="E697" t="str">
        <f>IF(ISNA(VLOOKUP(C697,Registration!A:A,1,FALSE)),"Not Registered","Registered")</f>
        <v>Not Registered</v>
      </c>
      <c r="F697">
        <f>VLOOKUP(A697,'Karykarta List'!A:B,2,FALSE)</f>
        <v>9820130862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77</v>
      </c>
      <c r="B698" t="s">
        <v>737</v>
      </c>
      <c r="C698">
        <v>9821915177</v>
      </c>
      <c r="D698" t="str">
        <f>_xlfn.IFNA(VLOOKUP(C698,UpdateLogToUse!A:D,4,FALSE),"Not Called")</f>
        <v>Not Called</v>
      </c>
      <c r="E698" t="str">
        <f>IF(ISNA(VLOOKUP(C698,Registration!A:A,1,FALSE)),"Not Registered","Registered")</f>
        <v>Not Registered</v>
      </c>
      <c r="F698">
        <f>VLOOKUP(A698,'Karykarta List'!A:B,2,FALSE)</f>
        <v>9029105124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70</v>
      </c>
      <c r="B699" t="s">
        <v>738</v>
      </c>
      <c r="C699">
        <v>9223435716</v>
      </c>
      <c r="D699" t="str">
        <f>_xlfn.IFNA(VLOOKUP(C699,UpdateLogToUse!A:D,4,FALSE),"Not Called")</f>
        <v>Not Called</v>
      </c>
      <c r="E699" t="str">
        <f>IF(ISNA(VLOOKUP(C699,Registration!A:A,1,FALSE)),"Not Registered","Registered")</f>
        <v>Not Registered</v>
      </c>
      <c r="F699">
        <f>VLOOKUP(A699,'Karykarta List'!A:B,2,FALSE)</f>
        <v>9405263833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81</v>
      </c>
      <c r="B700" t="s">
        <v>739</v>
      </c>
      <c r="C700">
        <v>9833078523</v>
      </c>
      <c r="D700" t="str">
        <f>_xlfn.IFNA(VLOOKUP(C700,UpdateLogToUse!A:D,4,FALSE),"Not Called")</f>
        <v>Not Reachable</v>
      </c>
      <c r="E700" t="str">
        <f>IF(ISNA(VLOOKUP(C700,Registration!A:A,1,FALSE)),"Not Registered","Registered")</f>
        <v>Not Registered</v>
      </c>
      <c r="F700">
        <f>VLOOKUP(A700,'Karykarta List'!A:B,2,FALSE)</f>
        <v>9824100412</v>
      </c>
      <c r="G700" t="str">
        <f>_xlfn.IFNA(VLOOKUP(C700,CallLog_Latest!A:H,8,FALSE),"")</f>
        <v/>
      </c>
      <c r="H700" t="str">
        <f>VLOOKUP(C700,[1]Sheet1!$F:$H,3,FALSE)</f>
        <v>B-33 Priti Vihar CHS  L.T.D Thakur Complex</v>
      </c>
    </row>
    <row r="701" spans="1:8" x14ac:dyDescent="0.25">
      <c r="A701" t="s">
        <v>23</v>
      </c>
      <c r="B701" t="s">
        <v>740</v>
      </c>
      <c r="C701">
        <v>9324607730</v>
      </c>
      <c r="D701">
        <f>_xlfn.IFNA(VLOOKUP(C701,UpdateLogToUse!A:D,4,FALSE),"Not Called")</f>
        <v>0</v>
      </c>
      <c r="E701" t="str">
        <f>IF(ISNA(VLOOKUP(C701,Registration!A:A,1,FALSE)),"Not Registered","Registered")</f>
        <v>Not Registered</v>
      </c>
      <c r="F701">
        <f>VLOOKUP(A701,'Karykarta List'!A:B,2,FALSE)</f>
        <v>7977439717</v>
      </c>
      <c r="G701" t="str">
        <f>_xlfn.IFNA(VLOOKUP(C701,CallLog_Latest!A:H,8,FALSE),"")</f>
        <v/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41</v>
      </c>
      <c r="B702" t="s">
        <v>741</v>
      </c>
      <c r="C702">
        <v>9820335021</v>
      </c>
      <c r="D702" t="str">
        <f>_xlfn.IFNA(VLOOKUP(C702,UpdateLogToUse!A:D,4,FALSE),"Not Called")</f>
        <v>Not Reachable</v>
      </c>
      <c r="E702" t="str">
        <f>IF(ISNA(VLOOKUP(C702,Registration!A:A,1,FALSE)),"Not Registered","Registered")</f>
        <v>Not Registered</v>
      </c>
      <c r="F702">
        <f>VLOOKUP(A702,'Karykarta List'!A:B,2,FALSE)</f>
        <v>8058973809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797</v>
      </c>
      <c r="B703" t="s">
        <v>742</v>
      </c>
      <c r="C703">
        <v>9820513340</v>
      </c>
      <c r="D703" t="str">
        <f>_xlfn.IFNA(VLOOKUP(C703,UpdateLogToUse!A:D,4,FALSE),"Not Called")</f>
        <v>Not Called</v>
      </c>
      <c r="E703" t="str">
        <f>IF(ISNA(VLOOKUP(C703,Registration!A:A,1,FALSE)),"Not Registered","Registered")</f>
        <v>Not Registered</v>
      </c>
      <c r="F703">
        <f>VLOOKUP(A703,'Karykarta List'!A:B,2,FALSE)</f>
        <v>9320309630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785</v>
      </c>
      <c r="B704" t="s">
        <v>743</v>
      </c>
      <c r="C704">
        <v>9820064425</v>
      </c>
      <c r="D704" t="str">
        <f>_xlfn.IFNA(VLOOKUP(C704,UpdateLogToUse!A:D,4,FALSE),"Not Called")</f>
        <v>Not Called</v>
      </c>
      <c r="E704" t="str">
        <f>IF(ISNA(VLOOKUP(C704,Registration!A:A,1,FALSE)),"Not Registered","Registered")</f>
        <v>Not Registered</v>
      </c>
      <c r="F704">
        <f>VLOOKUP(A704,'Karykarta List'!A:B,2,FALSE)</f>
        <v>9321532327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83</v>
      </c>
      <c r="B705" t="s">
        <v>744</v>
      </c>
      <c r="C705">
        <v>9820431506</v>
      </c>
      <c r="D705" t="str">
        <f>_xlfn.IFNA(VLOOKUP(C705,UpdateLogToUse!A:D,4,FALSE),"Not Called")</f>
        <v>Not Called</v>
      </c>
      <c r="E705" t="str">
        <f>IF(ISNA(VLOOKUP(C705,Registration!A:A,1,FALSE)),"Not Registered","Registered")</f>
        <v>Not Registered</v>
      </c>
      <c r="F705">
        <f>VLOOKUP(A705,'Karykarta List'!A:B,2,FALSE)</f>
        <v>9225211083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799</v>
      </c>
      <c r="B706" t="s">
        <v>745</v>
      </c>
      <c r="C706">
        <v>9821049895</v>
      </c>
      <c r="D706" t="str">
        <f>_xlfn.IFNA(VLOOKUP(C706,UpdateLogToUse!A:D,4,FALSE),"Not Called")</f>
        <v>Not Called</v>
      </c>
      <c r="E706" t="str">
        <f>IF(ISNA(VLOOKUP(C706,Registration!A:A,1,FALSE)),"Not Registered","Registered")</f>
        <v>Not Registered</v>
      </c>
      <c r="F706">
        <f>VLOOKUP(A706,'Karykarta List'!A:B,2,FALSE)</f>
        <v>9324233820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805</v>
      </c>
      <c r="B707" t="s">
        <v>746</v>
      </c>
      <c r="C707">
        <v>9820313050</v>
      </c>
      <c r="D707" t="str">
        <f>_xlfn.IFNA(VLOOKUP(C707,UpdateLogToUse!A:D,4,FALSE),"Not Called")</f>
        <v>Not Called</v>
      </c>
      <c r="E707" t="str">
        <f>IF(ISNA(VLOOKUP(C707,Registration!A:A,1,FALSE)),"Not Registered","Registered")</f>
        <v>Not Registered</v>
      </c>
      <c r="F707">
        <f>VLOOKUP(A707,'Karykarta List'!A:B,2,FALSE)</f>
        <v>9320770849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95</v>
      </c>
      <c r="B708" t="s">
        <v>747</v>
      </c>
      <c r="C708">
        <v>9819110951</v>
      </c>
      <c r="D708" t="str">
        <f>_xlfn.IFNA(VLOOKUP(C708,UpdateLogToUse!A:D,4,FALSE),"Not Called")</f>
        <v>Not Called</v>
      </c>
      <c r="E708" t="str">
        <f>IF(ISNA(VLOOKUP(C708,Registration!A:A,1,FALSE)),"Not Registered","Registered")</f>
        <v>Not Registered</v>
      </c>
      <c r="F708">
        <f>VLOOKUP(A708,'Karykarta List'!A:B,2,FALSE)</f>
        <v>9424584007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55</v>
      </c>
      <c r="B709" t="s">
        <v>748</v>
      </c>
      <c r="C709">
        <v>9869397519</v>
      </c>
      <c r="D709" t="str">
        <f>_xlfn.IFNA(VLOOKUP(C709,UpdateLogToUse!A:D,4,FALSE),"Not Called")</f>
        <v>Not Reachable</v>
      </c>
      <c r="E709" t="str">
        <f>IF(ISNA(VLOOKUP(C709,Registration!A:A,1,FALSE)),"Not Registered","Registered")</f>
        <v>Not Registered</v>
      </c>
      <c r="F709">
        <f>VLOOKUP(A709,'Karykarta List'!A:B,2,FALSE)</f>
        <v>9819083540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29</v>
      </c>
      <c r="B710" t="s">
        <v>749</v>
      </c>
      <c r="C710">
        <v>9819045884</v>
      </c>
      <c r="D710" t="str">
        <f>_xlfn.IFNA(VLOOKUP(C710,UpdateLogToUse!A:D,4,FALSE),"Not Called")</f>
        <v>Not Called</v>
      </c>
      <c r="E710" t="str">
        <f>IF(ISNA(VLOOKUP(C710,Registration!A:A,1,FALSE)),"Not Registered","Registered")</f>
        <v>Not Registered</v>
      </c>
      <c r="F710">
        <f>VLOOKUP(A710,'Karykarta List'!A:B,2,FALSE)</f>
        <v>9819364345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1306</v>
      </c>
      <c r="B711" t="s">
        <v>750</v>
      </c>
      <c r="C711">
        <v>8779689904</v>
      </c>
      <c r="D711" t="str">
        <f>_xlfn.IFNA(VLOOKUP(C711,UpdateLogToUse!A:D,4,FALSE),"Not Called")</f>
        <v>Not Reachable</v>
      </c>
      <c r="E711" t="str">
        <f>IF(ISNA(VLOOKUP(C711,Registration!A:A,1,FALSE)),"Not Registered","Registered")</f>
        <v>Not Registered</v>
      </c>
      <c r="F711">
        <f>VLOOKUP(A711,'Karykarta List'!A:B,2,FALSE)</f>
        <v>7977147591</v>
      </c>
      <c r="G711" t="str">
        <f>_xlfn.IFNA(VLOOKUP(C711,CallLog_Latest!A:H,8,FALSE),"")</f>
        <v/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789</v>
      </c>
      <c r="B712" t="s">
        <v>751</v>
      </c>
      <c r="C712">
        <v>9920816543</v>
      </c>
      <c r="D712" t="str">
        <f>_xlfn.IFNA(VLOOKUP(C712,UpdateLogToUse!A:D,4,FALSE),"Not Called")</f>
        <v>May be Attending</v>
      </c>
      <c r="E712" t="str">
        <f>IF(ISNA(VLOOKUP(C712,Registration!A:A,1,FALSE)),"Not Registered","Registered")</f>
        <v>Not Registered</v>
      </c>
      <c r="F712">
        <f>VLOOKUP(A712,'Karykarta List'!A:B,2,FALSE)</f>
        <v>9702260383</v>
      </c>
      <c r="G712" t="str">
        <f>_xlfn.IFNA(VLOOKUP(C712,CallLog_Latest!A:H,8,FALSE),"")</f>
        <v/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11</v>
      </c>
      <c r="B713" t="s">
        <v>752</v>
      </c>
      <c r="C713">
        <v>9029051390</v>
      </c>
      <c r="D713" t="str">
        <f>_xlfn.IFNA(VLOOKUP(C713,UpdateLogToUse!A:D,4,FALSE),"Not Called")</f>
        <v>Not Called</v>
      </c>
      <c r="E713" t="str">
        <f>IF(ISNA(VLOOKUP(C713,Registration!A:A,1,FALSE)),"Not Registered","Registered")</f>
        <v>Not Registered</v>
      </c>
      <c r="F713">
        <f>VLOOKUP(A713,'Karykarta List'!A:B,2,FALSE)</f>
        <v>9322598681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1308</v>
      </c>
      <c r="B714" t="s">
        <v>753</v>
      </c>
      <c r="C714">
        <v>9920425307</v>
      </c>
      <c r="D714" t="str">
        <f>_xlfn.IFNA(VLOOKUP(C714,UpdateLogToUse!A:D,4,FALSE),"Not Called")</f>
        <v>Not Reachable</v>
      </c>
      <c r="E714" t="str">
        <f>IF(ISNA(VLOOKUP(C714,Registration!A:A,1,FALSE)),"Not Registered","Registered")</f>
        <v>Not Registered</v>
      </c>
      <c r="F714">
        <f>VLOOKUP(A714,'Karykarta List'!A:B,2,FALSE)</f>
        <v>9022922620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39</v>
      </c>
      <c r="B715" t="s">
        <v>754</v>
      </c>
      <c r="C715">
        <v>9414069059</v>
      </c>
      <c r="D715" t="str">
        <f>_xlfn.IFNA(VLOOKUP(C715,UpdateLogToUse!A:D,4,FALSE),"Not Called")</f>
        <v>Not Coming</v>
      </c>
      <c r="E715" t="str">
        <f>IF(ISNA(VLOOKUP(C715,Registration!A:A,1,FALSE)),"Not Registered","Registered")</f>
        <v>Not Registered</v>
      </c>
      <c r="F715">
        <f>VLOOKUP(A715,'Karykarta List'!A:B,2,FALSE)</f>
        <v>9820505363</v>
      </c>
      <c r="G715" t="str">
        <f>_xlfn.IFNA(VLOOKUP(C715,CallLog_Latest!A:H,8,FALSE),"")</f>
        <v/>
      </c>
      <c r="H715" t="str">
        <f>VLOOKUP(C715,[1]Sheet1!$F:$H,3,FALSE)</f>
        <v>30-203  E.M.P. Ph - 2  Thakur Village  Kandivali ( E</v>
      </c>
    </row>
    <row r="716" spans="1:8" x14ac:dyDescent="0.25">
      <c r="A716" t="s">
        <v>21</v>
      </c>
      <c r="B716" t="s">
        <v>755</v>
      </c>
      <c r="C716">
        <v>9892329991</v>
      </c>
      <c r="D716" t="str">
        <f>_xlfn.IFNA(VLOOKUP(C716,UpdateLogToUse!A:D,4,FALSE),"Not Called")</f>
        <v>Not Called</v>
      </c>
      <c r="E716" t="str">
        <f>IF(ISNA(VLOOKUP(C716,Registration!A:A,1,FALSE)),"Not Registered","Registered")</f>
        <v>Not Registered</v>
      </c>
      <c r="F716">
        <f>VLOOKUP(A716,'Karykarta List'!A:B,2,FALSE)</f>
        <v>9820636392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31</v>
      </c>
      <c r="B717" t="s">
        <v>756</v>
      </c>
      <c r="C717">
        <v>8080477051</v>
      </c>
      <c r="D717" t="str">
        <f>_xlfn.IFNA(VLOOKUP(C717,UpdateLogToUse!A:D,4,FALSE),"Not Called")</f>
        <v>Not Called</v>
      </c>
      <c r="E717" t="str">
        <f>IF(ISNA(VLOOKUP(C717,Registration!A:A,1,FALSE)),"Not Registered","Registered")</f>
        <v>Not Registered</v>
      </c>
      <c r="F717">
        <f>VLOOKUP(A717,'Karykarta List'!A:B,2,FALSE)</f>
        <v>9869064553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49</v>
      </c>
      <c r="B718" t="s">
        <v>757</v>
      </c>
      <c r="C718">
        <v>8692930700</v>
      </c>
      <c r="D718" t="str">
        <f>_xlfn.IFNA(VLOOKUP(C718,UpdateLogToUse!A:D,4,FALSE),"Not Called")</f>
        <v>Not Called</v>
      </c>
      <c r="E718" t="str">
        <f>IF(ISNA(VLOOKUP(C718,Registration!A:A,1,FALSE)),"Not Registered","Registered")</f>
        <v>Not Registered</v>
      </c>
      <c r="F718">
        <f>VLOOKUP(A718,'Karykarta List'!A:B,2,FALSE)</f>
        <v>9322206108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35</v>
      </c>
      <c r="B719" t="s">
        <v>758</v>
      </c>
      <c r="C719">
        <v>7738254854</v>
      </c>
      <c r="D719" t="str">
        <f>_xlfn.IFNA(VLOOKUP(C719,UpdateLogToUse!A:D,4,FALSE),"Not Called")</f>
        <v>Not Called</v>
      </c>
      <c r="E719" t="str">
        <f>IF(ISNA(VLOOKUP(C719,Registration!A:A,1,FALSE)),"Not Registered","Registered")</f>
        <v>Not Registered</v>
      </c>
      <c r="F719">
        <f>VLOOKUP(A719,'Karykarta List'!A:B,2,FALSE)</f>
        <v>9833705425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17</v>
      </c>
      <c r="B720" t="s">
        <v>759</v>
      </c>
      <c r="C720">
        <v>9929590248</v>
      </c>
      <c r="D720" t="str">
        <f>_xlfn.IFNA(VLOOKUP(C720,UpdateLogToUse!A:D,4,FALSE),"Not Called")</f>
        <v>Not Called</v>
      </c>
      <c r="E720" t="str">
        <f>IF(ISNA(VLOOKUP(C720,Registration!A:A,1,FALSE)),"Not Registered","Registered")</f>
        <v>Not Registered</v>
      </c>
      <c r="F720">
        <f>VLOOKUP(A720,'Karykarta List'!A:B,2,FALSE)</f>
        <v>9869798705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23</v>
      </c>
      <c r="B721" t="s">
        <v>760</v>
      </c>
      <c r="C721">
        <v>9322896944</v>
      </c>
      <c r="D721" t="str">
        <f>_xlfn.IFNA(VLOOKUP(C721,UpdateLogToUse!A:D,4,FALSE),"Not Called")</f>
        <v>May be Attending</v>
      </c>
      <c r="E721" t="str">
        <f>IF(ISNA(VLOOKUP(C721,Registration!A:A,1,FALSE)),"Not Registered","Registered")</f>
        <v>Not Registered</v>
      </c>
      <c r="F721">
        <f>VLOOKUP(A721,'Karykarta List'!A:B,2,FALSE)</f>
        <v>7977439717</v>
      </c>
      <c r="G721" t="str">
        <f>_xlfn.IFNA(VLOOKUP(C721,CallLog_Latest!A:H,8,FALSE),"")</f>
        <v/>
      </c>
      <c r="H721" t="str">
        <f>VLOOKUP(C721,[1]Sheet1!$F:$H,3,FALSE)</f>
        <v>D-202/203 Gokul Accord Thakur Compex, Kandivali (E</v>
      </c>
    </row>
    <row r="722" spans="1:8" x14ac:dyDescent="0.25">
      <c r="A722" t="s">
        <v>43</v>
      </c>
      <c r="B722" t="s">
        <v>761</v>
      </c>
      <c r="C722">
        <v>9892864444</v>
      </c>
      <c r="D722" t="str">
        <f>_xlfn.IFNA(VLOOKUP(C722,UpdateLogToUse!A:D,4,FALSE),"Not Called")</f>
        <v>Not Called</v>
      </c>
      <c r="E722" t="str">
        <f>IF(ISNA(VLOOKUP(C722,Registration!A:A,1,FALSE)),"Not Registered","Registered")</f>
        <v>Not Registered</v>
      </c>
      <c r="F722">
        <f>VLOOKUP(A722,'Karykarta List'!A:B,2,FALSE)</f>
        <v>9320683201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57</v>
      </c>
      <c r="B723" t="s">
        <v>762</v>
      </c>
      <c r="C723">
        <v>9829790501</v>
      </c>
      <c r="D723" t="str">
        <f>_xlfn.IFNA(VLOOKUP(C723,UpdateLogToUse!A:D,4,FALSE),"Not Called")</f>
        <v>Not Called</v>
      </c>
      <c r="E723" t="str">
        <f>IF(ISNA(VLOOKUP(C723,Registration!A:A,1,FALSE)),"Not Registered","Registered")</f>
        <v>Not Registered</v>
      </c>
      <c r="F723">
        <f>VLOOKUP(A723,'Karykarta List'!A:B,2,FALSE)</f>
        <v>9101910341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72</v>
      </c>
      <c r="B724" t="s">
        <v>763</v>
      </c>
      <c r="C724">
        <v>8383088008</v>
      </c>
      <c r="D724" t="str">
        <f>_xlfn.IFNA(VLOOKUP(C724,UpdateLogToUse!A:D,4,FALSE),"Not Called")</f>
        <v>Not Called</v>
      </c>
      <c r="E724" t="str">
        <f>IF(ISNA(VLOOKUP(C724,Registration!A:A,1,FALSE)),"Not Registered","Registered")</f>
        <v>Registered</v>
      </c>
      <c r="F724">
        <f>VLOOKUP(A724,'Karykarta List'!A:B,2,FALSE)</f>
        <v>8879433174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60</v>
      </c>
      <c r="B725" t="s">
        <v>764</v>
      </c>
      <c r="C725">
        <v>9324564402</v>
      </c>
      <c r="D725" t="str">
        <f>_xlfn.IFNA(VLOOKUP(C725,UpdateLogToUse!A:D,4,FALSE),"Not Called")</f>
        <v>Not Called</v>
      </c>
      <c r="E725" t="str">
        <f>IF(ISNA(VLOOKUP(C725,Registration!A:A,1,FALSE)),"Not Registered","Registered")</f>
        <v>Not Registered</v>
      </c>
      <c r="F725">
        <f>VLOOKUP(A725,'Karykarta List'!A:B,2,FALSE)</f>
        <v>9820779873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1337</v>
      </c>
      <c r="B726" t="s">
        <v>765</v>
      </c>
      <c r="C726">
        <v>9322694897</v>
      </c>
      <c r="D726" t="str">
        <f>_xlfn.IFNA(VLOOKUP(C726,UpdateLogToUse!A:D,4,FALSE),"Not Called")</f>
        <v>Confirmed Presence</v>
      </c>
      <c r="E726" t="str">
        <f>IF(ISNA(VLOOKUP(C726,Registration!A:A,1,FALSE)),"Not Registered","Registered")</f>
        <v>Not Registered</v>
      </c>
      <c r="F726">
        <f>VLOOKUP(A726,'Karykarta List'!A:B,2,FALSE)</f>
        <v>9820130862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77</v>
      </c>
      <c r="B727" t="s">
        <v>766</v>
      </c>
      <c r="C727">
        <v>9833004194</v>
      </c>
      <c r="D727" t="str">
        <f>_xlfn.IFNA(VLOOKUP(C727,UpdateLogToUse!A:D,4,FALSE),"Not Called")</f>
        <v>Not Called</v>
      </c>
      <c r="E727" t="str">
        <f>IF(ISNA(VLOOKUP(C727,Registration!A:A,1,FALSE)),"Not Registered","Registered")</f>
        <v>Not Registered</v>
      </c>
      <c r="F727">
        <f>VLOOKUP(A727,'Karykarta List'!A:B,2,FALSE)</f>
        <v>9029105124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70</v>
      </c>
      <c r="B728" t="s">
        <v>767</v>
      </c>
      <c r="C728">
        <v>9820477296</v>
      </c>
      <c r="D728" t="str">
        <f>_xlfn.IFNA(VLOOKUP(C728,UpdateLogToUse!A:D,4,FALSE),"Not Called")</f>
        <v>Not Called</v>
      </c>
      <c r="E728" t="str">
        <f>IF(ISNA(VLOOKUP(C728,Registration!A:A,1,FALSE)),"Not Registered","Registered")</f>
        <v>Not Registered</v>
      </c>
      <c r="F728">
        <f>VLOOKUP(A728,'Karykarta List'!A:B,2,FALSE)</f>
        <v>9405263833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81</v>
      </c>
      <c r="B729" t="s">
        <v>768</v>
      </c>
      <c r="C729">
        <v>9082360561</v>
      </c>
      <c r="D729" t="str">
        <f>_xlfn.IFNA(VLOOKUP(C729,UpdateLogToUse!A:D,4,FALSE),"Not Called")</f>
        <v>Confirmed Presence</v>
      </c>
      <c r="E729" t="str">
        <f>IF(ISNA(VLOOKUP(C729,Registration!A:A,1,FALSE)),"Not Registered","Registered")</f>
        <v>Not Registered</v>
      </c>
      <c r="F729">
        <f>VLOOKUP(A729,'Karykarta List'!A:B,2,FALSE)</f>
        <v>9824100412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23</v>
      </c>
      <c r="B730" t="s">
        <v>769</v>
      </c>
      <c r="C730">
        <v>9869064553</v>
      </c>
      <c r="D730" t="str">
        <f>_xlfn.IFNA(VLOOKUP(C730,UpdateLogToUse!A:D,4,FALSE),"Not Called")</f>
        <v>Not Called</v>
      </c>
      <c r="E730" t="str">
        <f>IF(ISNA(VLOOKUP(C730,Registration!A:A,1,FALSE)),"Not Registered","Registered")</f>
        <v>Registered</v>
      </c>
      <c r="F730">
        <f>VLOOKUP(A730,'Karykarta List'!A:B,2,FALSE)</f>
        <v>7977439717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41</v>
      </c>
      <c r="B731" t="s">
        <v>770</v>
      </c>
      <c r="C731">
        <v>9820894257</v>
      </c>
      <c r="D731" t="str">
        <f>_xlfn.IFNA(VLOOKUP(C731,UpdateLogToUse!A:D,4,FALSE),"Not Called")</f>
        <v>Confirmed Presence</v>
      </c>
      <c r="E731" t="str">
        <f>IF(ISNA(VLOOKUP(C731,Registration!A:A,1,FALSE)),"Not Registered","Registered")</f>
        <v>Not Registered</v>
      </c>
      <c r="F731">
        <f>VLOOKUP(A731,'Karykarta List'!A:B,2,FALSE)</f>
        <v>8058973809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797</v>
      </c>
      <c r="B732" t="s">
        <v>771</v>
      </c>
      <c r="C732">
        <v>9821111757</v>
      </c>
      <c r="D732" t="str">
        <f>_xlfn.IFNA(VLOOKUP(C732,UpdateLogToUse!A:D,4,FALSE),"Not Called")</f>
        <v>Not Reachable</v>
      </c>
      <c r="E732" t="str">
        <f>IF(ISNA(VLOOKUP(C732,Registration!A:A,1,FALSE)),"Not Registered","Registered")</f>
        <v>Not Registered</v>
      </c>
      <c r="F732">
        <f>VLOOKUP(A732,'Karykarta List'!A:B,2,FALSE)</f>
        <v>9320309630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785</v>
      </c>
      <c r="B733" t="s">
        <v>772</v>
      </c>
      <c r="C733">
        <v>9920442374</v>
      </c>
      <c r="D733" t="str">
        <f>_xlfn.IFNA(VLOOKUP(C733,UpdateLogToUse!A:D,4,FALSE),"Not Called")</f>
        <v>Not Called</v>
      </c>
      <c r="E733" t="str">
        <f>IF(ISNA(VLOOKUP(C733,Registration!A:A,1,FALSE)),"Not Registered","Registered")</f>
        <v>Not Registered</v>
      </c>
      <c r="F733">
        <f>VLOOKUP(A733,'Karykarta List'!A:B,2,FALSE)</f>
        <v>9321532327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83</v>
      </c>
      <c r="B734" t="s">
        <v>773</v>
      </c>
      <c r="C734">
        <v>9167669682</v>
      </c>
      <c r="D734" t="str">
        <f>_xlfn.IFNA(VLOOKUP(C734,UpdateLogToUse!A:D,4,FALSE),"Not Called")</f>
        <v>Not Called</v>
      </c>
      <c r="E734" t="str">
        <f>IF(ISNA(VLOOKUP(C734,Registration!A:A,1,FALSE)),"Not Registered","Registered")</f>
        <v>Not Registered</v>
      </c>
      <c r="F734">
        <f>VLOOKUP(A734,'Karykarta List'!A:B,2,FALSE)</f>
        <v>9225211083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799</v>
      </c>
      <c r="B735" t="s">
        <v>774</v>
      </c>
      <c r="C735">
        <v>9820049848</v>
      </c>
      <c r="D735" t="str">
        <f>_xlfn.IFNA(VLOOKUP(C735,UpdateLogToUse!A:D,4,FALSE),"Not Called")</f>
        <v>Not Called</v>
      </c>
      <c r="E735" t="str">
        <f>IF(ISNA(VLOOKUP(C735,Registration!A:A,1,FALSE)),"Not Registered","Registered")</f>
        <v>Not Registered</v>
      </c>
      <c r="F735">
        <f>VLOOKUP(A735,'Karykarta List'!A:B,2,FALSE)</f>
        <v>9324233820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805</v>
      </c>
      <c r="B736" t="s">
        <v>775</v>
      </c>
      <c r="C736">
        <v>9821070860</v>
      </c>
      <c r="D736" t="str">
        <f>_xlfn.IFNA(VLOOKUP(C736,UpdateLogToUse!A:D,4,FALSE),"Not Called")</f>
        <v>Confirmed Presence</v>
      </c>
      <c r="E736" t="str">
        <f>IF(ISNA(VLOOKUP(C736,Registration!A:A,1,FALSE)),"Not Registered","Registered")</f>
        <v>Not Registered</v>
      </c>
      <c r="F736">
        <f>VLOOKUP(A736,'Karykarta List'!A:B,2,FALSE)</f>
        <v>9320770849</v>
      </c>
      <c r="G736" t="str">
        <f>_xlfn.IFNA(VLOOKUP(C736,CallLog_Latest!A:H,8,FALSE),"")</f>
        <v/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95</v>
      </c>
      <c r="B737" t="s">
        <v>776</v>
      </c>
      <c r="C737">
        <v>9223427892</v>
      </c>
      <c r="D737" t="str">
        <f>_xlfn.IFNA(VLOOKUP(C737,UpdateLogToUse!A:D,4,FALSE),"Not Called")</f>
        <v>Not Reachable</v>
      </c>
      <c r="E737" t="str">
        <f>IF(ISNA(VLOOKUP(C737,Registration!A:A,1,FALSE)),"Not Registered","Registered")</f>
        <v>Not Registered</v>
      </c>
      <c r="F737">
        <f>VLOOKUP(A737,'Karykarta List'!A:B,2,FALSE)</f>
        <v>9424584007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55</v>
      </c>
      <c r="B738" t="s">
        <v>777</v>
      </c>
      <c r="C738">
        <v>9815222337</v>
      </c>
      <c r="D738" t="str">
        <f>_xlfn.IFNA(VLOOKUP(C738,UpdateLogToUse!A:D,4,FALSE),"Not Called")</f>
        <v>Not Reachable</v>
      </c>
      <c r="E738" t="str">
        <f>IF(ISNA(VLOOKUP(C738,Registration!A:A,1,FALSE)),"Not Registered","Registered")</f>
        <v>Not Registered</v>
      </c>
      <c r="F738">
        <f>VLOOKUP(A738,'Karykarta List'!A:B,2,FALSE)</f>
        <v>9819083540</v>
      </c>
      <c r="G738" t="str">
        <f>_xlfn.IFNA(VLOOKUP(C738,CallLog_Latest!A:H,8,FALSE),"")</f>
        <v/>
      </c>
      <c r="H738" t="str">
        <f>VLOOKUP(C738,[1]Sheet1!$F:$H,3,FALSE)</f>
        <v>A - 1101  Silver Leaf  Near Growels Mall Akruli Raod</v>
      </c>
    </row>
    <row r="739" spans="1:8" x14ac:dyDescent="0.25">
      <c r="A739" t="s">
        <v>29</v>
      </c>
      <c r="B739" t="s">
        <v>778</v>
      </c>
      <c r="C739">
        <v>9820899735</v>
      </c>
      <c r="D739" t="str">
        <f>_xlfn.IFNA(VLOOKUP(C739,UpdateLogToUse!A:D,4,FALSE),"Not Called")</f>
        <v>Not Called</v>
      </c>
      <c r="E739" t="str">
        <f>IF(ISNA(VLOOKUP(C739,Registration!A:A,1,FALSE)),"Not Registered","Registered")</f>
        <v>Not Registered</v>
      </c>
      <c r="F739">
        <f>VLOOKUP(A739,'Karykarta List'!A:B,2,FALSE)</f>
        <v>9819364345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1306</v>
      </c>
      <c r="B740" t="s">
        <v>779</v>
      </c>
      <c r="C740">
        <v>9892686153</v>
      </c>
      <c r="D740" t="str">
        <f>_xlfn.IFNA(VLOOKUP(C740,UpdateLogToUse!A:D,4,FALSE),"Not Called")</f>
        <v>Confirmed Presence</v>
      </c>
      <c r="E740" t="str">
        <f>IF(ISNA(VLOOKUP(C740,Registration!A:A,1,FALSE)),"Not Registered","Registered")</f>
        <v>Not Registered</v>
      </c>
      <c r="F740">
        <f>VLOOKUP(A740,'Karykarta List'!A:B,2,FALSE)</f>
        <v>7977147591</v>
      </c>
      <c r="G740" t="str">
        <f>_xlfn.IFNA(VLOOKUP(C740,CallLog_Latest!A:H,8,FALSE),"")</f>
        <v/>
      </c>
      <c r="H740">
        <f>VLOOKUP(C740,[1]Sheet1!$F:$H,3,FALSE)</f>
        <v>0</v>
      </c>
    </row>
    <row r="741" spans="1:8" x14ac:dyDescent="0.25">
      <c r="A741" t="s">
        <v>789</v>
      </c>
      <c r="B741" t="s">
        <v>780</v>
      </c>
      <c r="C741">
        <v>9324051973</v>
      </c>
      <c r="D741" t="str">
        <f>_xlfn.IFNA(VLOOKUP(C741,UpdateLogToUse!A:D,4,FALSE),"Not Called")</f>
        <v>Not Coming</v>
      </c>
      <c r="E741" t="str">
        <f>IF(ISNA(VLOOKUP(C741,Registration!A:A,1,FALSE)),"Not Registered","Registered")</f>
        <v>Not Registered</v>
      </c>
      <c r="F741">
        <f>VLOOKUP(A741,'Karykarta List'!A:B,2,FALSE)</f>
        <v>9702260383</v>
      </c>
      <c r="G741" t="str">
        <f>_xlfn.IFNA(VLOOKUP(C741,CallLog_Latest!A:H,8,FALSE),"")</f>
        <v/>
      </c>
      <c r="H741" t="str">
        <f>VLOOKUP(C741,[1]Sheet1!$F:$H,3,FALSE)</f>
        <v>Unnat Nagar Road No 1 Goregaon West</v>
      </c>
    </row>
    <row r="742" spans="1:8" x14ac:dyDescent="0.25">
      <c r="A742" t="s">
        <v>11</v>
      </c>
      <c r="B742" t="s">
        <v>782</v>
      </c>
      <c r="C742">
        <v>7208190170</v>
      </c>
      <c r="D742" t="str">
        <f>_xlfn.IFNA(VLOOKUP(C742,UpdateLogToUse!A:D,4,FALSE),"Not Called")</f>
        <v>Not Called</v>
      </c>
      <c r="E742" t="str">
        <f>IF(ISNA(VLOOKUP(C742,Registration!A:A,1,FALSE)),"Not Registered","Registered")</f>
        <v>Not Registered</v>
      </c>
      <c r="F742">
        <f>VLOOKUP(A742,'Karykarta List'!A:B,2,FALSE)</f>
        <v>9322598681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1308</v>
      </c>
      <c r="B743" t="s">
        <v>784</v>
      </c>
      <c r="C743">
        <v>9930396192</v>
      </c>
      <c r="D743" t="str">
        <f>_xlfn.IFNA(VLOOKUP(C743,UpdateLogToUse!A:D,4,FALSE),"Not Called")</f>
        <v>Not Called</v>
      </c>
      <c r="E743" t="str">
        <f>IF(ISNA(VLOOKUP(C743,Registration!A:A,1,FALSE)),"Not Registered","Registered")</f>
        <v>Not Registered</v>
      </c>
      <c r="F743">
        <f>VLOOKUP(A743,'Karykarta List'!A:B,2,FALSE)</f>
        <v>9022922620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39</v>
      </c>
      <c r="B744" t="s">
        <v>786</v>
      </c>
      <c r="C744">
        <v>9869136046</v>
      </c>
      <c r="D744" t="str">
        <f>_xlfn.IFNA(VLOOKUP(C744,UpdateLogToUse!A:D,4,FALSE),"Not Called")</f>
        <v>Not Coming</v>
      </c>
      <c r="E744" t="str">
        <f>IF(ISNA(VLOOKUP(C744,Registration!A:A,1,FALSE)),"Not Registered","Registered")</f>
        <v>Not Registered</v>
      </c>
      <c r="F744">
        <f>VLOOKUP(A744,'Karykarta List'!A:B,2,FALSE)</f>
        <v>9820505363</v>
      </c>
      <c r="G744" t="str">
        <f>_xlfn.IFNA(VLOOKUP(C744,CallLog_Latest!A:H,8,FALSE),"")</f>
        <v/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21</v>
      </c>
      <c r="B745" t="s">
        <v>788</v>
      </c>
      <c r="C745">
        <v>7506795317</v>
      </c>
      <c r="D745" t="str">
        <f>_xlfn.IFNA(VLOOKUP(C745,UpdateLogToUse!A:D,4,FALSE),"Not Called")</f>
        <v>Not Called</v>
      </c>
      <c r="E745" t="str">
        <f>IF(ISNA(VLOOKUP(C745,Registration!A:A,1,FALSE)),"Not Registered","Registered")</f>
        <v>Not Registered</v>
      </c>
      <c r="F745">
        <f>VLOOKUP(A745,'Karykarta List'!A:B,2,FALSE)</f>
        <v>9820636392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31</v>
      </c>
      <c r="B746" t="s">
        <v>790</v>
      </c>
      <c r="C746">
        <v>9920151221</v>
      </c>
      <c r="D746" t="str">
        <f>_xlfn.IFNA(VLOOKUP(C746,UpdateLogToUse!A:D,4,FALSE),"Not Called")</f>
        <v>Not Reachable</v>
      </c>
      <c r="E746" t="str">
        <f>IF(ISNA(VLOOKUP(C746,Registration!A:A,1,FALSE)),"Not Registered","Registered")</f>
        <v>Not Registered</v>
      </c>
      <c r="F746">
        <f>VLOOKUP(A746,'Karykarta List'!A:B,2,FALSE)</f>
        <v>9869064553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49</v>
      </c>
      <c r="B747" t="s">
        <v>792</v>
      </c>
      <c r="C747">
        <v>8879004775</v>
      </c>
      <c r="D747" t="str">
        <f>_xlfn.IFNA(VLOOKUP(C747,UpdateLogToUse!A:D,4,FALSE),"Not Called")</f>
        <v>Not Called</v>
      </c>
      <c r="E747" t="str">
        <f>IF(ISNA(VLOOKUP(C747,Registration!A:A,1,FALSE)),"Not Registered","Registered")</f>
        <v>Not Registered</v>
      </c>
      <c r="F747">
        <f>VLOOKUP(A747,'Karykarta List'!A:B,2,FALSE)</f>
        <v>9322206108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35</v>
      </c>
      <c r="B748" t="s">
        <v>794</v>
      </c>
      <c r="C748">
        <v>9820745508</v>
      </c>
      <c r="D748" t="str">
        <f>_xlfn.IFNA(VLOOKUP(C748,UpdateLogToUse!A:D,4,FALSE),"Not Called")</f>
        <v>Not Called</v>
      </c>
      <c r="E748" t="str">
        <f>IF(ISNA(VLOOKUP(C748,Registration!A:A,1,FALSE)),"Not Registered","Registered")</f>
        <v>Not Registered</v>
      </c>
      <c r="F748">
        <f>VLOOKUP(A748,'Karykarta List'!A:B,2,FALSE)</f>
        <v>9833705425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17</v>
      </c>
      <c r="B749" t="s">
        <v>796</v>
      </c>
      <c r="C749">
        <v>9820745508</v>
      </c>
      <c r="D749" t="str">
        <f>_xlfn.IFNA(VLOOKUP(C749,UpdateLogToUse!A:D,4,FALSE),"Not Called")</f>
        <v>Not Called</v>
      </c>
      <c r="E749" t="str">
        <f>IF(ISNA(VLOOKUP(C749,Registration!A:A,1,FALSE)),"Not Registered","Registered")</f>
        <v>Not Registered</v>
      </c>
      <c r="F749">
        <f>VLOOKUP(A749,'Karykarta List'!A:B,2,FALSE)</f>
        <v>9869798705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23</v>
      </c>
      <c r="B750" t="s">
        <v>798</v>
      </c>
      <c r="C750">
        <v>9322335162</v>
      </c>
      <c r="D750" t="str">
        <f>_xlfn.IFNA(VLOOKUP(C750,UpdateLogToUse!A:D,4,FALSE),"Not Called")</f>
        <v>Not Reachable</v>
      </c>
      <c r="E750" t="str">
        <f>IF(ISNA(VLOOKUP(C750,Registration!A:A,1,FALSE)),"Not Registered","Registered")</f>
        <v>Not Registered</v>
      </c>
      <c r="F750">
        <f>VLOOKUP(A750,'Karykarta List'!A:B,2,FALSE)</f>
        <v>7977439717</v>
      </c>
      <c r="G750" t="str">
        <f>_xlfn.IFNA(VLOOKUP(C750,CallLog_Latest!A:H,8,FALSE),"")</f>
        <v/>
      </c>
      <c r="H750" t="str">
        <f>VLOOKUP(C750,[1]Sheet1!$F:$H,3,FALSE)</f>
        <v>B-502  Abrol Vastu Park Evershine Nagar, Malad (W</v>
      </c>
    </row>
    <row r="751" spans="1:8" x14ac:dyDescent="0.25">
      <c r="A751" t="s">
        <v>43</v>
      </c>
      <c r="B751" t="s">
        <v>800</v>
      </c>
      <c r="C751">
        <v>9920233447</v>
      </c>
      <c r="D751" t="str">
        <f>_xlfn.IFNA(VLOOKUP(C751,UpdateLogToUse!A:D,4,FALSE),"Not Called")</f>
        <v>May be Attending</v>
      </c>
      <c r="E751" t="str">
        <f>IF(ISNA(VLOOKUP(C751,Registration!A:A,1,FALSE)),"Not Registered","Registered")</f>
        <v>Not Registered</v>
      </c>
      <c r="F751">
        <f>VLOOKUP(A751,'Karykarta List'!A:B,2,FALSE)</f>
        <v>9320683201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57</v>
      </c>
      <c r="B752" t="s">
        <v>802</v>
      </c>
      <c r="C752">
        <v>9867240043</v>
      </c>
      <c r="D752" t="str">
        <f>_xlfn.IFNA(VLOOKUP(C752,UpdateLogToUse!A:D,4,FALSE),"Not Called")</f>
        <v>Not Called</v>
      </c>
      <c r="E752" t="str">
        <f>IF(ISNA(VLOOKUP(C752,Registration!A:A,1,FALSE)),"Not Registered","Registered")</f>
        <v>Not Registered</v>
      </c>
      <c r="F752">
        <f>VLOOKUP(A752,'Karykarta List'!A:B,2,FALSE)</f>
        <v>9101910341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72</v>
      </c>
      <c r="B753" t="s">
        <v>804</v>
      </c>
      <c r="C753">
        <v>9320106997</v>
      </c>
      <c r="D753" t="str">
        <f>_xlfn.IFNA(VLOOKUP(C753,UpdateLogToUse!A:D,4,FALSE),"Not Called")</f>
        <v>Not Called</v>
      </c>
      <c r="E753" t="str">
        <f>IF(ISNA(VLOOKUP(C753,Registration!A:A,1,FALSE)),"Not Registered","Registered")</f>
        <v>Not Registered</v>
      </c>
      <c r="F753">
        <f>VLOOKUP(A753,'Karykarta List'!A:B,2,FALSE)</f>
        <v>8879433174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60</v>
      </c>
      <c r="B754" t="s">
        <v>806</v>
      </c>
      <c r="C754">
        <v>9321169646</v>
      </c>
      <c r="D754" t="str">
        <f>_xlfn.IFNA(VLOOKUP(C754,UpdateLogToUse!A:D,4,FALSE),"Not Called")</f>
        <v>May be Attending</v>
      </c>
      <c r="E754" t="str">
        <f>IF(ISNA(VLOOKUP(C754,Registration!A:A,1,FALSE)),"Not Registered","Registered")</f>
        <v>Not Registered</v>
      </c>
      <c r="F754">
        <f>VLOOKUP(A754,'Karykarta List'!A:B,2,FALSE)</f>
        <v>9820779873</v>
      </c>
      <c r="G754" t="str">
        <f>_xlfn.IFNA(VLOOKUP(C754,CallLog_Latest!A:H,8,FALSE),"")</f>
        <v/>
      </c>
      <c r="H754" t="str">
        <f>VLOOKUP(C754,[1]Sheet1!$F:$H,3,FALSE)</f>
        <v>504 Bharat Apartmant  Bhadran Nagar Khajurya Tank Road</v>
      </c>
    </row>
    <row r="755" spans="1:8" x14ac:dyDescent="0.25">
      <c r="A755" t="s">
        <v>1337</v>
      </c>
      <c r="B755" t="s">
        <v>808</v>
      </c>
      <c r="C755">
        <v>7016638956</v>
      </c>
      <c r="D755" t="str">
        <f>_xlfn.IFNA(VLOOKUP(C755,UpdateLogToUse!A:D,4,FALSE),"Not Called")</f>
        <v>Not Called</v>
      </c>
      <c r="E755" t="str">
        <f>IF(ISNA(VLOOKUP(C755,Registration!A:A,1,FALSE)),"Not Registered","Registered")</f>
        <v>Not Registered</v>
      </c>
      <c r="F755">
        <f>VLOOKUP(A755,'Karykarta List'!A:B,2,FALSE)</f>
        <v>9820130862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77</v>
      </c>
      <c r="B756" t="s">
        <v>810</v>
      </c>
      <c r="C756">
        <v>9820087304</v>
      </c>
      <c r="D756" t="str">
        <f>_xlfn.IFNA(VLOOKUP(C756,UpdateLogToUse!A:D,4,FALSE),"Not Called")</f>
        <v>Not Called</v>
      </c>
      <c r="E756" t="str">
        <f>IF(ISNA(VLOOKUP(C756,Registration!A:A,1,FALSE)),"Not Registered","Registered")</f>
        <v>Not Registered</v>
      </c>
      <c r="F756">
        <f>VLOOKUP(A756,'Karykarta List'!A:B,2,FALSE)</f>
        <v>9029105124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70</v>
      </c>
      <c r="B757" t="s">
        <v>812</v>
      </c>
      <c r="C757">
        <v>9819624488</v>
      </c>
      <c r="D757" t="str">
        <f>_xlfn.IFNA(VLOOKUP(C757,UpdateLogToUse!A:D,4,FALSE),"Not Called")</f>
        <v>Not Called</v>
      </c>
      <c r="E757" t="str">
        <f>IF(ISNA(VLOOKUP(C757,Registration!A:A,1,FALSE)),"Not Registered","Registered")</f>
        <v>Not Registered</v>
      </c>
      <c r="F757">
        <f>VLOOKUP(A757,'Karykarta List'!A:B,2,FALSE)</f>
        <v>9405263833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81</v>
      </c>
      <c r="B758" t="s">
        <v>814</v>
      </c>
      <c r="C758">
        <v>7738444456</v>
      </c>
      <c r="D758" t="str">
        <f>_xlfn.IFNA(VLOOKUP(C758,UpdateLogToUse!A:D,4,FALSE),"Not Called")</f>
        <v>Not Called</v>
      </c>
      <c r="E758" t="str">
        <f>IF(ISNA(VLOOKUP(C758,Registration!A:A,1,FALSE)),"Not Registered","Registered")</f>
        <v>Not Registered</v>
      </c>
      <c r="F758">
        <f>VLOOKUP(A758,'Karykarta List'!A:B,2,FALSE)</f>
        <v>9824100412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23</v>
      </c>
      <c r="B759" t="s">
        <v>815</v>
      </c>
      <c r="C759">
        <v>9867344466</v>
      </c>
      <c r="D759" t="str">
        <f>_xlfn.IFNA(VLOOKUP(C759,UpdateLogToUse!A:D,4,FALSE),"Not Called")</f>
        <v>Not Called</v>
      </c>
      <c r="E759" t="str">
        <f>IF(ISNA(VLOOKUP(C759,Registration!A:A,1,FALSE)),"Not Registered","Registered")</f>
        <v>Not Registered</v>
      </c>
      <c r="F759">
        <f>VLOOKUP(A759,'Karykarta List'!A:B,2,FALSE)</f>
        <v>7977439717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41</v>
      </c>
      <c r="B760" t="s">
        <v>816</v>
      </c>
      <c r="C760">
        <v>9029508913</v>
      </c>
      <c r="D760" t="str">
        <f>_xlfn.IFNA(VLOOKUP(C760,UpdateLogToUse!A:D,4,FALSE),"Not Called")</f>
        <v>Not Called</v>
      </c>
      <c r="E760" t="str">
        <f>IF(ISNA(VLOOKUP(C760,Registration!A:A,1,FALSE)),"Not Registered","Registered")</f>
        <v>Not Registered</v>
      </c>
      <c r="F760">
        <f>VLOOKUP(A760,'Karykarta List'!A:B,2,FALSE)</f>
        <v>8058973809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797</v>
      </c>
      <c r="B761" t="s">
        <v>817</v>
      </c>
      <c r="C761">
        <v>9920324167</v>
      </c>
      <c r="D761" t="str">
        <f>_xlfn.IFNA(VLOOKUP(C761,UpdateLogToUse!A:D,4,FALSE),"Not Called")</f>
        <v>Not Called</v>
      </c>
      <c r="E761" t="str">
        <f>IF(ISNA(VLOOKUP(C761,Registration!A:A,1,FALSE)),"Not Registered","Registered")</f>
        <v>Not Registered</v>
      </c>
      <c r="F761">
        <f>VLOOKUP(A761,'Karykarta List'!A:B,2,FALSE)</f>
        <v>9320309630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785</v>
      </c>
      <c r="B762" t="s">
        <v>818</v>
      </c>
      <c r="C762">
        <v>9821205695</v>
      </c>
      <c r="D762" t="str">
        <f>_xlfn.IFNA(VLOOKUP(C762,UpdateLogToUse!A:D,4,FALSE),"Not Called")</f>
        <v>Not Called</v>
      </c>
      <c r="E762" t="str">
        <f>IF(ISNA(VLOOKUP(C762,Registration!A:A,1,FALSE)),"Not Registered","Registered")</f>
        <v>Not Registered</v>
      </c>
      <c r="F762">
        <f>VLOOKUP(A762,'Karykarta List'!A:B,2,FALSE)</f>
        <v>9321532327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83</v>
      </c>
      <c r="B763" t="s">
        <v>819</v>
      </c>
      <c r="C763">
        <v>9757272073</v>
      </c>
      <c r="D763" t="str">
        <f>_xlfn.IFNA(VLOOKUP(C763,UpdateLogToUse!A:D,4,FALSE),"Not Called")</f>
        <v>May be Attending</v>
      </c>
      <c r="E763" t="str">
        <f>IF(ISNA(VLOOKUP(C763,Registration!A:A,1,FALSE)),"Not Registered","Registered")</f>
        <v>Not Registered</v>
      </c>
      <c r="F763">
        <f>VLOOKUP(A763,'Karykarta List'!A:B,2,FALSE)</f>
        <v>9225211083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799</v>
      </c>
      <c r="B764" t="s">
        <v>820</v>
      </c>
      <c r="C764">
        <v>7666802112</v>
      </c>
      <c r="D764" t="str">
        <f>_xlfn.IFNA(VLOOKUP(C764,UpdateLogToUse!A:D,4,FALSE),"Not Called")</f>
        <v>Not Called</v>
      </c>
      <c r="E764" t="str">
        <f>IF(ISNA(VLOOKUP(C764,Registration!A:A,1,FALSE)),"Not Registered","Registered")</f>
        <v>Not Registered</v>
      </c>
      <c r="F764">
        <f>VLOOKUP(A764,'Karykarta List'!A:B,2,FALSE)</f>
        <v>9324233820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805</v>
      </c>
      <c r="B765" t="s">
        <v>821</v>
      </c>
      <c r="C765">
        <v>9920046785</v>
      </c>
      <c r="D765" t="str">
        <f>_xlfn.IFNA(VLOOKUP(C765,UpdateLogToUse!A:D,4,FALSE),"Not Called")</f>
        <v>Not Called</v>
      </c>
      <c r="E765" t="str">
        <f>IF(ISNA(VLOOKUP(C765,Registration!A:A,1,FALSE)),"Not Registered","Registered")</f>
        <v>Not Registered</v>
      </c>
      <c r="F765">
        <f>VLOOKUP(A765,'Karykarta List'!A:B,2,FALSE)</f>
        <v>9320770849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95</v>
      </c>
      <c r="B766" t="s">
        <v>822</v>
      </c>
      <c r="C766">
        <v>989258055</v>
      </c>
      <c r="D766" t="str">
        <f>_xlfn.IFNA(VLOOKUP(C766,UpdateLogToUse!A:D,4,FALSE),"Not Called")</f>
        <v>Not Called</v>
      </c>
      <c r="E766" t="str">
        <f>IF(ISNA(VLOOKUP(C766,Registration!A:A,1,FALSE)),"Not Registered","Registered")</f>
        <v>Not Registered</v>
      </c>
      <c r="F766">
        <f>VLOOKUP(A766,'Karykarta List'!A:B,2,FALSE)</f>
        <v>9424584007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55</v>
      </c>
      <c r="B767" t="s">
        <v>789</v>
      </c>
      <c r="C767">
        <v>9702260383</v>
      </c>
      <c r="D767" t="str">
        <f>_xlfn.IFNA(VLOOKUP(C767,UpdateLogToUse!A:D,4,FALSE),"Not Called")</f>
        <v>Confirmed Presence</v>
      </c>
      <c r="E767" t="str">
        <f>IF(ISNA(VLOOKUP(C767,Registration!A:A,1,FALSE)),"Not Registered","Registered")</f>
        <v>Not Registered</v>
      </c>
      <c r="F767">
        <f>VLOOKUP(A767,'Karykarta List'!A:B,2,FALSE)</f>
        <v>9819083540</v>
      </c>
      <c r="G767" t="str">
        <f>_xlfn.IFNA(VLOOKUP(C767,CallLog_Latest!A:H,8,FALSE),"")</f>
        <v/>
      </c>
      <c r="H767" t="str">
        <f>VLOOKUP(C767,[1]Sheet1!$F:$H,3,FALSE)</f>
        <v>17-A  Shyamkunj, 6th Road, Mamledarwadi, Malad (W</v>
      </c>
    </row>
    <row r="768" spans="1:8" x14ac:dyDescent="0.25">
      <c r="A768" t="s">
        <v>29</v>
      </c>
      <c r="B768" t="s">
        <v>83</v>
      </c>
      <c r="C768">
        <v>9225211083</v>
      </c>
      <c r="D768" t="str">
        <f>_xlfn.IFNA(VLOOKUP(C768,UpdateLogToUse!A:D,4,FALSE),"Not Called")</f>
        <v>Confirmed Presence</v>
      </c>
      <c r="E768" t="str">
        <f>IF(ISNA(VLOOKUP(C768,Registration!A:A,1,FALSE)),"Not Registered","Registered")</f>
        <v>Not Registered</v>
      </c>
      <c r="F768">
        <f>VLOOKUP(A768,'Karykarta List'!A:B,2,FALSE)</f>
        <v>9819364345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1306</v>
      </c>
      <c r="B769" t="s">
        <v>823</v>
      </c>
      <c r="C769">
        <v>9004928430</v>
      </c>
      <c r="D769" t="str">
        <f>_xlfn.IFNA(VLOOKUP(C769,UpdateLogToUse!A:D,4,FALSE),"Not Called")</f>
        <v>Not Called</v>
      </c>
      <c r="E769" t="str">
        <f>IF(ISNA(VLOOKUP(C769,Registration!A:A,1,FALSE)),"Not Registered","Registered")</f>
        <v>Registered</v>
      </c>
      <c r="F769">
        <f>VLOOKUP(A769,'Karykarta List'!A:B,2,FALSE)</f>
        <v>7977147591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789</v>
      </c>
      <c r="B770" t="s">
        <v>824</v>
      </c>
      <c r="C770">
        <v>9820747070</v>
      </c>
      <c r="D770" t="str">
        <f>_xlfn.IFNA(VLOOKUP(C770,UpdateLogToUse!A:D,4,FALSE),"Not Called")</f>
        <v>Not Called</v>
      </c>
      <c r="E770" t="str">
        <f>IF(ISNA(VLOOKUP(C770,Registration!A:A,1,FALSE)),"Not Registered","Registered")</f>
        <v>Registered</v>
      </c>
      <c r="F770">
        <f>VLOOKUP(A770,'Karykarta List'!A:B,2,FALSE)</f>
        <v>9702260383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11</v>
      </c>
      <c r="B771" t="s">
        <v>825</v>
      </c>
      <c r="C771">
        <v>9004063131</v>
      </c>
      <c r="D771" t="str">
        <f>_xlfn.IFNA(VLOOKUP(C771,UpdateLogToUse!A:D,4,FALSE),"Not Called")</f>
        <v>Not Reachable</v>
      </c>
      <c r="E771" t="str">
        <f>IF(ISNA(VLOOKUP(C771,Registration!A:A,1,FALSE)),"Not Registered","Registered")</f>
        <v>Not Registered</v>
      </c>
      <c r="F771">
        <f>VLOOKUP(A771,'Karykarta List'!A:B,2,FALSE)</f>
        <v>9322598681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1308</v>
      </c>
      <c r="B772" t="s">
        <v>826</v>
      </c>
      <c r="C772">
        <v>9022169649</v>
      </c>
      <c r="D772" t="str">
        <f>_xlfn.IFNA(VLOOKUP(C772,UpdateLogToUse!A:D,4,FALSE),"Not Called")</f>
        <v>Not Called</v>
      </c>
      <c r="E772" t="str">
        <f>IF(ISNA(VLOOKUP(C772,Registration!A:A,1,FALSE)),"Not Registered","Registered")</f>
        <v>Not Registered</v>
      </c>
      <c r="F772">
        <f>VLOOKUP(A772,'Karykarta List'!A:B,2,FALSE)</f>
        <v>9022922620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39</v>
      </c>
      <c r="B773" t="s">
        <v>827</v>
      </c>
      <c r="C773">
        <v>9769702128</v>
      </c>
      <c r="D773" t="str">
        <f>_xlfn.IFNA(VLOOKUP(C773,UpdateLogToUse!A:D,4,FALSE),"Not Called")</f>
        <v>Not Called</v>
      </c>
      <c r="E773" t="str">
        <f>IF(ISNA(VLOOKUP(C773,Registration!A:A,1,FALSE)),"Not Registered","Registered")</f>
        <v>Not Registered</v>
      </c>
      <c r="F773">
        <f>VLOOKUP(A773,'Karykarta List'!A:B,2,FALSE)</f>
        <v>9820505363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21</v>
      </c>
      <c r="B774" t="s">
        <v>828</v>
      </c>
      <c r="C774">
        <v>7021950592</v>
      </c>
      <c r="D774" t="str">
        <f>_xlfn.IFNA(VLOOKUP(C774,UpdateLogToUse!A:D,4,FALSE),"Not Called")</f>
        <v>Not Called</v>
      </c>
      <c r="E774" t="str">
        <f>IF(ISNA(VLOOKUP(C774,Registration!A:A,1,FALSE)),"Not Registered","Registered")</f>
        <v>Not Registered</v>
      </c>
      <c r="F774">
        <f>VLOOKUP(A774,'Karykarta List'!A:B,2,FALSE)</f>
        <v>9820636392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31</v>
      </c>
      <c r="B775" t="s">
        <v>829</v>
      </c>
      <c r="C775">
        <v>9987549740</v>
      </c>
      <c r="D775" t="str">
        <f>_xlfn.IFNA(VLOOKUP(C775,UpdateLogToUse!A:D,4,FALSE),"Not Called")</f>
        <v>Not Called</v>
      </c>
      <c r="E775" t="str">
        <f>IF(ISNA(VLOOKUP(C775,Registration!A:A,1,FALSE)),"Not Registered","Registered")</f>
        <v>Not Registered</v>
      </c>
      <c r="F775">
        <f>VLOOKUP(A775,'Karykarta List'!A:B,2,FALSE)</f>
        <v>9869064553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49</v>
      </c>
      <c r="B776" t="s">
        <v>830</v>
      </c>
      <c r="C776">
        <v>9004559412</v>
      </c>
      <c r="D776" t="str">
        <f>_xlfn.IFNA(VLOOKUP(C776,UpdateLogToUse!A:D,4,FALSE),"Not Called")</f>
        <v>Not Called</v>
      </c>
      <c r="E776" t="str">
        <f>IF(ISNA(VLOOKUP(C776,Registration!A:A,1,FALSE)),"Not Registered","Registered")</f>
        <v>Not Registered</v>
      </c>
      <c r="F776">
        <f>VLOOKUP(A776,'Karykarta List'!A:B,2,FALSE)</f>
        <v>9322206108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35</v>
      </c>
      <c r="B777" t="s">
        <v>831</v>
      </c>
      <c r="C777">
        <v>9821634500</v>
      </c>
      <c r="D777" t="str">
        <f>_xlfn.IFNA(VLOOKUP(C777,UpdateLogToUse!A:D,4,FALSE),"Not Called")</f>
        <v>Not Called</v>
      </c>
      <c r="E777" t="str">
        <f>IF(ISNA(VLOOKUP(C777,Registration!A:A,1,FALSE)),"Not Registered","Registered")</f>
        <v>Not Registered</v>
      </c>
      <c r="F777">
        <f>VLOOKUP(A777,'Karykarta List'!A:B,2,FALSE)</f>
        <v>9833705425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17</v>
      </c>
      <c r="B778" t="s">
        <v>832</v>
      </c>
      <c r="C778">
        <v>9867346502</v>
      </c>
      <c r="D778" t="str">
        <f>_xlfn.IFNA(VLOOKUP(C778,UpdateLogToUse!A:D,4,FALSE),"Not Called")</f>
        <v>Not Called</v>
      </c>
      <c r="E778" t="str">
        <f>IF(ISNA(VLOOKUP(C778,Registration!A:A,1,FALSE)),"Not Registered","Registered")</f>
        <v>Not Registered</v>
      </c>
      <c r="F778">
        <f>VLOOKUP(A778,'Karykarta List'!A:B,2,FALSE)</f>
        <v>9869798705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23</v>
      </c>
      <c r="B779" t="s">
        <v>833</v>
      </c>
      <c r="C779">
        <v>9930652725</v>
      </c>
      <c r="D779" t="str">
        <f>_xlfn.IFNA(VLOOKUP(C779,UpdateLogToUse!A:D,4,FALSE),"Not Called")</f>
        <v>Not Called</v>
      </c>
      <c r="E779" t="str">
        <f>IF(ISNA(VLOOKUP(C779,Registration!A:A,1,FALSE)),"Not Registered","Registered")</f>
        <v>Not Registered</v>
      </c>
      <c r="F779">
        <f>VLOOKUP(A779,'Karykarta List'!A:B,2,FALSE)</f>
        <v>7977439717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43</v>
      </c>
      <c r="B780" t="s">
        <v>834</v>
      </c>
      <c r="C780">
        <v>9819086999</v>
      </c>
      <c r="D780" t="str">
        <f>_xlfn.IFNA(VLOOKUP(C780,UpdateLogToUse!A:D,4,FALSE),"Not Called")</f>
        <v>Phone Busy</v>
      </c>
      <c r="E780" t="str">
        <f>IF(ISNA(VLOOKUP(C780,Registration!A:A,1,FALSE)),"Not Registered","Registered")</f>
        <v>Not Registered</v>
      </c>
      <c r="F780">
        <f>VLOOKUP(A780,'Karykarta List'!A:B,2,FALSE)</f>
        <v>9320683201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57</v>
      </c>
      <c r="B781" t="s">
        <v>835</v>
      </c>
      <c r="C781">
        <v>7977147591</v>
      </c>
      <c r="D781" t="str">
        <f>_xlfn.IFNA(VLOOKUP(C781,UpdateLogToUse!A:D,4,FALSE),"Not Called")</f>
        <v>Not Called</v>
      </c>
      <c r="E781" t="str">
        <f>IF(ISNA(VLOOKUP(C781,Registration!A:A,1,FALSE)),"Not Registered","Registered")</f>
        <v>Not Registered</v>
      </c>
      <c r="F781">
        <f>VLOOKUP(A781,'Karykarta List'!A:B,2,FALSE)</f>
        <v>9101910341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72</v>
      </c>
      <c r="B782" t="s">
        <v>836</v>
      </c>
      <c r="C782">
        <v>9833062516</v>
      </c>
      <c r="D782" t="str">
        <f>_xlfn.IFNA(VLOOKUP(C782,UpdateLogToUse!A:D,4,FALSE),"Not Called")</f>
        <v>Not Called</v>
      </c>
      <c r="E782" t="str">
        <f>IF(ISNA(VLOOKUP(C782,Registration!A:A,1,FALSE)),"Not Registered","Registered")</f>
        <v>Not Registered</v>
      </c>
      <c r="F782">
        <f>VLOOKUP(A782,'Karykarta List'!A:B,2,FALSE)</f>
        <v>8879433174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60</v>
      </c>
      <c r="B783" t="s">
        <v>837</v>
      </c>
      <c r="C783">
        <v>9820164241</v>
      </c>
      <c r="D783" t="str">
        <f>_xlfn.IFNA(VLOOKUP(C783,UpdateLogToUse!A:D,4,FALSE),"Not Called")</f>
        <v>Not Called</v>
      </c>
      <c r="E783" t="str">
        <f>IF(ISNA(VLOOKUP(C783,Registration!A:A,1,FALSE)),"Not Registered","Registered")</f>
        <v>Not Registered</v>
      </c>
      <c r="F783">
        <f>VLOOKUP(A783,'Karykarta List'!A:B,2,FALSE)</f>
        <v>9820779873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1337</v>
      </c>
      <c r="B784" t="s">
        <v>838</v>
      </c>
      <c r="C784">
        <v>9664188608</v>
      </c>
      <c r="D784" t="str">
        <f>_xlfn.IFNA(VLOOKUP(C784,UpdateLogToUse!A:D,4,FALSE),"Not Called")</f>
        <v>Not Reachable</v>
      </c>
      <c r="E784" t="str">
        <f>IF(ISNA(VLOOKUP(C784,Registration!A:A,1,FALSE)),"Not Registered","Registered")</f>
        <v>Not Registered</v>
      </c>
      <c r="F784">
        <f>VLOOKUP(A784,'Karykarta List'!A:B,2,FALSE)</f>
        <v>9820130862</v>
      </c>
      <c r="G784" t="str">
        <f>_xlfn.IFNA(VLOOKUP(C784,CallLog_Latest!A:H,8,FALSE),"")</f>
        <v/>
      </c>
      <c r="H784" t="str">
        <f>VLOOKUP(C784,[1]Sheet1!$F:$H,3,FALSE)</f>
        <v>F-805/806  Sonmarg  S V. Road</v>
      </c>
    </row>
    <row r="785" spans="1:8" x14ac:dyDescent="0.25">
      <c r="A785" t="s">
        <v>77</v>
      </c>
      <c r="B785" t="s">
        <v>839</v>
      </c>
      <c r="C785">
        <v>9920341990</v>
      </c>
      <c r="D785" t="str">
        <f>_xlfn.IFNA(VLOOKUP(C785,UpdateLogToUse!A:D,4,FALSE),"Not Called")</f>
        <v>Not Coming</v>
      </c>
      <c r="E785" t="str">
        <f>IF(ISNA(VLOOKUP(C785,Registration!A:A,1,FALSE)),"Not Registered","Registered")</f>
        <v>Not Registered</v>
      </c>
      <c r="F785">
        <f>VLOOKUP(A785,'Karykarta List'!A:B,2,FALSE)</f>
        <v>9029105124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70</v>
      </c>
      <c r="B786" t="s">
        <v>840</v>
      </c>
      <c r="C786">
        <v>9920962924</v>
      </c>
      <c r="D786" t="str">
        <f>_xlfn.IFNA(VLOOKUP(C786,UpdateLogToUse!A:D,4,FALSE),"Not Called")</f>
        <v>Not Called</v>
      </c>
      <c r="E786" t="str">
        <f>IF(ISNA(VLOOKUP(C786,Registration!A:A,1,FALSE)),"Not Registered","Registered")</f>
        <v>Not Registered</v>
      </c>
      <c r="F786">
        <f>VLOOKUP(A786,'Karykarta List'!A:B,2,FALSE)</f>
        <v>9405263833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81</v>
      </c>
      <c r="B787" t="s">
        <v>813</v>
      </c>
      <c r="C787">
        <v>9320624230</v>
      </c>
      <c r="D787" t="str">
        <f>_xlfn.IFNA(VLOOKUP(C787,UpdateLogToUse!A:D,4,FALSE),"Not Called")</f>
        <v>Not Called</v>
      </c>
      <c r="E787" t="str">
        <f>IF(ISNA(VLOOKUP(C787,Registration!A:A,1,FALSE)),"Not Registered","Registered")</f>
        <v>Not Registered</v>
      </c>
      <c r="F787">
        <f>VLOOKUP(A787,'Karykarta List'!A:B,2,FALSE)</f>
        <v>9824100412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23</v>
      </c>
      <c r="B788" t="s">
        <v>841</v>
      </c>
      <c r="C788">
        <v>9820151778</v>
      </c>
      <c r="D788" t="str">
        <f>_xlfn.IFNA(VLOOKUP(C788,UpdateLogToUse!A:D,4,FALSE),"Not Called")</f>
        <v>Not Coming</v>
      </c>
      <c r="E788" t="str">
        <f>IF(ISNA(VLOOKUP(C788,Registration!A:A,1,FALSE)),"Not Registered","Registered")</f>
        <v>Not Registered</v>
      </c>
      <c r="F788">
        <f>VLOOKUP(A788,'Karykarta List'!A:B,2,FALSE)</f>
        <v>7977439717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41</v>
      </c>
      <c r="B789" t="s">
        <v>842</v>
      </c>
      <c r="C789">
        <v>9323171200</v>
      </c>
      <c r="D789" t="str">
        <f>_xlfn.IFNA(VLOOKUP(C789,UpdateLogToUse!A:D,4,FALSE),"Not Called")</f>
        <v>Not Called</v>
      </c>
      <c r="E789" t="str">
        <f>IF(ISNA(VLOOKUP(C789,Registration!A:A,1,FALSE)),"Not Registered","Registered")</f>
        <v>Not Registered</v>
      </c>
      <c r="F789">
        <f>VLOOKUP(A789,'Karykarta List'!A:B,2,FALSE)</f>
        <v>8058973809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797</v>
      </c>
      <c r="B790" t="s">
        <v>843</v>
      </c>
      <c r="C790">
        <v>9322260359</v>
      </c>
      <c r="D790" t="str">
        <f>_xlfn.IFNA(VLOOKUP(C790,UpdateLogToUse!A:D,4,FALSE),"Not Called")</f>
        <v>Not Called</v>
      </c>
      <c r="E790" t="str">
        <f>IF(ISNA(VLOOKUP(C790,Registration!A:A,1,FALSE)),"Not Registered","Registered")</f>
        <v>Not Registered</v>
      </c>
      <c r="F790">
        <f>VLOOKUP(A790,'Karykarta List'!A:B,2,FALSE)</f>
        <v>9320309630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785</v>
      </c>
      <c r="B791" t="s">
        <v>844</v>
      </c>
      <c r="C791">
        <v>8879127080</v>
      </c>
      <c r="D791" t="str">
        <f>_xlfn.IFNA(VLOOKUP(C791,UpdateLogToUse!A:D,4,FALSE),"Not Called")</f>
        <v>Not Called</v>
      </c>
      <c r="E791" t="str">
        <f>IF(ISNA(VLOOKUP(C791,Registration!A:A,1,FALSE)),"Not Registered","Registered")</f>
        <v>Not Registered</v>
      </c>
      <c r="F791">
        <f>VLOOKUP(A791,'Karykarta List'!A:B,2,FALSE)</f>
        <v>9321532327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83</v>
      </c>
      <c r="B792" t="s">
        <v>845</v>
      </c>
      <c r="C792">
        <v>9967031830</v>
      </c>
      <c r="D792" t="str">
        <f>_xlfn.IFNA(VLOOKUP(C792,UpdateLogToUse!A:D,4,FALSE),"Not Called")</f>
        <v>Not Called</v>
      </c>
      <c r="E792" t="str">
        <f>IF(ISNA(VLOOKUP(C792,Registration!A:A,1,FALSE)),"Not Registered","Registered")</f>
        <v>Registered</v>
      </c>
      <c r="F792">
        <f>VLOOKUP(A792,'Karykarta List'!A:B,2,FALSE)</f>
        <v>9225211083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799</v>
      </c>
      <c r="B793" t="s">
        <v>846</v>
      </c>
      <c r="C793">
        <v>9833022243</v>
      </c>
      <c r="D793" t="str">
        <f>_xlfn.IFNA(VLOOKUP(C793,UpdateLogToUse!A:D,4,FALSE),"Not Called")</f>
        <v>Not Called</v>
      </c>
      <c r="E793" t="str">
        <f>IF(ISNA(VLOOKUP(C793,Registration!A:A,1,FALSE)),"Not Registered","Registered")</f>
        <v>Not Registered</v>
      </c>
      <c r="F793">
        <f>VLOOKUP(A793,'Karykarta List'!A:B,2,FALSE)</f>
        <v>9324233820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805</v>
      </c>
      <c r="B794" t="s">
        <v>847</v>
      </c>
      <c r="C794">
        <v>9820341990</v>
      </c>
      <c r="D794" t="str">
        <f>_xlfn.IFNA(VLOOKUP(C794,UpdateLogToUse!A:D,4,FALSE),"Not Called")</f>
        <v>Not Called</v>
      </c>
      <c r="E794" t="str">
        <f>IF(ISNA(VLOOKUP(C794,Registration!A:A,1,FALSE)),"Not Registered","Registered")</f>
        <v>Not Registered</v>
      </c>
      <c r="F794">
        <f>VLOOKUP(A794,'Karykarta List'!A:B,2,FALSE)</f>
        <v>9320770849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95</v>
      </c>
      <c r="B795" t="s">
        <v>781</v>
      </c>
      <c r="C795">
        <v>9819004363</v>
      </c>
      <c r="D795" t="str">
        <f>_xlfn.IFNA(VLOOKUP(C795,UpdateLogToUse!A:D,4,FALSE),"Not Called")</f>
        <v>Not Called</v>
      </c>
      <c r="E795" t="str">
        <f>IF(ISNA(VLOOKUP(C795,Registration!A:A,1,FALSE)),"Not Registered","Registered")</f>
        <v>Not Registered</v>
      </c>
      <c r="F795">
        <f>VLOOKUP(A795,'Karykarta List'!A:B,2,FALSE)</f>
        <v>9424584007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55</v>
      </c>
      <c r="B796" t="s">
        <v>848</v>
      </c>
      <c r="C796">
        <v>9604788872</v>
      </c>
      <c r="D796" t="str">
        <f>_xlfn.IFNA(VLOOKUP(C796,UpdateLogToUse!A:D,4,FALSE),"Not Called")</f>
        <v>Not Called</v>
      </c>
      <c r="E796" t="str">
        <f>IF(ISNA(VLOOKUP(C796,Registration!A:A,1,FALSE)),"Not Registered","Registered")</f>
        <v>Not Registered</v>
      </c>
      <c r="F796">
        <f>VLOOKUP(A796,'Karykarta List'!A:B,2,FALSE)</f>
        <v>9819083540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29</v>
      </c>
      <c r="B797" t="s">
        <v>849</v>
      </c>
      <c r="C797">
        <v>7506371178</v>
      </c>
      <c r="D797" t="str">
        <f>_xlfn.IFNA(VLOOKUP(C797,UpdateLogToUse!A:D,4,FALSE),"Not Called")</f>
        <v>May be Attending</v>
      </c>
      <c r="E797" t="str">
        <f>IF(ISNA(VLOOKUP(C797,Registration!A:A,1,FALSE)),"Not Registered","Registered")</f>
        <v>Not Registered</v>
      </c>
      <c r="F797">
        <f>VLOOKUP(A797,'Karykarta List'!A:B,2,FALSE)</f>
        <v>9819364345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1306</v>
      </c>
      <c r="B798" t="s">
        <v>850</v>
      </c>
      <c r="C798">
        <v>7977117206</v>
      </c>
      <c r="D798" t="str">
        <f>_xlfn.IFNA(VLOOKUP(C798,UpdateLogToUse!A:D,4,FALSE),"Not Called")</f>
        <v>Not Called</v>
      </c>
      <c r="E798" t="str">
        <f>IF(ISNA(VLOOKUP(C798,Registration!A:A,1,FALSE)),"Not Registered","Registered")</f>
        <v>Not Registered</v>
      </c>
      <c r="F798">
        <f>VLOOKUP(A798,'Karykarta List'!A:B,2,FALSE)</f>
        <v>7977147591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789</v>
      </c>
      <c r="B799" t="s">
        <v>851</v>
      </c>
      <c r="C799">
        <v>9867762388</v>
      </c>
      <c r="D799" t="str">
        <f>_xlfn.IFNA(VLOOKUP(C799,UpdateLogToUse!A:D,4,FALSE),"Not Called")</f>
        <v>Not Called</v>
      </c>
      <c r="E799" t="str">
        <f>IF(ISNA(VLOOKUP(C799,Registration!A:A,1,FALSE)),"Not Registered","Registered")</f>
        <v>Not Registered</v>
      </c>
      <c r="F799">
        <f>VLOOKUP(A799,'Karykarta List'!A:B,2,FALSE)</f>
        <v>9702260383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11</v>
      </c>
      <c r="B800" t="s">
        <v>852</v>
      </c>
      <c r="C800">
        <v>9967772280</v>
      </c>
      <c r="D800" t="str">
        <f>_xlfn.IFNA(VLOOKUP(C800,UpdateLogToUse!A:D,4,FALSE),"Not Called")</f>
        <v>Not Called</v>
      </c>
      <c r="E800" t="str">
        <f>IF(ISNA(VLOOKUP(C800,Registration!A:A,1,FALSE)),"Not Registered","Registered")</f>
        <v>Registered</v>
      </c>
      <c r="F800">
        <f>VLOOKUP(A800,'Karykarta List'!A:B,2,FALSE)</f>
        <v>9322598681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1308</v>
      </c>
      <c r="B801" t="s">
        <v>853</v>
      </c>
      <c r="C801">
        <v>9322177718</v>
      </c>
      <c r="D801">
        <f>_xlfn.IFNA(VLOOKUP(C801,UpdateLogToUse!A:D,4,FALSE),"Not Called")</f>
        <v>0</v>
      </c>
      <c r="E801" t="str">
        <f>IF(ISNA(VLOOKUP(C801,Registration!A:A,1,FALSE)),"Not Registered","Registered")</f>
        <v>Not Registered</v>
      </c>
      <c r="F801">
        <f>VLOOKUP(A801,'Karykarta List'!A:B,2,FALSE)</f>
        <v>9022922620</v>
      </c>
      <c r="G801" t="str">
        <f>_xlfn.IFNA(VLOOKUP(C801,CallLog_Latest!A:H,8,FALSE),"")</f>
        <v/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39</v>
      </c>
      <c r="B802" t="s">
        <v>787</v>
      </c>
      <c r="C802">
        <v>8879785324</v>
      </c>
      <c r="D802" t="str">
        <f>_xlfn.IFNA(VLOOKUP(C802,UpdateLogToUse!A:D,4,FALSE),"Not Called")</f>
        <v>Not Called</v>
      </c>
      <c r="E802" t="str">
        <f>IF(ISNA(VLOOKUP(C802,Registration!A:A,1,FALSE)),"Not Registered","Registered")</f>
        <v>Not Registered</v>
      </c>
      <c r="F802">
        <f>VLOOKUP(A802,'Karykarta List'!A:B,2,FALSE)</f>
        <v>9820505363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21</v>
      </c>
      <c r="B803" t="s">
        <v>854</v>
      </c>
      <c r="C803">
        <v>9819040397</v>
      </c>
      <c r="D803" t="str">
        <f>_xlfn.IFNA(VLOOKUP(C803,UpdateLogToUse!A:D,4,FALSE),"Not Called")</f>
        <v>Not Called</v>
      </c>
      <c r="E803" t="str">
        <f>IF(ISNA(VLOOKUP(C803,Registration!A:A,1,FALSE)),"Not Registered","Registered")</f>
        <v>Not Registered</v>
      </c>
      <c r="F803">
        <f>VLOOKUP(A803,'Karykarta List'!A:B,2,FALSE)</f>
        <v>9820636392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31</v>
      </c>
      <c r="B804" t="s">
        <v>855</v>
      </c>
      <c r="C804">
        <v>9969608250</v>
      </c>
      <c r="D804" t="str">
        <f>_xlfn.IFNA(VLOOKUP(C804,UpdateLogToUse!A:D,4,FALSE),"Not Called")</f>
        <v>Not Called</v>
      </c>
      <c r="E804" t="str">
        <f>IF(ISNA(VLOOKUP(C804,Registration!A:A,1,FALSE)),"Not Registered","Registered")</f>
        <v>Not Registered</v>
      </c>
      <c r="F804">
        <f>VLOOKUP(A804,'Karykarta List'!A:B,2,FALSE)</f>
        <v>9869064553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49</v>
      </c>
      <c r="B805" t="s">
        <v>783</v>
      </c>
      <c r="C805">
        <v>9321133166</v>
      </c>
      <c r="D805" t="str">
        <f>_xlfn.IFNA(VLOOKUP(C805,UpdateLogToUse!A:D,4,FALSE),"Not Called")</f>
        <v>Not Called</v>
      </c>
      <c r="E805" t="str">
        <f>IF(ISNA(VLOOKUP(C805,Registration!A:A,1,FALSE)),"Not Registered","Registered")</f>
        <v>Not Registered</v>
      </c>
      <c r="F805">
        <f>VLOOKUP(A805,'Karykarta List'!A:B,2,FALSE)</f>
        <v>9322206108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35</v>
      </c>
      <c r="B806" t="s">
        <v>856</v>
      </c>
      <c r="C806">
        <v>9967024173</v>
      </c>
      <c r="D806" t="str">
        <f>_xlfn.IFNA(VLOOKUP(C806,UpdateLogToUse!A:D,4,FALSE),"Not Called")</f>
        <v>Not Called</v>
      </c>
      <c r="E806" t="str">
        <f>IF(ISNA(VLOOKUP(C806,Registration!A:A,1,FALSE)),"Not Registered","Registered")</f>
        <v>Not Registered</v>
      </c>
      <c r="F806">
        <f>VLOOKUP(A806,'Karykarta List'!A:B,2,FALSE)</f>
        <v>9833705425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17</v>
      </c>
      <c r="B807" t="s">
        <v>857</v>
      </c>
      <c r="C807">
        <v>9892106661</v>
      </c>
      <c r="D807" t="str">
        <f>_xlfn.IFNA(VLOOKUP(C807,UpdateLogToUse!A:D,4,FALSE),"Not Called")</f>
        <v>Not Called</v>
      </c>
      <c r="E807" t="str">
        <f>IF(ISNA(VLOOKUP(C807,Registration!A:A,1,FALSE)),"Not Registered","Registered")</f>
        <v>Not Registered</v>
      </c>
      <c r="F807">
        <f>VLOOKUP(A807,'Karykarta List'!A:B,2,FALSE)</f>
        <v>9869798705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23</v>
      </c>
      <c r="B808" t="s">
        <v>858</v>
      </c>
      <c r="C808">
        <v>9819421249</v>
      </c>
      <c r="D808" t="str">
        <f>_xlfn.IFNA(VLOOKUP(C808,UpdateLogToUse!A:D,4,FALSE),"Not Called")</f>
        <v>Not Called</v>
      </c>
      <c r="E808" t="str">
        <f>IF(ISNA(VLOOKUP(C808,Registration!A:A,1,FALSE)),"Not Registered","Registered")</f>
        <v>Not Registered</v>
      </c>
      <c r="F808">
        <f>VLOOKUP(A808,'Karykarta List'!A:B,2,FALSE)</f>
        <v>7977439717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43</v>
      </c>
      <c r="B809" t="s">
        <v>859</v>
      </c>
      <c r="C809">
        <v>8108611149</v>
      </c>
      <c r="D809" t="str">
        <f>_xlfn.IFNA(VLOOKUP(C809,UpdateLogToUse!A:D,4,FALSE),"Not Called")</f>
        <v>Not Called</v>
      </c>
      <c r="E809" t="str">
        <f>IF(ISNA(VLOOKUP(C809,Registration!A:A,1,FALSE)),"Not Registered","Registered")</f>
        <v>Not Registered</v>
      </c>
      <c r="F809">
        <f>VLOOKUP(A809,'Karykarta List'!A:B,2,FALSE)</f>
        <v>9320683201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57</v>
      </c>
      <c r="B810" t="s">
        <v>860</v>
      </c>
      <c r="C810">
        <v>7000414471</v>
      </c>
      <c r="D810" t="str">
        <f>_xlfn.IFNA(VLOOKUP(C810,UpdateLogToUse!A:D,4,FALSE),"Not Called")</f>
        <v>Not Called</v>
      </c>
      <c r="E810" t="str">
        <f>IF(ISNA(VLOOKUP(C810,Registration!A:A,1,FALSE)),"Not Registered","Registered")</f>
        <v>Not Registered</v>
      </c>
      <c r="F810">
        <f>VLOOKUP(A810,'Karykarta List'!A:B,2,FALSE)</f>
        <v>9101910341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72</v>
      </c>
      <c r="B811" t="s">
        <v>861</v>
      </c>
      <c r="C811">
        <v>9594447031</v>
      </c>
      <c r="D811" t="str">
        <f>_xlfn.IFNA(VLOOKUP(C811,UpdateLogToUse!A:D,4,FALSE),"Not Called")</f>
        <v>Not Called</v>
      </c>
      <c r="E811" t="str">
        <f>IF(ISNA(VLOOKUP(C811,Registration!A:A,1,FALSE)),"Not Registered","Registered")</f>
        <v>Not Registered</v>
      </c>
      <c r="F811">
        <f>VLOOKUP(A811,'Karykarta List'!A:B,2,FALSE)</f>
        <v>8879433174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60</v>
      </c>
      <c r="B812" t="s">
        <v>862</v>
      </c>
      <c r="C812">
        <v>9323173089</v>
      </c>
      <c r="D812" t="str">
        <f>_xlfn.IFNA(VLOOKUP(C812,UpdateLogToUse!A:D,4,FALSE),"Not Called")</f>
        <v>Not Called</v>
      </c>
      <c r="E812" t="str">
        <f>IF(ISNA(VLOOKUP(C812,Registration!A:A,1,FALSE)),"Not Registered","Registered")</f>
        <v>Not Registered</v>
      </c>
      <c r="F812">
        <f>VLOOKUP(A812,'Karykarta List'!A:B,2,FALSE)</f>
        <v>9820779873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1337</v>
      </c>
      <c r="B813" t="s">
        <v>863</v>
      </c>
      <c r="C813">
        <v>9320034414</v>
      </c>
      <c r="D813" t="str">
        <f>_xlfn.IFNA(VLOOKUP(C813,UpdateLogToUse!A:D,4,FALSE),"Not Called")</f>
        <v>Not Called</v>
      </c>
      <c r="E813" t="str">
        <f>IF(ISNA(VLOOKUP(C813,Registration!A:A,1,FALSE)),"Not Registered","Registered")</f>
        <v>Not Registered</v>
      </c>
      <c r="F813">
        <f>VLOOKUP(A813,'Karykarta List'!A:B,2,FALSE)</f>
        <v>9820130862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77</v>
      </c>
      <c r="B814" t="s">
        <v>864</v>
      </c>
      <c r="C814">
        <v>8446381106</v>
      </c>
      <c r="D814" t="str">
        <f>_xlfn.IFNA(VLOOKUP(C814,UpdateLogToUse!A:D,4,FALSE),"Not Called")</f>
        <v>May be Attending</v>
      </c>
      <c r="E814" t="str">
        <f>IF(ISNA(VLOOKUP(C814,Registration!A:A,1,FALSE)),"Not Registered","Registered")</f>
        <v>Not Registered</v>
      </c>
      <c r="F814">
        <f>VLOOKUP(A814,'Karykarta List'!A:B,2,FALSE)</f>
        <v>9029105124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70</v>
      </c>
      <c r="B815" t="s">
        <v>865</v>
      </c>
      <c r="C815">
        <v>9920997978</v>
      </c>
      <c r="D815" t="str">
        <f>_xlfn.IFNA(VLOOKUP(C815,UpdateLogToUse!A:D,4,FALSE),"Not Called")</f>
        <v>Not Called</v>
      </c>
      <c r="E815" t="str">
        <f>IF(ISNA(VLOOKUP(C815,Registration!A:A,1,FALSE)),"Not Registered","Registered")</f>
        <v>Not Registered</v>
      </c>
      <c r="F815">
        <f>VLOOKUP(A815,'Karykarta List'!A:B,2,FALSE)</f>
        <v>9405263833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81</v>
      </c>
      <c r="B816" t="s">
        <v>866</v>
      </c>
      <c r="C816">
        <v>9376726888</v>
      </c>
      <c r="D816" t="str">
        <f>_xlfn.IFNA(VLOOKUP(C816,UpdateLogToUse!A:D,4,FALSE),"Not Called")</f>
        <v>Not Called</v>
      </c>
      <c r="E816" t="str">
        <f>IF(ISNA(VLOOKUP(C816,Registration!A:A,1,FALSE)),"Not Registered","Registered")</f>
        <v>Not Registered</v>
      </c>
      <c r="F816">
        <f>VLOOKUP(A816,'Karykarta List'!A:B,2,FALSE)</f>
        <v>9824100412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23</v>
      </c>
      <c r="B817" t="s">
        <v>867</v>
      </c>
      <c r="C817">
        <v>9320606061</v>
      </c>
      <c r="D817" t="str">
        <f>_xlfn.IFNA(VLOOKUP(C817,UpdateLogToUse!A:D,4,FALSE),"Not Called")</f>
        <v>Not Called</v>
      </c>
      <c r="E817" t="str">
        <f>IF(ISNA(VLOOKUP(C817,Registration!A:A,1,FALSE)),"Not Registered","Registered")</f>
        <v>Not Registered</v>
      </c>
      <c r="F817">
        <f>VLOOKUP(A817,'Karykarta List'!A:B,2,FALSE)</f>
        <v>7977439717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41</v>
      </c>
      <c r="B818" t="s">
        <v>66</v>
      </c>
      <c r="C818">
        <v>9820251565</v>
      </c>
      <c r="D818">
        <f>_xlfn.IFNA(VLOOKUP(C818,UpdateLogToUse!A:D,4,FALSE),"Not Called")</f>
        <v>0</v>
      </c>
      <c r="E818" t="str">
        <f>IF(ISNA(VLOOKUP(C818,Registration!A:A,1,FALSE)),"Not Registered","Registered")</f>
        <v>Not Registered</v>
      </c>
      <c r="F818">
        <f>VLOOKUP(A818,'Karykarta List'!A:B,2,FALSE)</f>
        <v>8058973809</v>
      </c>
      <c r="G818" t="str">
        <f>_xlfn.IFNA(VLOOKUP(C818,CallLog_Latest!A:H,8,FALSE),"")</f>
        <v/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797</v>
      </c>
      <c r="B819" t="s">
        <v>868</v>
      </c>
      <c r="C819">
        <v>9377709189</v>
      </c>
      <c r="D819" t="str">
        <f>_xlfn.IFNA(VLOOKUP(C819,UpdateLogToUse!A:D,4,FALSE),"Not Called")</f>
        <v>Confirmed Presence</v>
      </c>
      <c r="E819" t="str">
        <f>IF(ISNA(VLOOKUP(C819,Registration!A:A,1,FALSE)),"Not Registered","Registered")</f>
        <v>Not Registered</v>
      </c>
      <c r="F819">
        <f>VLOOKUP(A819,'Karykarta List'!A:B,2,FALSE)</f>
        <v>9320309630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785</v>
      </c>
      <c r="B820" t="s">
        <v>869</v>
      </c>
      <c r="C820">
        <v>9920230862</v>
      </c>
      <c r="D820" t="str">
        <f>_xlfn.IFNA(VLOOKUP(C820,UpdateLogToUse!A:D,4,FALSE),"Not Called")</f>
        <v>Not Called</v>
      </c>
      <c r="E820" t="str">
        <f>IF(ISNA(VLOOKUP(C820,Registration!A:A,1,FALSE)),"Not Registered","Registered")</f>
        <v>Not Registered</v>
      </c>
      <c r="F820">
        <f>VLOOKUP(A820,'Karykarta List'!A:B,2,FALSE)</f>
        <v>9321532327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83</v>
      </c>
      <c r="B821" t="s">
        <v>870</v>
      </c>
      <c r="C821">
        <v>9324906655</v>
      </c>
      <c r="D821" t="str">
        <f>_xlfn.IFNA(VLOOKUP(C821,UpdateLogToUse!A:D,4,FALSE),"Not Called")</f>
        <v>Not Called</v>
      </c>
      <c r="E821" t="str">
        <f>IF(ISNA(VLOOKUP(C821,Registration!A:A,1,FALSE)),"Not Registered","Registered")</f>
        <v>Not Registered</v>
      </c>
      <c r="F821">
        <f>VLOOKUP(A821,'Karykarta List'!A:B,2,FALSE)</f>
        <v>9225211083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799</v>
      </c>
      <c r="B822" t="s">
        <v>871</v>
      </c>
      <c r="C822">
        <v>8368650140</v>
      </c>
      <c r="D822" t="str">
        <f>_xlfn.IFNA(VLOOKUP(C822,UpdateLogToUse!A:D,4,FALSE),"Not Called")</f>
        <v>Not Coming</v>
      </c>
      <c r="E822" t="str">
        <f>IF(ISNA(VLOOKUP(C822,Registration!A:A,1,FALSE)),"Not Registered","Registered")</f>
        <v>Not Registered</v>
      </c>
      <c r="F822">
        <f>VLOOKUP(A822,'Karykarta List'!A:B,2,FALSE)</f>
        <v>9324233820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805</v>
      </c>
      <c r="B823" t="s">
        <v>809</v>
      </c>
      <c r="C823">
        <v>9619090608</v>
      </c>
      <c r="D823" t="str">
        <f>_xlfn.IFNA(VLOOKUP(C823,UpdateLogToUse!A:D,4,FALSE),"Not Called")</f>
        <v>Not Called</v>
      </c>
      <c r="E823" t="str">
        <f>IF(ISNA(VLOOKUP(C823,Registration!A:A,1,FALSE)),"Not Registered","Registered")</f>
        <v>Not Registered</v>
      </c>
      <c r="F823">
        <f>VLOOKUP(A823,'Karykarta List'!A:B,2,FALSE)</f>
        <v>9320770849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95</v>
      </c>
      <c r="B824" t="s">
        <v>797</v>
      </c>
      <c r="C824">
        <v>9320309630</v>
      </c>
      <c r="D824" t="str">
        <f>_xlfn.IFNA(VLOOKUP(C824,UpdateLogToUse!A:D,4,FALSE),"Not Called")</f>
        <v>Not Called</v>
      </c>
      <c r="E824" t="str">
        <f>IF(ISNA(VLOOKUP(C824,Registration!A:A,1,FALSE)),"Not Registered","Registered")</f>
        <v>Not Registered</v>
      </c>
      <c r="F824">
        <f>VLOOKUP(A824,'Karykarta List'!A:B,2,FALSE)</f>
        <v>9424584007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55</v>
      </c>
      <c r="B825" t="s">
        <v>872</v>
      </c>
      <c r="C825">
        <v>9892324255</v>
      </c>
      <c r="D825" t="str">
        <f>_xlfn.IFNA(VLOOKUP(C825,UpdateLogToUse!A:D,4,FALSE),"Not Called")</f>
        <v>Not Called</v>
      </c>
      <c r="E825" t="str">
        <f>IF(ISNA(VLOOKUP(C825,Registration!A:A,1,FALSE)),"Not Registered","Registered")</f>
        <v>Not Registered</v>
      </c>
      <c r="F825">
        <f>VLOOKUP(A825,'Karykarta List'!A:B,2,FALSE)</f>
        <v>9819083540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29</v>
      </c>
      <c r="B826" t="s">
        <v>873</v>
      </c>
      <c r="C826">
        <v>9619127276</v>
      </c>
      <c r="D826" t="str">
        <f>_xlfn.IFNA(VLOOKUP(C826,UpdateLogToUse!A:D,4,FALSE),"Not Called")</f>
        <v>Not Called</v>
      </c>
      <c r="E826" t="str">
        <f>IF(ISNA(VLOOKUP(C826,Registration!A:A,1,FALSE)),"Not Registered","Registered")</f>
        <v>Not Registered</v>
      </c>
      <c r="F826">
        <f>VLOOKUP(A826,'Karykarta List'!A:B,2,FALSE)</f>
        <v>9819364345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1306</v>
      </c>
      <c r="B827" t="s">
        <v>874</v>
      </c>
      <c r="C827">
        <v>7738892551</v>
      </c>
      <c r="D827" t="str">
        <f>_xlfn.IFNA(VLOOKUP(C827,UpdateLogToUse!A:D,4,FALSE),"Not Called")</f>
        <v>Not Called</v>
      </c>
      <c r="E827" t="str">
        <f>IF(ISNA(VLOOKUP(C827,Registration!A:A,1,FALSE)),"Not Registered","Registered")</f>
        <v>Not Registered</v>
      </c>
      <c r="F827">
        <f>VLOOKUP(A827,'Karykarta List'!A:B,2,FALSE)</f>
        <v>7977147591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789</v>
      </c>
      <c r="B828" t="s">
        <v>875</v>
      </c>
      <c r="C828">
        <v>9833401628</v>
      </c>
      <c r="D828" t="str">
        <f>_xlfn.IFNA(VLOOKUP(C828,UpdateLogToUse!A:D,4,FALSE),"Not Called")</f>
        <v>Not Called</v>
      </c>
      <c r="E828" t="str">
        <f>IF(ISNA(VLOOKUP(C828,Registration!A:A,1,FALSE)),"Not Registered","Registered")</f>
        <v>Not Registered</v>
      </c>
      <c r="F828">
        <f>VLOOKUP(A828,'Karykarta List'!A:B,2,FALSE)</f>
        <v>9702260383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11</v>
      </c>
      <c r="B829" t="s">
        <v>876</v>
      </c>
      <c r="C829">
        <v>9619535256</v>
      </c>
      <c r="D829" t="str">
        <f>_xlfn.IFNA(VLOOKUP(C829,UpdateLogToUse!A:D,4,FALSE),"Not Called")</f>
        <v>Not Called</v>
      </c>
      <c r="E829" t="str">
        <f>IF(ISNA(VLOOKUP(C829,Registration!A:A,1,FALSE)),"Not Registered","Registered")</f>
        <v>Not Registered</v>
      </c>
      <c r="F829">
        <f>VLOOKUP(A829,'Karykarta List'!A:B,2,FALSE)</f>
        <v>9322598681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1308</v>
      </c>
      <c r="B830" t="s">
        <v>877</v>
      </c>
      <c r="C830">
        <v>9427329820</v>
      </c>
      <c r="D830" t="str">
        <f>_xlfn.IFNA(VLOOKUP(C830,UpdateLogToUse!A:D,4,FALSE),"Not Called")</f>
        <v>Not Called</v>
      </c>
      <c r="E830" t="str">
        <f>IF(ISNA(VLOOKUP(C830,Registration!A:A,1,FALSE)),"Not Registered","Registered")</f>
        <v>Not Registered</v>
      </c>
      <c r="F830">
        <f>VLOOKUP(A830,'Karykarta List'!A:B,2,FALSE)</f>
        <v>9022922620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39</v>
      </c>
      <c r="B831" t="s">
        <v>795</v>
      </c>
      <c r="C831">
        <v>9920145200</v>
      </c>
      <c r="D831" t="str">
        <f>_xlfn.IFNA(VLOOKUP(C831,UpdateLogToUse!A:D,4,FALSE),"Not Called")</f>
        <v>Phone Busy</v>
      </c>
      <c r="E831" t="str">
        <f>IF(ISNA(VLOOKUP(C831,Registration!A:A,1,FALSE)),"Not Registered","Registered")</f>
        <v>Not Registered</v>
      </c>
      <c r="F831">
        <f>VLOOKUP(A831,'Karykarta List'!A:B,2,FALSE)</f>
        <v>9820505363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21</v>
      </c>
      <c r="B832" t="s">
        <v>878</v>
      </c>
      <c r="C832">
        <v>9320636392</v>
      </c>
      <c r="D832" t="str">
        <f>_xlfn.IFNA(VLOOKUP(C832,UpdateLogToUse!A:D,4,FALSE),"Not Called")</f>
        <v>Not Called</v>
      </c>
      <c r="E832" t="str">
        <f>IF(ISNA(VLOOKUP(C832,Registration!A:A,1,FALSE)),"Not Registered","Registered")</f>
        <v>Not Registered</v>
      </c>
      <c r="F832">
        <f>VLOOKUP(A832,'Karykarta List'!A:B,2,FALSE)</f>
        <v>9820636392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31</v>
      </c>
      <c r="B833" t="s">
        <v>879</v>
      </c>
      <c r="C833">
        <v>9930635599</v>
      </c>
      <c r="D833" t="str">
        <f>_xlfn.IFNA(VLOOKUP(C833,UpdateLogToUse!A:D,4,FALSE),"Not Called")</f>
        <v>Not Called</v>
      </c>
      <c r="E833" t="str">
        <f>IF(ISNA(VLOOKUP(C833,Registration!A:A,1,FALSE)),"Not Registered","Registered")</f>
        <v>Not Registered</v>
      </c>
      <c r="F833">
        <f>VLOOKUP(A833,'Karykarta List'!A:B,2,FALSE)</f>
        <v>9869064553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49</v>
      </c>
      <c r="B834" t="s">
        <v>880</v>
      </c>
      <c r="C834">
        <v>9999104545</v>
      </c>
      <c r="D834" t="str">
        <f>_xlfn.IFNA(VLOOKUP(C834,UpdateLogToUse!A:D,4,FALSE),"Not Called")</f>
        <v>Not Called</v>
      </c>
      <c r="E834" t="str">
        <f>IF(ISNA(VLOOKUP(C834,Registration!A:A,1,FALSE)),"Not Registered","Registered")</f>
        <v>Not Registered</v>
      </c>
      <c r="F834">
        <f>VLOOKUP(A834,'Karykarta List'!A:B,2,FALSE)</f>
        <v>9322206108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35</v>
      </c>
      <c r="B835" t="s">
        <v>881</v>
      </c>
      <c r="C835">
        <v>8999747002</v>
      </c>
      <c r="D835" t="str">
        <f>_xlfn.IFNA(VLOOKUP(C835,UpdateLogToUse!A:D,4,FALSE),"Not Called")</f>
        <v>Confirmed Presence</v>
      </c>
      <c r="E835" t="str">
        <f>IF(ISNA(VLOOKUP(C835,Registration!A:A,1,FALSE)),"Not Registered","Registered")</f>
        <v>Not Registered</v>
      </c>
      <c r="F835">
        <f>VLOOKUP(A835,'Karykarta List'!A:B,2,FALSE)</f>
        <v>9833705425</v>
      </c>
      <c r="G835" t="str">
        <f>_xlfn.IFNA(VLOOKUP(C835,CallLog_Latest!A:H,8,FALSE),"")</f>
        <v/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17</v>
      </c>
      <c r="B836" t="s">
        <v>882</v>
      </c>
      <c r="C836">
        <v>9994144544</v>
      </c>
      <c r="D836" t="str">
        <f>_xlfn.IFNA(VLOOKUP(C836,UpdateLogToUse!A:D,4,FALSE),"Not Called")</f>
        <v>Not Reachable</v>
      </c>
      <c r="E836" t="str">
        <f>IF(ISNA(VLOOKUP(C836,Registration!A:A,1,FALSE)),"Not Registered","Registered")</f>
        <v>Not Registered</v>
      </c>
      <c r="F836">
        <f>VLOOKUP(A836,'Karykarta List'!A:B,2,FALSE)</f>
        <v>9869798705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23</v>
      </c>
      <c r="B837" t="s">
        <v>883</v>
      </c>
      <c r="C837">
        <v>9969772566</v>
      </c>
      <c r="D837" t="str">
        <f>_xlfn.IFNA(VLOOKUP(C837,UpdateLogToUse!A:D,4,FALSE),"Not Called")</f>
        <v>Not Called</v>
      </c>
      <c r="E837" t="str">
        <f>IF(ISNA(VLOOKUP(C837,Registration!A:A,1,FALSE)),"Not Registered","Registered")</f>
        <v>Not Registered</v>
      </c>
      <c r="F837">
        <f>VLOOKUP(A837,'Karykarta List'!A:B,2,FALSE)</f>
        <v>7977439717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43</v>
      </c>
      <c r="B838" t="s">
        <v>884</v>
      </c>
      <c r="C838">
        <v>9833902206</v>
      </c>
      <c r="D838" t="str">
        <f>_xlfn.IFNA(VLOOKUP(C838,UpdateLogToUse!A:D,4,FALSE),"Not Called")</f>
        <v>Not Called</v>
      </c>
      <c r="E838" t="str">
        <f>IF(ISNA(VLOOKUP(C838,Registration!A:A,1,FALSE)),"Not Registered","Registered")</f>
        <v>Not Registered</v>
      </c>
      <c r="F838">
        <f>VLOOKUP(A838,'Karykarta List'!A:B,2,FALSE)</f>
        <v>9320683201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57</v>
      </c>
      <c r="B839" t="s">
        <v>885</v>
      </c>
      <c r="C839">
        <v>9819781909</v>
      </c>
      <c r="D839" t="str">
        <f>_xlfn.IFNA(VLOOKUP(C839,UpdateLogToUse!A:D,4,FALSE),"Not Called")</f>
        <v>Confirmed Presence</v>
      </c>
      <c r="E839" t="str">
        <f>IF(ISNA(VLOOKUP(C839,Registration!A:A,1,FALSE)),"Not Registered","Registered")</f>
        <v>Not Registered</v>
      </c>
      <c r="F839">
        <f>VLOOKUP(A839,'Karykarta List'!A:B,2,FALSE)</f>
        <v>9101910341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72</v>
      </c>
      <c r="B840" t="s">
        <v>886</v>
      </c>
      <c r="C840">
        <v>9322920370</v>
      </c>
      <c r="D840" t="str">
        <f>_xlfn.IFNA(VLOOKUP(C840,UpdateLogToUse!A:D,4,FALSE),"Not Called")</f>
        <v>Not Called</v>
      </c>
      <c r="E840" t="str">
        <f>IF(ISNA(VLOOKUP(C840,Registration!A:A,1,FALSE)),"Not Registered","Registered")</f>
        <v>Not Registered</v>
      </c>
      <c r="F840">
        <f>VLOOKUP(A840,'Karykarta List'!A:B,2,FALSE)</f>
        <v>8879433174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60</v>
      </c>
      <c r="B841" t="s">
        <v>887</v>
      </c>
      <c r="C841">
        <v>9820001822</v>
      </c>
      <c r="D841" t="str">
        <f>_xlfn.IFNA(VLOOKUP(C841,UpdateLogToUse!A:D,4,FALSE),"Not Called")</f>
        <v>Not Called</v>
      </c>
      <c r="E841" t="str">
        <f>IF(ISNA(VLOOKUP(C841,Registration!A:A,1,FALSE)),"Not Registered","Registered")</f>
        <v>Not Registered</v>
      </c>
      <c r="F841">
        <f>VLOOKUP(A841,'Karykarta List'!A:B,2,FALSE)</f>
        <v>9820779873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1337</v>
      </c>
      <c r="B842" t="s">
        <v>888</v>
      </c>
      <c r="C842">
        <v>9324197678</v>
      </c>
      <c r="D842" t="str">
        <f>_xlfn.IFNA(VLOOKUP(C842,UpdateLogToUse!A:D,4,FALSE),"Not Called")</f>
        <v>Not Called</v>
      </c>
      <c r="E842" t="str">
        <f>IF(ISNA(VLOOKUP(C842,Registration!A:A,1,FALSE)),"Not Registered","Registered")</f>
        <v>Not Registered</v>
      </c>
      <c r="F842">
        <f>VLOOKUP(A842,'Karykarta List'!A:B,2,FALSE)</f>
        <v>9820130862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77</v>
      </c>
      <c r="B843" t="s">
        <v>889</v>
      </c>
      <c r="C843">
        <v>9699435989</v>
      </c>
      <c r="D843" t="str">
        <f>_xlfn.IFNA(VLOOKUP(C843,UpdateLogToUse!A:D,4,FALSE),"Not Called")</f>
        <v>Not Called</v>
      </c>
      <c r="E843" t="str">
        <f>IF(ISNA(VLOOKUP(C843,Registration!A:A,1,FALSE)),"Not Registered","Registered")</f>
        <v>Not Registered</v>
      </c>
      <c r="F843">
        <f>VLOOKUP(A843,'Karykarta List'!A:B,2,FALSE)</f>
        <v>9029105124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70</v>
      </c>
      <c r="B844" t="s">
        <v>890</v>
      </c>
      <c r="C844">
        <v>9867683546</v>
      </c>
      <c r="D844" t="str">
        <f>_xlfn.IFNA(VLOOKUP(C844,UpdateLogToUse!A:D,4,FALSE),"Not Called")</f>
        <v>Not Called</v>
      </c>
      <c r="E844" t="str">
        <f>IF(ISNA(VLOOKUP(C844,Registration!A:A,1,FALSE)),"Not Registered","Registered")</f>
        <v>Not Registered</v>
      </c>
      <c r="F844">
        <f>VLOOKUP(A844,'Karykarta List'!A:B,2,FALSE)</f>
        <v>9405263833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81</v>
      </c>
      <c r="B845" t="s">
        <v>891</v>
      </c>
      <c r="C845">
        <v>9923332601</v>
      </c>
      <c r="D845" t="str">
        <f>_xlfn.IFNA(VLOOKUP(C845,UpdateLogToUse!A:D,4,FALSE),"Not Called")</f>
        <v>Not Called</v>
      </c>
      <c r="E845" t="str">
        <f>IF(ISNA(VLOOKUP(C845,Registration!A:A,1,FALSE)),"Not Registered","Registered")</f>
        <v>Not Registered</v>
      </c>
      <c r="F845">
        <f>VLOOKUP(A845,'Karykarta List'!A:B,2,FALSE)</f>
        <v>9824100412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23</v>
      </c>
      <c r="B846" t="s">
        <v>892</v>
      </c>
      <c r="C846">
        <v>9892506964</v>
      </c>
      <c r="D846" t="str">
        <f>_xlfn.IFNA(VLOOKUP(C846,UpdateLogToUse!A:D,4,FALSE),"Not Called")</f>
        <v>Not Called</v>
      </c>
      <c r="E846" t="str">
        <f>IF(ISNA(VLOOKUP(C846,Registration!A:A,1,FALSE)),"Not Registered","Registered")</f>
        <v>Not Registered</v>
      </c>
      <c r="F846">
        <f>VLOOKUP(A846,'Karykarta List'!A:B,2,FALSE)</f>
        <v>7977439717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41</v>
      </c>
      <c r="B847" t="s">
        <v>893</v>
      </c>
      <c r="C847">
        <v>9819191830</v>
      </c>
      <c r="D847" t="str">
        <f>_xlfn.IFNA(VLOOKUP(C847,UpdateLogToUse!A:D,4,FALSE),"Not Called")</f>
        <v>Not Called</v>
      </c>
      <c r="E847" t="str">
        <f>IF(ISNA(VLOOKUP(C847,Registration!A:A,1,FALSE)),"Not Registered","Registered")</f>
        <v>Not Registered</v>
      </c>
      <c r="F847">
        <f>VLOOKUP(A847,'Karykarta List'!A:B,2,FALSE)</f>
        <v>8058973809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797</v>
      </c>
      <c r="B848" t="s">
        <v>894</v>
      </c>
      <c r="C848">
        <v>9920135003</v>
      </c>
      <c r="D848" t="str">
        <f>_xlfn.IFNA(VLOOKUP(C848,UpdateLogToUse!A:D,4,FALSE),"Not Called")</f>
        <v>Phone Busy</v>
      </c>
      <c r="E848" t="str">
        <f>IF(ISNA(VLOOKUP(C848,Registration!A:A,1,FALSE)),"Not Registered","Registered")</f>
        <v>Not Registered</v>
      </c>
      <c r="F848">
        <f>VLOOKUP(A848,'Karykarta List'!A:B,2,FALSE)</f>
        <v>9320309630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785</v>
      </c>
      <c r="B849" t="s">
        <v>895</v>
      </c>
      <c r="C849">
        <v>9930717024</v>
      </c>
      <c r="D849" t="str">
        <f>_xlfn.IFNA(VLOOKUP(C849,UpdateLogToUse!A:D,4,FALSE),"Not Called")</f>
        <v>Not Called</v>
      </c>
      <c r="E849" t="str">
        <f>IF(ISNA(VLOOKUP(C849,Registration!A:A,1,FALSE)),"Not Registered","Registered")</f>
        <v>Not Registered</v>
      </c>
      <c r="F849">
        <f>VLOOKUP(A849,'Karykarta List'!A:B,2,FALSE)</f>
        <v>9321532327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83</v>
      </c>
      <c r="B850" t="s">
        <v>896</v>
      </c>
      <c r="C850">
        <v>9920357523</v>
      </c>
      <c r="D850" t="str">
        <f>_xlfn.IFNA(VLOOKUP(C850,UpdateLogToUse!A:D,4,FALSE),"Not Called")</f>
        <v>Not Called</v>
      </c>
      <c r="E850" t="str">
        <f>IF(ISNA(VLOOKUP(C850,Registration!A:A,1,FALSE)),"Not Registered","Registered")</f>
        <v>Not Registered</v>
      </c>
      <c r="F850">
        <f>VLOOKUP(A850,'Karykarta List'!A:B,2,FALSE)</f>
        <v>9225211083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799</v>
      </c>
      <c r="B851" t="s">
        <v>897</v>
      </c>
      <c r="C851">
        <v>9819621190</v>
      </c>
      <c r="D851" t="str">
        <f>_xlfn.IFNA(VLOOKUP(C851,UpdateLogToUse!A:D,4,FALSE),"Not Called")</f>
        <v>Confirmed Presence</v>
      </c>
      <c r="E851" t="str">
        <f>IF(ISNA(VLOOKUP(C851,Registration!A:A,1,FALSE)),"Not Registered","Registered")</f>
        <v>Not Registered</v>
      </c>
      <c r="F851">
        <f>VLOOKUP(A851,'Karykarta List'!A:B,2,FALSE)</f>
        <v>9324233820</v>
      </c>
      <c r="G851" t="str">
        <f>_xlfn.IFNA(VLOOKUP(C851,CallLog_Latest!A:H,8,FALSE),"")</f>
        <v/>
      </c>
      <c r="H851" t="str">
        <f>VLOOKUP(C851,[1]Sheet1!$F:$H,3,FALSE)</f>
        <v>C-41  Sitasadan  New Saibaba Nagar</v>
      </c>
    </row>
    <row r="852" spans="1:8" x14ac:dyDescent="0.25">
      <c r="A852" t="s">
        <v>805</v>
      </c>
      <c r="B852" t="s">
        <v>898</v>
      </c>
      <c r="C852">
        <v>9833025492</v>
      </c>
      <c r="D852">
        <f>_xlfn.IFNA(VLOOKUP(C852,UpdateLogToUse!A:D,4,FALSE),"Not Called")</f>
        <v>0</v>
      </c>
      <c r="E852" t="str">
        <f>IF(ISNA(VLOOKUP(C852,Registration!A:A,1,FALSE)),"Not Registered","Registered")</f>
        <v>Not Registered</v>
      </c>
      <c r="F852">
        <f>VLOOKUP(A852,'Karykarta List'!A:B,2,FALSE)</f>
        <v>9320770849</v>
      </c>
      <c r="G852" t="str">
        <f>_xlfn.IFNA(VLOOKUP(C852,CallLog_Latest!A:H,8,FALSE),"")</f>
        <v/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95</v>
      </c>
      <c r="B853" t="s">
        <v>899</v>
      </c>
      <c r="C853">
        <v>9821546649</v>
      </c>
      <c r="D853" t="str">
        <f>_xlfn.IFNA(VLOOKUP(C853,UpdateLogToUse!A:D,4,FALSE),"Not Called")</f>
        <v>May be Attending</v>
      </c>
      <c r="E853" t="str">
        <f>IF(ISNA(VLOOKUP(C853,Registration!A:A,1,FALSE)),"Not Registered","Registered")</f>
        <v>Not Registered</v>
      </c>
      <c r="F853">
        <f>VLOOKUP(A853,'Karykarta List'!A:B,2,FALSE)</f>
        <v>9424584007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55</v>
      </c>
      <c r="B854" t="s">
        <v>900</v>
      </c>
      <c r="C854">
        <v>9821064741</v>
      </c>
      <c r="D854" t="str">
        <f>_xlfn.IFNA(VLOOKUP(C854,UpdateLogToUse!A:D,4,FALSE),"Not Called")</f>
        <v>Not Called</v>
      </c>
      <c r="E854" t="str">
        <f>IF(ISNA(VLOOKUP(C854,Registration!A:A,1,FALSE)),"Not Registered","Registered")</f>
        <v>Not Registered</v>
      </c>
      <c r="F854">
        <f>VLOOKUP(A854,'Karykarta List'!A:B,2,FALSE)</f>
        <v>9819083540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29</v>
      </c>
      <c r="B855" t="s">
        <v>901</v>
      </c>
      <c r="C855">
        <v>9820305235</v>
      </c>
      <c r="D855" t="str">
        <f>_xlfn.IFNA(VLOOKUP(C855,UpdateLogToUse!A:D,4,FALSE),"Not Called")</f>
        <v>Not Called</v>
      </c>
      <c r="E855" t="str">
        <f>IF(ISNA(VLOOKUP(C855,Registration!A:A,1,FALSE)),"Not Registered","Registered")</f>
        <v>Not Registered</v>
      </c>
      <c r="F855">
        <f>VLOOKUP(A855,'Karykarta List'!A:B,2,FALSE)</f>
        <v>9819364345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1306</v>
      </c>
      <c r="B856" t="s">
        <v>793</v>
      </c>
      <c r="C856">
        <v>9892303256</v>
      </c>
      <c r="D856" t="str">
        <f>_xlfn.IFNA(VLOOKUP(C856,UpdateLogToUse!A:D,4,FALSE),"Not Called")</f>
        <v>Not Coming</v>
      </c>
      <c r="E856" t="str">
        <f>IF(ISNA(VLOOKUP(C856,Registration!A:A,1,FALSE)),"Not Registered","Registered")</f>
        <v>Not Registered</v>
      </c>
      <c r="F856">
        <f>VLOOKUP(A856,'Karykarta List'!A:B,2,FALSE)</f>
        <v>7977147591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789</v>
      </c>
      <c r="B857" t="s">
        <v>902</v>
      </c>
      <c r="C857">
        <v>9833200880</v>
      </c>
      <c r="D857" t="str">
        <f>_xlfn.IFNA(VLOOKUP(C857,UpdateLogToUse!A:D,4,FALSE),"Not Called")</f>
        <v>Not Called</v>
      </c>
      <c r="E857" t="str">
        <f>IF(ISNA(VLOOKUP(C857,Registration!A:A,1,FALSE)),"Not Registered","Registered")</f>
        <v>Not Registered</v>
      </c>
      <c r="F857">
        <f>VLOOKUP(A857,'Karykarta List'!A:B,2,FALSE)</f>
        <v>9702260383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11</v>
      </c>
      <c r="B858" t="s">
        <v>903</v>
      </c>
      <c r="C858">
        <v>9323381117</v>
      </c>
      <c r="D858" t="str">
        <f>_xlfn.IFNA(VLOOKUP(C858,UpdateLogToUse!A:D,4,FALSE),"Not Called")</f>
        <v>Not Called</v>
      </c>
      <c r="E858" t="str">
        <f>IF(ISNA(VLOOKUP(C858,Registration!A:A,1,FALSE)),"Not Registered","Registered")</f>
        <v>Not Registered</v>
      </c>
      <c r="F858">
        <f>VLOOKUP(A858,'Karykarta List'!A:B,2,FALSE)</f>
        <v>9322598681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1308</v>
      </c>
      <c r="B859" t="s">
        <v>904</v>
      </c>
      <c r="C859">
        <v>9920188284</v>
      </c>
      <c r="D859" t="str">
        <f>_xlfn.IFNA(VLOOKUP(C859,UpdateLogToUse!A:D,4,FALSE),"Not Called")</f>
        <v>Not Called</v>
      </c>
      <c r="E859" t="str">
        <f>IF(ISNA(VLOOKUP(C859,Registration!A:A,1,FALSE)),"Not Registered","Registered")</f>
        <v>Not Registered</v>
      </c>
      <c r="F859">
        <f>VLOOKUP(A859,'Karykarta List'!A:B,2,FALSE)</f>
        <v>9022922620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39</v>
      </c>
      <c r="B860" t="s">
        <v>905</v>
      </c>
      <c r="C860">
        <v>9920806808</v>
      </c>
      <c r="D860" t="str">
        <f>_xlfn.IFNA(VLOOKUP(C860,UpdateLogToUse!A:D,4,FALSE),"Not Called")</f>
        <v>Not Called</v>
      </c>
      <c r="E860" t="str">
        <f>IF(ISNA(VLOOKUP(C860,Registration!A:A,1,FALSE)),"Not Registered","Registered")</f>
        <v>Not Registered</v>
      </c>
      <c r="F860">
        <f>VLOOKUP(A860,'Karykarta List'!A:B,2,FALSE)</f>
        <v>9820505363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21</v>
      </c>
      <c r="B861" t="s">
        <v>906</v>
      </c>
      <c r="C861">
        <v>9969412335</v>
      </c>
      <c r="D861" t="str">
        <f>_xlfn.IFNA(VLOOKUP(C861,UpdateLogToUse!A:D,4,FALSE),"Not Called")</f>
        <v>Not Called</v>
      </c>
      <c r="E861" t="str">
        <f>IF(ISNA(VLOOKUP(C861,Registration!A:A,1,FALSE)),"Not Registered","Registered")</f>
        <v>Not Registered</v>
      </c>
      <c r="F861">
        <f>VLOOKUP(A861,'Karykarta List'!A:B,2,FALSE)</f>
        <v>9820636392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31</v>
      </c>
      <c r="B862" t="s">
        <v>907</v>
      </c>
      <c r="C862">
        <v>9757120313</v>
      </c>
      <c r="D862" t="str">
        <f>_xlfn.IFNA(VLOOKUP(C862,UpdateLogToUse!A:D,4,FALSE),"Not Called")</f>
        <v>Not Called</v>
      </c>
      <c r="E862" t="str">
        <f>IF(ISNA(VLOOKUP(C862,Registration!A:A,1,FALSE)),"Not Registered","Registered")</f>
        <v>Not Registered</v>
      </c>
      <c r="F862">
        <f>VLOOKUP(A862,'Karykarta List'!A:B,2,FALSE)</f>
        <v>9869064553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49</v>
      </c>
      <c r="B863" t="s">
        <v>908</v>
      </c>
      <c r="C863">
        <v>9833229112</v>
      </c>
      <c r="D863" t="str">
        <f>_xlfn.IFNA(VLOOKUP(C863,UpdateLogToUse!A:D,4,FALSE),"Not Called")</f>
        <v>Not Reachable</v>
      </c>
      <c r="E863" t="str">
        <f>IF(ISNA(VLOOKUP(C863,Registration!A:A,1,FALSE)),"Not Registered","Registered")</f>
        <v>Not Registered</v>
      </c>
      <c r="F863">
        <f>VLOOKUP(A863,'Karykarta List'!A:B,2,FALSE)</f>
        <v>9322206108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35</v>
      </c>
      <c r="B864" t="s">
        <v>799</v>
      </c>
      <c r="C864">
        <v>9324233820</v>
      </c>
      <c r="D864" t="str">
        <f>_xlfn.IFNA(VLOOKUP(C864,UpdateLogToUse!A:D,4,FALSE),"Not Called")</f>
        <v>Not Called</v>
      </c>
      <c r="E864" t="str">
        <f>IF(ISNA(VLOOKUP(C864,Registration!A:A,1,FALSE)),"Not Registered","Registered")</f>
        <v>Not Registered</v>
      </c>
      <c r="F864">
        <f>VLOOKUP(A864,'Karykarta List'!A:B,2,FALSE)</f>
        <v>9833705425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17</v>
      </c>
      <c r="B865" t="s">
        <v>909</v>
      </c>
      <c r="C865">
        <v>9867357680</v>
      </c>
      <c r="D865" t="str">
        <f>_xlfn.IFNA(VLOOKUP(C865,UpdateLogToUse!A:D,4,FALSE),"Not Called")</f>
        <v>Not Called</v>
      </c>
      <c r="E865" t="str">
        <f>IF(ISNA(VLOOKUP(C865,Registration!A:A,1,FALSE)),"Not Registered","Registered")</f>
        <v>Not Registered</v>
      </c>
      <c r="F865">
        <f>VLOOKUP(A865,'Karykarta List'!A:B,2,FALSE)</f>
        <v>9869798705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23</v>
      </c>
      <c r="B866" t="s">
        <v>910</v>
      </c>
      <c r="C866">
        <v>9167606699</v>
      </c>
      <c r="D866" t="str">
        <f>_xlfn.IFNA(VLOOKUP(C866,UpdateLogToUse!A:D,4,FALSE),"Not Called")</f>
        <v>Not Called</v>
      </c>
      <c r="E866" t="str">
        <f>IF(ISNA(VLOOKUP(C866,Registration!A:A,1,FALSE)),"Not Registered","Registered")</f>
        <v>Not Registered</v>
      </c>
      <c r="F866">
        <f>VLOOKUP(A866,'Karykarta List'!A:B,2,FALSE)</f>
        <v>7977439717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43</v>
      </c>
      <c r="B867" t="s">
        <v>911</v>
      </c>
      <c r="C867">
        <v>9819929206</v>
      </c>
      <c r="D867" t="str">
        <f>_xlfn.IFNA(VLOOKUP(C867,UpdateLogToUse!A:D,4,FALSE),"Not Called")</f>
        <v>May be Attending</v>
      </c>
      <c r="E867" t="str">
        <f>IF(ISNA(VLOOKUP(C867,Registration!A:A,1,FALSE)),"Not Registered","Registered")</f>
        <v>Not Registered</v>
      </c>
      <c r="F867">
        <f>VLOOKUP(A867,'Karykarta List'!A:B,2,FALSE)</f>
        <v>9320683201</v>
      </c>
      <c r="G867" t="str">
        <f>_xlfn.IFNA(VLOOKUP(C867,CallLog_Latest!A:H,8,FALSE),"")</f>
        <v/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57</v>
      </c>
      <c r="B868" t="s">
        <v>912</v>
      </c>
      <c r="C868">
        <v>9820089651</v>
      </c>
      <c r="D868" t="str">
        <f>_xlfn.IFNA(VLOOKUP(C868,UpdateLogToUse!A:D,4,FALSE),"Not Called")</f>
        <v>May be Attending</v>
      </c>
      <c r="E868" t="str">
        <f>IF(ISNA(VLOOKUP(C868,Registration!A:A,1,FALSE)),"Not Registered","Registered")</f>
        <v>Not Registered</v>
      </c>
      <c r="F868">
        <f>VLOOKUP(A868,'Karykarta List'!A:B,2,FALSE)</f>
        <v>9101910341</v>
      </c>
      <c r="G868" t="str">
        <f>_xlfn.IFNA(VLOOKUP(C868,CallLog_Latest!A:H,8,FALSE),"")</f>
        <v/>
      </c>
      <c r="H868" t="str">
        <f>VLOOKUP(C868,[1]Sheet1!$F:$H,3,FALSE)</f>
        <v>B-303, Lubna Bldg, Jankalyan Nagar  Marve Road, Malad (W</v>
      </c>
    </row>
    <row r="869" spans="1:8" x14ac:dyDescent="0.25">
      <c r="A869" t="s">
        <v>72</v>
      </c>
      <c r="B869" t="s">
        <v>913</v>
      </c>
      <c r="C869">
        <v>9820089651</v>
      </c>
      <c r="D869" t="str">
        <f>_xlfn.IFNA(VLOOKUP(C869,UpdateLogToUse!A:D,4,FALSE),"Not Called")</f>
        <v>May be Attending</v>
      </c>
      <c r="E869" t="str">
        <f>IF(ISNA(VLOOKUP(C869,Registration!A:A,1,FALSE)),"Not Registered","Registered")</f>
        <v>Not Registered</v>
      </c>
      <c r="F869">
        <f>VLOOKUP(A869,'Karykarta List'!A:B,2,FALSE)</f>
        <v>8879433174</v>
      </c>
      <c r="G869" t="str">
        <f>_xlfn.IFNA(VLOOKUP(C869,CallLog_Latest!A:H,8,FALSE),"")</f>
        <v/>
      </c>
      <c r="H869" t="str">
        <f>VLOOKUP(C869,[1]Sheet1!$F:$H,3,FALSE)</f>
        <v>B-303, Lubna Bldg, Jankalyan Nagar  Marve Road, Malad (W</v>
      </c>
    </row>
    <row r="870" spans="1:8" x14ac:dyDescent="0.25">
      <c r="A870" t="s">
        <v>60</v>
      </c>
      <c r="B870" t="s">
        <v>914</v>
      </c>
      <c r="C870">
        <v>9323949574</v>
      </c>
      <c r="D870" t="str">
        <f>_xlfn.IFNA(VLOOKUP(C870,UpdateLogToUse!A:D,4,FALSE),"Not Called")</f>
        <v>Not Reachable</v>
      </c>
      <c r="E870" t="str">
        <f>IF(ISNA(VLOOKUP(C870,Registration!A:A,1,FALSE)),"Not Registered","Registered")</f>
        <v>Not Registered</v>
      </c>
      <c r="F870">
        <f>VLOOKUP(A870,'Karykarta List'!A:B,2,FALSE)</f>
        <v>9820779873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1337</v>
      </c>
      <c r="B871" t="s">
        <v>915</v>
      </c>
      <c r="C871">
        <v>9892381919</v>
      </c>
      <c r="D871" t="str">
        <f>_xlfn.IFNA(VLOOKUP(C871,UpdateLogToUse!A:D,4,FALSE),"Not Called")</f>
        <v>Not Called</v>
      </c>
      <c r="E871" t="str">
        <f>IF(ISNA(VLOOKUP(C871,Registration!A:A,1,FALSE)),"Not Registered","Registered")</f>
        <v>Not Registered</v>
      </c>
      <c r="F871">
        <f>VLOOKUP(A871,'Karykarta List'!A:B,2,FALSE)</f>
        <v>9820130862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77</v>
      </c>
      <c r="B872" t="s">
        <v>916</v>
      </c>
      <c r="C872">
        <v>9757395943</v>
      </c>
      <c r="D872" t="str">
        <f>_xlfn.IFNA(VLOOKUP(C872,UpdateLogToUse!A:D,4,FALSE),"Not Called")</f>
        <v>Not Called</v>
      </c>
      <c r="E872" t="str">
        <f>IF(ISNA(VLOOKUP(C872,Registration!A:A,1,FALSE)),"Not Registered","Registered")</f>
        <v>Not Registered</v>
      </c>
      <c r="F872">
        <f>VLOOKUP(A872,'Karykarta List'!A:B,2,FALSE)</f>
        <v>9029105124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70</v>
      </c>
      <c r="B873" t="s">
        <v>917</v>
      </c>
      <c r="C873">
        <v>9833117857</v>
      </c>
      <c r="D873" t="str">
        <f>_xlfn.IFNA(VLOOKUP(C873,UpdateLogToUse!A:D,4,FALSE),"Not Called")</f>
        <v>Not Called</v>
      </c>
      <c r="E873" t="str">
        <f>IF(ISNA(VLOOKUP(C873,Registration!A:A,1,FALSE)),"Not Registered","Registered")</f>
        <v>Not Registered</v>
      </c>
      <c r="F873">
        <f>VLOOKUP(A873,'Karykarta List'!A:B,2,FALSE)</f>
        <v>9405263833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81</v>
      </c>
      <c r="B874" t="s">
        <v>803</v>
      </c>
      <c r="C874">
        <v>9323826288</v>
      </c>
      <c r="D874" t="str">
        <f>_xlfn.IFNA(VLOOKUP(C874,UpdateLogToUse!A:D,4,FALSE),"Not Called")</f>
        <v>Not Called</v>
      </c>
      <c r="E874" t="str">
        <f>IF(ISNA(VLOOKUP(C874,Registration!A:A,1,FALSE)),"Not Registered","Registered")</f>
        <v>Not Registered</v>
      </c>
      <c r="F874">
        <f>VLOOKUP(A874,'Karykarta List'!A:B,2,FALSE)</f>
        <v>9824100412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23</v>
      </c>
      <c r="B875" t="s">
        <v>918</v>
      </c>
      <c r="C875">
        <v>7710980314</v>
      </c>
      <c r="D875" t="str">
        <f>_xlfn.IFNA(VLOOKUP(C875,UpdateLogToUse!A:D,4,FALSE),"Not Called")</f>
        <v>Not Called</v>
      </c>
      <c r="E875" t="str">
        <f>IF(ISNA(VLOOKUP(C875,Registration!A:A,1,FALSE)),"Not Registered","Registered")</f>
        <v>Not Registered</v>
      </c>
      <c r="F875">
        <f>VLOOKUP(A875,'Karykarta List'!A:B,2,FALSE)</f>
        <v>7977439717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41</v>
      </c>
      <c r="B876" t="s">
        <v>919</v>
      </c>
      <c r="C876">
        <v>8108117820</v>
      </c>
      <c r="D876" t="str">
        <f>_xlfn.IFNA(VLOOKUP(C876,UpdateLogToUse!A:D,4,FALSE),"Not Called")</f>
        <v>Not Called</v>
      </c>
      <c r="E876" t="str">
        <f>IF(ISNA(VLOOKUP(C876,Registration!A:A,1,FALSE)),"Not Registered","Registered")</f>
        <v>Not Registered</v>
      </c>
      <c r="F876">
        <f>VLOOKUP(A876,'Karykarta List'!A:B,2,FALSE)</f>
        <v>8058973809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797</v>
      </c>
      <c r="B877" t="s">
        <v>920</v>
      </c>
      <c r="C877">
        <v>9322905797</v>
      </c>
      <c r="D877" t="str">
        <f>_xlfn.IFNA(VLOOKUP(C877,UpdateLogToUse!A:D,4,FALSE),"Not Called")</f>
        <v>Not Called</v>
      </c>
      <c r="E877" t="str">
        <f>IF(ISNA(VLOOKUP(C877,Registration!A:A,1,FALSE)),"Not Registered","Registered")</f>
        <v>Not Registered</v>
      </c>
      <c r="F877">
        <f>VLOOKUP(A877,'Karykarta List'!A:B,2,FALSE)</f>
        <v>9320309630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785</v>
      </c>
      <c r="B878" t="s">
        <v>921</v>
      </c>
      <c r="C878">
        <v>7303060691</v>
      </c>
      <c r="D878" t="str">
        <f>_xlfn.IFNA(VLOOKUP(C878,UpdateLogToUse!A:D,4,FALSE),"Not Called")</f>
        <v>Not Called</v>
      </c>
      <c r="E878" t="str">
        <f>IF(ISNA(VLOOKUP(C878,Registration!A:A,1,FALSE)),"Not Registered","Registered")</f>
        <v>Not Registered</v>
      </c>
      <c r="F878">
        <f>VLOOKUP(A878,'Karykarta List'!A:B,2,FALSE)</f>
        <v>9321532327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83</v>
      </c>
      <c r="B879" t="s">
        <v>801</v>
      </c>
      <c r="C879">
        <v>8879333966</v>
      </c>
      <c r="D879" t="str">
        <f>_xlfn.IFNA(VLOOKUP(C879,UpdateLogToUse!A:D,4,FALSE),"Not Called")</f>
        <v>Not Called</v>
      </c>
      <c r="E879" t="str">
        <f>IF(ISNA(VLOOKUP(C879,Registration!A:A,1,FALSE)),"Not Registered","Registered")</f>
        <v>Not Registered</v>
      </c>
      <c r="F879">
        <f>VLOOKUP(A879,'Karykarta List'!A:B,2,FALSE)</f>
        <v>9225211083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799</v>
      </c>
      <c r="B880" t="s">
        <v>922</v>
      </c>
      <c r="C880">
        <v>9224374782</v>
      </c>
      <c r="D880" t="str">
        <f>_xlfn.IFNA(VLOOKUP(C880,UpdateLogToUse!A:D,4,FALSE),"Not Called")</f>
        <v>Not Called</v>
      </c>
      <c r="E880" t="str">
        <f>IF(ISNA(VLOOKUP(C880,Registration!A:A,1,FALSE)),"Not Registered","Registered")</f>
        <v>Not Registered</v>
      </c>
      <c r="F880">
        <f>VLOOKUP(A880,'Karykarta List'!A:B,2,FALSE)</f>
        <v>9324233820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805</v>
      </c>
      <c r="B881" t="s">
        <v>923</v>
      </c>
      <c r="C881">
        <v>9819249666</v>
      </c>
      <c r="D881" t="str">
        <f>_xlfn.IFNA(VLOOKUP(C881,UpdateLogToUse!A:D,4,FALSE),"Not Called")</f>
        <v>Not Coming</v>
      </c>
      <c r="E881" t="str">
        <f>IF(ISNA(VLOOKUP(C881,Registration!A:A,1,FALSE)),"Not Registered","Registered")</f>
        <v>Not Registered</v>
      </c>
      <c r="F881">
        <f>VLOOKUP(A881,'Karykarta List'!A:B,2,FALSE)</f>
        <v>9320770849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95</v>
      </c>
      <c r="B882" t="s">
        <v>924</v>
      </c>
      <c r="C882">
        <v>8652071304</v>
      </c>
      <c r="D882" t="str">
        <f>_xlfn.IFNA(VLOOKUP(C882,UpdateLogToUse!A:D,4,FALSE),"Not Called")</f>
        <v>Not Reachable</v>
      </c>
      <c r="E882" t="str">
        <f>IF(ISNA(VLOOKUP(C882,Registration!A:A,1,FALSE)),"Not Registered","Registered")</f>
        <v>Not Registered</v>
      </c>
      <c r="F882">
        <f>VLOOKUP(A882,'Karykarta List'!A:B,2,FALSE)</f>
        <v>9424584007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55</v>
      </c>
      <c r="B883" t="s">
        <v>925</v>
      </c>
      <c r="C883">
        <v>9320008083</v>
      </c>
      <c r="D883" t="str">
        <f>_xlfn.IFNA(VLOOKUP(C883,UpdateLogToUse!A:D,4,FALSE),"Not Called")</f>
        <v>Not Called</v>
      </c>
      <c r="E883" t="str">
        <f>IF(ISNA(VLOOKUP(C883,Registration!A:A,1,FALSE)),"Not Registered","Registered")</f>
        <v>Not Registered</v>
      </c>
      <c r="F883">
        <f>VLOOKUP(A883,'Karykarta List'!A:B,2,FALSE)</f>
        <v>9819083540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29</v>
      </c>
      <c r="B884" t="s">
        <v>926</v>
      </c>
      <c r="C884">
        <v>9022674567</v>
      </c>
      <c r="D884" t="str">
        <f>_xlfn.IFNA(VLOOKUP(C884,UpdateLogToUse!A:D,4,FALSE),"Not Called")</f>
        <v>Not Called</v>
      </c>
      <c r="E884" t="str">
        <f>IF(ISNA(VLOOKUP(C884,Registration!A:A,1,FALSE)),"Not Registered","Registered")</f>
        <v>Not Registered</v>
      </c>
      <c r="F884">
        <f>VLOOKUP(A884,'Karykarta List'!A:B,2,FALSE)</f>
        <v>9819364345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1306</v>
      </c>
      <c r="B885" t="s">
        <v>927</v>
      </c>
      <c r="C885">
        <v>9867736766</v>
      </c>
      <c r="D885" t="str">
        <f>_xlfn.IFNA(VLOOKUP(C885,UpdateLogToUse!A:D,4,FALSE),"Not Called")</f>
        <v>Not Called</v>
      </c>
      <c r="E885" t="str">
        <f>IF(ISNA(VLOOKUP(C885,Registration!A:A,1,FALSE)),"Not Registered","Registered")</f>
        <v>Not Registered</v>
      </c>
      <c r="F885">
        <f>VLOOKUP(A885,'Karykarta List'!A:B,2,FALSE)</f>
        <v>7977147591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789</v>
      </c>
      <c r="B886" t="s">
        <v>928</v>
      </c>
      <c r="C886">
        <v>9912062970</v>
      </c>
      <c r="D886" t="str">
        <f>_xlfn.IFNA(VLOOKUP(C886,UpdateLogToUse!A:D,4,FALSE),"Not Called")</f>
        <v>Not Reachable</v>
      </c>
      <c r="E886" t="str">
        <f>IF(ISNA(VLOOKUP(C886,Registration!A:A,1,FALSE)),"Not Registered","Registered")</f>
        <v>Not Registered</v>
      </c>
      <c r="F886">
        <f>VLOOKUP(A886,'Karykarta List'!A:B,2,FALSE)</f>
        <v>9702260383</v>
      </c>
      <c r="G886" t="str">
        <f>_xlfn.IFNA(VLOOKUP(C886,CallLog_Latest!A:H,8,FALSE),"")</f>
        <v/>
      </c>
      <c r="H886" t="str">
        <f>VLOOKUP(C886,[1]Sheet1!$F:$H,3,FALSE)</f>
        <v>Keshav Shiv Heights 1101  Pandit Solicitor Road Malad (E</v>
      </c>
    </row>
    <row r="887" spans="1:8" x14ac:dyDescent="0.25">
      <c r="A887" t="s">
        <v>11</v>
      </c>
      <c r="B887" t="s">
        <v>929</v>
      </c>
      <c r="C887">
        <v>9527814992</v>
      </c>
      <c r="D887" t="str">
        <f>_xlfn.IFNA(VLOOKUP(C887,UpdateLogToUse!A:D,4,FALSE),"Not Called")</f>
        <v>May be Attending</v>
      </c>
      <c r="E887" t="str">
        <f>IF(ISNA(VLOOKUP(C887,Registration!A:A,1,FALSE)),"Not Registered","Registered")</f>
        <v>Not Registered</v>
      </c>
      <c r="F887">
        <f>VLOOKUP(A887,'Karykarta List'!A:B,2,FALSE)</f>
        <v>9322598681</v>
      </c>
      <c r="G887" t="str">
        <f>_xlfn.IFNA(VLOOKUP(C887,CallLog_Latest!A:H,8,FALSE),"")</f>
        <v/>
      </c>
      <c r="H887" t="str">
        <f>VLOOKUP(C887,[1]Sheet1!$F:$H,3,FALSE)</f>
        <v>F - 423  Panchsheel 3  Raheja Township  Malad (E</v>
      </c>
    </row>
    <row r="888" spans="1:8" x14ac:dyDescent="0.25">
      <c r="A888" t="s">
        <v>1308</v>
      </c>
      <c r="B888" t="s">
        <v>930</v>
      </c>
      <c r="C888">
        <v>9769175454</v>
      </c>
      <c r="D888" t="str">
        <f>_xlfn.IFNA(VLOOKUP(C888,UpdateLogToUse!A:D,4,FALSE),"Not Called")</f>
        <v>Not Called</v>
      </c>
      <c r="E888" t="str">
        <f>IF(ISNA(VLOOKUP(C888,Registration!A:A,1,FALSE)),"Not Registered","Registered")</f>
        <v>Not Registered</v>
      </c>
      <c r="F888">
        <f>VLOOKUP(A888,'Karykarta List'!A:B,2,FALSE)</f>
        <v>9022922620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39</v>
      </c>
      <c r="B889" t="s">
        <v>931</v>
      </c>
      <c r="C889">
        <v>9892402914</v>
      </c>
      <c r="D889" t="str">
        <f>_xlfn.IFNA(VLOOKUP(C889,UpdateLogToUse!A:D,4,FALSE),"Not Called")</f>
        <v>Not Called</v>
      </c>
      <c r="E889" t="str">
        <f>IF(ISNA(VLOOKUP(C889,Registration!A:A,1,FALSE)),"Not Registered","Registered")</f>
        <v>Not Registered</v>
      </c>
      <c r="F889">
        <f>VLOOKUP(A889,'Karykarta List'!A:B,2,FALSE)</f>
        <v>9820505363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21</v>
      </c>
      <c r="B890" t="s">
        <v>932</v>
      </c>
      <c r="C890">
        <v>9322507723</v>
      </c>
      <c r="D890" t="str">
        <f>_xlfn.IFNA(VLOOKUP(C890,UpdateLogToUse!A:D,4,FALSE),"Not Called")</f>
        <v>Confirmed Presence</v>
      </c>
      <c r="E890" t="str">
        <f>IF(ISNA(VLOOKUP(C890,Registration!A:A,1,FALSE)),"Not Registered","Registered")</f>
        <v>Not Registered</v>
      </c>
      <c r="F890">
        <f>VLOOKUP(A890,'Karykarta List'!A:B,2,FALSE)</f>
        <v>9820636392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31</v>
      </c>
      <c r="B891" t="s">
        <v>933</v>
      </c>
      <c r="C891">
        <v>9819199305</v>
      </c>
      <c r="D891" t="str">
        <f>_xlfn.IFNA(VLOOKUP(C891,UpdateLogToUse!A:D,4,FALSE),"Not Called")</f>
        <v>Not Called</v>
      </c>
      <c r="E891" t="str">
        <f>IF(ISNA(VLOOKUP(C891,Registration!A:A,1,FALSE)),"Not Registered","Registered")</f>
        <v>Not Registered</v>
      </c>
      <c r="F891">
        <f>VLOOKUP(A891,'Karykarta List'!A:B,2,FALSE)</f>
        <v>9869064553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49</v>
      </c>
      <c r="B892" t="s">
        <v>934</v>
      </c>
      <c r="C892">
        <v>9833440518</v>
      </c>
      <c r="D892" t="str">
        <f>_xlfn.IFNA(VLOOKUP(C892,UpdateLogToUse!A:D,4,FALSE),"Not Called")</f>
        <v>Not Called</v>
      </c>
      <c r="E892" t="str">
        <f>IF(ISNA(VLOOKUP(C892,Registration!A:A,1,FALSE)),"Not Registered","Registered")</f>
        <v>Not Registered</v>
      </c>
      <c r="F892">
        <f>VLOOKUP(A892,'Karykarta List'!A:B,2,FALSE)</f>
        <v>9322206108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35</v>
      </c>
      <c r="B893" t="s">
        <v>935</v>
      </c>
      <c r="C893">
        <v>9619682260</v>
      </c>
      <c r="D893" t="str">
        <f>_xlfn.IFNA(VLOOKUP(C893,UpdateLogToUse!A:D,4,FALSE),"Not Called")</f>
        <v>Not Called</v>
      </c>
      <c r="E893" t="str">
        <f>IF(ISNA(VLOOKUP(C893,Registration!A:A,1,FALSE)),"Not Registered","Registered")</f>
        <v>Not Registered</v>
      </c>
      <c r="F893">
        <f>VLOOKUP(A893,'Karykarta List'!A:B,2,FALSE)</f>
        <v>9833705425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17</v>
      </c>
      <c r="B894" t="s">
        <v>936</v>
      </c>
      <c r="C894">
        <v>9619499911</v>
      </c>
      <c r="D894" t="str">
        <f>_xlfn.IFNA(VLOOKUP(C894,UpdateLogToUse!A:D,4,FALSE),"Not Called")</f>
        <v>Not Called</v>
      </c>
      <c r="E894" t="str">
        <f>IF(ISNA(VLOOKUP(C894,Registration!A:A,1,FALSE)),"Not Registered","Registered")</f>
        <v>Not Registered</v>
      </c>
      <c r="F894">
        <f>VLOOKUP(A894,'Karykarta List'!A:B,2,FALSE)</f>
        <v>9869798705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23</v>
      </c>
      <c r="B895" t="s">
        <v>81</v>
      </c>
      <c r="C895">
        <v>9824100412</v>
      </c>
      <c r="D895" t="str">
        <f>_xlfn.IFNA(VLOOKUP(C895,UpdateLogToUse!A:D,4,FALSE),"Not Called")</f>
        <v>Not Called</v>
      </c>
      <c r="E895" t="str">
        <f>IF(ISNA(VLOOKUP(C895,Registration!A:A,1,FALSE)),"Not Registered","Registered")</f>
        <v>Not Registered</v>
      </c>
      <c r="F895">
        <f>VLOOKUP(A895,'Karykarta List'!A:B,2,FALSE)</f>
        <v>7977439717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43</v>
      </c>
      <c r="B896" t="s">
        <v>937</v>
      </c>
      <c r="C896">
        <v>8976659695</v>
      </c>
      <c r="D896" t="str">
        <f>_xlfn.IFNA(VLOOKUP(C896,UpdateLogToUse!A:D,4,FALSE),"Not Called")</f>
        <v>Not Called</v>
      </c>
      <c r="E896" t="str">
        <f>IF(ISNA(VLOOKUP(C896,Registration!A:A,1,FALSE)),"Not Registered","Registered")</f>
        <v>Not Registered</v>
      </c>
      <c r="F896">
        <f>VLOOKUP(A896,'Karykarta List'!A:B,2,FALSE)</f>
        <v>9320683201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57</v>
      </c>
      <c r="B897" t="s">
        <v>938</v>
      </c>
      <c r="C897">
        <v>9323978051</v>
      </c>
      <c r="D897" t="str">
        <f>_xlfn.IFNA(VLOOKUP(C897,UpdateLogToUse!A:D,4,FALSE),"Not Called")</f>
        <v>Not Called</v>
      </c>
      <c r="E897" t="str">
        <f>IF(ISNA(VLOOKUP(C897,Registration!A:A,1,FALSE)),"Not Registered","Registered")</f>
        <v>Not Registered</v>
      </c>
      <c r="F897">
        <f>VLOOKUP(A897,'Karykarta List'!A:B,2,FALSE)</f>
        <v>9101910341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72</v>
      </c>
      <c r="B898" t="s">
        <v>939</v>
      </c>
      <c r="C898">
        <v>9920598986</v>
      </c>
      <c r="D898" t="str">
        <f>_xlfn.IFNA(VLOOKUP(C898,UpdateLogToUse!A:D,4,FALSE),"Not Called")</f>
        <v>Not Reachable</v>
      </c>
      <c r="E898" t="str">
        <f>IF(ISNA(VLOOKUP(C898,Registration!A:A,1,FALSE)),"Not Registered","Registered")</f>
        <v>Not Registered</v>
      </c>
      <c r="F898">
        <f>VLOOKUP(A898,'Karykarta List'!A:B,2,FALSE)</f>
        <v>8879433174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60</v>
      </c>
      <c r="B899" t="s">
        <v>940</v>
      </c>
      <c r="C899">
        <v>9022492300</v>
      </c>
      <c r="D899" t="str">
        <f>_xlfn.IFNA(VLOOKUP(C899,UpdateLogToUse!A:D,4,FALSE),"Not Called")</f>
        <v>Not Called</v>
      </c>
      <c r="E899" t="str">
        <f>IF(ISNA(VLOOKUP(C899,Registration!A:A,1,FALSE)),"Not Registered","Registered")</f>
        <v>Not Registered</v>
      </c>
      <c r="F899">
        <f>VLOOKUP(A899,'Karykarta List'!A:B,2,FALSE)</f>
        <v>9820779873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1337</v>
      </c>
      <c r="B900" t="s">
        <v>941</v>
      </c>
      <c r="C900">
        <v>9819402993</v>
      </c>
      <c r="D900" t="str">
        <f>_xlfn.IFNA(VLOOKUP(C900,UpdateLogToUse!A:D,4,FALSE),"Not Called")</f>
        <v>Not Called</v>
      </c>
      <c r="E900" t="str">
        <f>IF(ISNA(VLOOKUP(C900,Registration!A:A,1,FALSE)),"Not Registered","Registered")</f>
        <v>Not Registered</v>
      </c>
      <c r="F900">
        <f>VLOOKUP(A900,'Karykarta List'!A:B,2,FALSE)</f>
        <v>9820130862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77</v>
      </c>
      <c r="B901" t="s">
        <v>942</v>
      </c>
      <c r="C901">
        <v>9152711555</v>
      </c>
      <c r="D901" t="str">
        <f>_xlfn.IFNA(VLOOKUP(C901,UpdateLogToUse!A:D,4,FALSE),"Not Called")</f>
        <v>Not Called</v>
      </c>
      <c r="E901" t="str">
        <f>IF(ISNA(VLOOKUP(C901,Registration!A:A,1,FALSE)),"Not Registered","Registered")</f>
        <v>Not Registered</v>
      </c>
      <c r="F901">
        <f>VLOOKUP(A901,'Karykarta List'!A:B,2,FALSE)</f>
        <v>9029105124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70</v>
      </c>
      <c r="B902" t="s">
        <v>943</v>
      </c>
      <c r="C902">
        <v>9324748773</v>
      </c>
      <c r="D902" t="str">
        <f>_xlfn.IFNA(VLOOKUP(C902,UpdateLogToUse!A:D,4,FALSE),"Not Called")</f>
        <v>Not Called</v>
      </c>
      <c r="E902" t="str">
        <f>IF(ISNA(VLOOKUP(C902,Registration!A:A,1,FALSE)),"Not Registered","Registered")</f>
        <v>Not Registered</v>
      </c>
      <c r="F902">
        <f>VLOOKUP(A902,'Karykarta List'!A:B,2,FALSE)</f>
        <v>9405263833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81</v>
      </c>
      <c r="B903" t="s">
        <v>944</v>
      </c>
      <c r="C903">
        <v>9322177391</v>
      </c>
      <c r="D903">
        <f>_xlfn.IFNA(VLOOKUP(C903,UpdateLogToUse!A:D,4,FALSE),"Not Called")</f>
        <v>0</v>
      </c>
      <c r="E903" t="str">
        <f>IF(ISNA(VLOOKUP(C903,Registration!A:A,1,FALSE)),"Not Registered","Registered")</f>
        <v>Not Registered</v>
      </c>
      <c r="F903">
        <f>VLOOKUP(A903,'Karykarta List'!A:B,2,FALSE)</f>
        <v>9824100412</v>
      </c>
      <c r="G903" t="str">
        <f>_xlfn.IFNA(VLOOKUP(C903,CallLog_Latest!A:H,8,FALSE),"")</f>
        <v/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23</v>
      </c>
      <c r="B904" t="s">
        <v>945</v>
      </c>
      <c r="C904">
        <v>9820282322</v>
      </c>
      <c r="D904" t="str">
        <f>_xlfn.IFNA(VLOOKUP(C904,UpdateLogToUse!A:D,4,FALSE),"Not Called")</f>
        <v>Confirmed Presence</v>
      </c>
      <c r="E904" t="str">
        <f>IF(ISNA(VLOOKUP(C904,Registration!A:A,1,FALSE)),"Not Registered","Registered")</f>
        <v>Not Registered</v>
      </c>
      <c r="F904">
        <f>VLOOKUP(A904,'Karykarta List'!A:B,2,FALSE)</f>
        <v>7977439717</v>
      </c>
      <c r="G904" t="str">
        <f>_xlfn.IFNA(VLOOKUP(C904,CallLog_Latest!A:H,8,FALSE),"")</f>
        <v/>
      </c>
      <c r="H904" t="str">
        <f>VLOOKUP(C904,[1]Sheet1!$F:$H,3,FALSE)</f>
        <v>B/406  Ganga Building Rani Sati Marg</v>
      </c>
    </row>
    <row r="905" spans="1:8" x14ac:dyDescent="0.25">
      <c r="A905" t="s">
        <v>41</v>
      </c>
      <c r="B905" t="s">
        <v>946</v>
      </c>
      <c r="C905">
        <v>7506008954</v>
      </c>
      <c r="D905" t="str">
        <f>_xlfn.IFNA(VLOOKUP(C905,UpdateLogToUse!A:D,4,FALSE),"Not Called")</f>
        <v>Not Called</v>
      </c>
      <c r="E905" t="str">
        <f>IF(ISNA(VLOOKUP(C905,Registration!A:A,1,FALSE)),"Not Registered","Registered")</f>
        <v>Not Registered</v>
      </c>
      <c r="F905">
        <f>VLOOKUP(A905,'Karykarta List'!A:B,2,FALSE)</f>
        <v>8058973809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797</v>
      </c>
      <c r="B906" t="s">
        <v>947</v>
      </c>
      <c r="C906">
        <v>9869322774</v>
      </c>
      <c r="D906" t="str">
        <f>_xlfn.IFNA(VLOOKUP(C906,UpdateLogToUse!A:D,4,FALSE),"Not Called")</f>
        <v>Not Called</v>
      </c>
      <c r="E906" t="str">
        <f>IF(ISNA(VLOOKUP(C906,Registration!A:A,1,FALSE)),"Not Registered","Registered")</f>
        <v>Not Registered</v>
      </c>
      <c r="F906">
        <f>VLOOKUP(A906,'Karykarta List'!A:B,2,FALSE)</f>
        <v>9320309630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785</v>
      </c>
      <c r="B907" t="s">
        <v>948</v>
      </c>
      <c r="C907">
        <v>9969121458</v>
      </c>
      <c r="D907" t="str">
        <f>_xlfn.IFNA(VLOOKUP(C907,UpdateLogToUse!A:D,4,FALSE),"Not Called")</f>
        <v>Phone Busy</v>
      </c>
      <c r="E907" t="str">
        <f>IF(ISNA(VLOOKUP(C907,Registration!A:A,1,FALSE)),"Not Registered","Registered")</f>
        <v>Not Registered</v>
      </c>
      <c r="F907">
        <f>VLOOKUP(A907,'Karykarta List'!A:B,2,FALSE)</f>
        <v>9321532327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83</v>
      </c>
      <c r="B908" t="s">
        <v>949</v>
      </c>
      <c r="C908">
        <v>9869322774</v>
      </c>
      <c r="D908" t="str">
        <f>_xlfn.IFNA(VLOOKUP(C908,UpdateLogToUse!A:D,4,FALSE),"Not Called")</f>
        <v>Not Called</v>
      </c>
      <c r="E908" t="str">
        <f>IF(ISNA(VLOOKUP(C908,Registration!A:A,1,FALSE)),"Not Registered","Registered")</f>
        <v>Not Registered</v>
      </c>
      <c r="F908">
        <f>VLOOKUP(A908,'Karykarta List'!A:B,2,FALSE)</f>
        <v>9225211083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799</v>
      </c>
      <c r="B909" t="s">
        <v>950</v>
      </c>
      <c r="C909">
        <v>6375274794</v>
      </c>
      <c r="D909" t="str">
        <f>_xlfn.IFNA(VLOOKUP(C909,UpdateLogToUse!A:D,4,FALSE),"Not Called")</f>
        <v>Not Called</v>
      </c>
      <c r="E909" t="str">
        <f>IF(ISNA(VLOOKUP(C909,Registration!A:A,1,FALSE)),"Not Registered","Registered")</f>
        <v>Not Registered</v>
      </c>
      <c r="F909">
        <f>VLOOKUP(A909,'Karykarta List'!A:B,2,FALSE)</f>
        <v>9324233820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805</v>
      </c>
      <c r="B910" t="s">
        <v>951</v>
      </c>
      <c r="C910">
        <v>9820660286</v>
      </c>
      <c r="D910" t="str">
        <f>_xlfn.IFNA(VLOOKUP(C910,UpdateLogToUse!A:D,4,FALSE),"Not Called")</f>
        <v>Not Called</v>
      </c>
      <c r="E910" t="str">
        <f>IF(ISNA(VLOOKUP(C910,Registration!A:A,1,FALSE)),"Not Registered","Registered")</f>
        <v>Not Registered</v>
      </c>
      <c r="F910">
        <f>VLOOKUP(A910,'Karykarta List'!A:B,2,FALSE)</f>
        <v>9320770849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95</v>
      </c>
      <c r="B911" t="s">
        <v>952</v>
      </c>
      <c r="C911">
        <v>9930945971</v>
      </c>
      <c r="D911" t="str">
        <f>_xlfn.IFNA(VLOOKUP(C911,UpdateLogToUse!A:D,4,FALSE),"Not Called")</f>
        <v>Not Called</v>
      </c>
      <c r="E911" t="str">
        <f>IF(ISNA(VLOOKUP(C911,Registration!A:A,1,FALSE)),"Not Registered","Registered")</f>
        <v>Not Registered</v>
      </c>
      <c r="F911">
        <f>VLOOKUP(A911,'Karykarta List'!A:B,2,FALSE)</f>
        <v>9424584007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55</v>
      </c>
      <c r="B912" t="s">
        <v>953</v>
      </c>
      <c r="C912">
        <v>9819258331</v>
      </c>
      <c r="D912" t="str">
        <f>_xlfn.IFNA(VLOOKUP(C912,UpdateLogToUse!A:D,4,FALSE),"Not Called")</f>
        <v>Not Called</v>
      </c>
      <c r="E912" t="str">
        <f>IF(ISNA(VLOOKUP(C912,Registration!A:A,1,FALSE)),"Not Registered","Registered")</f>
        <v>Not Registered</v>
      </c>
      <c r="F912">
        <f>VLOOKUP(A912,'Karykarta List'!A:B,2,FALSE)</f>
        <v>9819083540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29</v>
      </c>
      <c r="B913" t="s">
        <v>954</v>
      </c>
      <c r="C913">
        <v>9892350730</v>
      </c>
      <c r="D913" t="str">
        <f>_xlfn.IFNA(VLOOKUP(C913,UpdateLogToUse!A:D,4,FALSE),"Not Called")</f>
        <v>Not Called</v>
      </c>
      <c r="E913" t="str">
        <f>IF(ISNA(VLOOKUP(C913,Registration!A:A,1,FALSE)),"Not Registered","Registered")</f>
        <v>Not Registered</v>
      </c>
      <c r="F913">
        <f>VLOOKUP(A913,'Karykarta List'!A:B,2,FALSE)</f>
        <v>9819364345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1306</v>
      </c>
      <c r="B914" t="s">
        <v>955</v>
      </c>
      <c r="C914">
        <v>7980496452</v>
      </c>
      <c r="D914" t="str">
        <f>_xlfn.IFNA(VLOOKUP(C914,UpdateLogToUse!A:D,4,FALSE),"Not Called")</f>
        <v>Not Called</v>
      </c>
      <c r="E914" t="str">
        <f>IF(ISNA(VLOOKUP(C914,Registration!A:A,1,FALSE)),"Not Registered","Registered")</f>
        <v>Not Registered</v>
      </c>
      <c r="F914">
        <f>VLOOKUP(A914,'Karykarta List'!A:B,2,FALSE)</f>
        <v>7977147591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789</v>
      </c>
      <c r="B915" t="s">
        <v>956</v>
      </c>
      <c r="C915">
        <v>8097914000</v>
      </c>
      <c r="D915" t="str">
        <f>_xlfn.IFNA(VLOOKUP(C915,UpdateLogToUse!A:D,4,FALSE),"Not Called")</f>
        <v>May be Attending</v>
      </c>
      <c r="E915" t="str">
        <f>IF(ISNA(VLOOKUP(C915,Registration!A:A,1,FALSE)),"Not Registered","Registered")</f>
        <v>Not Registered</v>
      </c>
      <c r="F915">
        <f>VLOOKUP(A915,'Karykarta List'!A:B,2,FALSE)</f>
        <v>9702260383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11</v>
      </c>
      <c r="B916" t="s">
        <v>957</v>
      </c>
      <c r="C916">
        <v>9833517067</v>
      </c>
      <c r="D916" t="str">
        <f>_xlfn.IFNA(VLOOKUP(C916,UpdateLogToUse!A:D,4,FALSE),"Not Called")</f>
        <v>May be Attending</v>
      </c>
      <c r="E916" t="str">
        <f>IF(ISNA(VLOOKUP(C916,Registration!A:A,1,FALSE)),"Not Registered","Registered")</f>
        <v>Not Registered</v>
      </c>
      <c r="F916">
        <f>VLOOKUP(A916,'Karykarta List'!A:B,2,FALSE)</f>
        <v>9322598681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1308</v>
      </c>
      <c r="B917" t="s">
        <v>958</v>
      </c>
      <c r="C917">
        <v>9930887717</v>
      </c>
      <c r="D917" t="str">
        <f>_xlfn.IFNA(VLOOKUP(C917,UpdateLogToUse!A:D,4,FALSE),"Not Called")</f>
        <v>Not Called</v>
      </c>
      <c r="E917" t="str">
        <f>IF(ISNA(VLOOKUP(C917,Registration!A:A,1,FALSE)),"Not Registered","Registered")</f>
        <v>Not Registered</v>
      </c>
      <c r="F917">
        <f>VLOOKUP(A917,'Karykarta List'!A:B,2,FALSE)</f>
        <v>9022922620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39</v>
      </c>
      <c r="B918" t="s">
        <v>959</v>
      </c>
      <c r="C918">
        <v>7738761172</v>
      </c>
      <c r="D918" t="str">
        <f>_xlfn.IFNA(VLOOKUP(C918,UpdateLogToUse!A:D,4,FALSE),"Not Called")</f>
        <v>Not Called</v>
      </c>
      <c r="E918" t="str">
        <f>IF(ISNA(VLOOKUP(C918,Registration!A:A,1,FALSE)),"Not Registered","Registered")</f>
        <v>Not Registered</v>
      </c>
      <c r="F918">
        <f>VLOOKUP(A918,'Karykarta List'!A:B,2,FALSE)</f>
        <v>9820505363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21</v>
      </c>
      <c r="B919" t="s">
        <v>960</v>
      </c>
      <c r="C919">
        <v>8879940142</v>
      </c>
      <c r="D919" t="str">
        <f>_xlfn.IFNA(VLOOKUP(C919,UpdateLogToUse!A:D,4,FALSE),"Not Called")</f>
        <v>Not Called</v>
      </c>
      <c r="E919" t="str">
        <f>IF(ISNA(VLOOKUP(C919,Registration!A:A,1,FALSE)),"Not Registered","Registered")</f>
        <v>Not Registered</v>
      </c>
      <c r="F919">
        <f>VLOOKUP(A919,'Karykarta List'!A:B,2,FALSE)</f>
        <v>9820636392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31</v>
      </c>
      <c r="B920" t="s">
        <v>961</v>
      </c>
      <c r="C920">
        <v>9920247736</v>
      </c>
      <c r="D920" t="str">
        <f>_xlfn.IFNA(VLOOKUP(C920,UpdateLogToUse!A:D,4,FALSE),"Not Called")</f>
        <v>May be Attending</v>
      </c>
      <c r="E920" t="str">
        <f>IF(ISNA(VLOOKUP(C920,Registration!A:A,1,FALSE)),"Not Registered","Registered")</f>
        <v>Not Registered</v>
      </c>
      <c r="F920">
        <f>VLOOKUP(A920,'Karykarta List'!A:B,2,FALSE)</f>
        <v>9869064553</v>
      </c>
      <c r="G920" t="str">
        <f>_xlfn.IFNA(VLOOKUP(C920,CallLog_Latest!A:H,8,FALSE),"")</f>
        <v/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49</v>
      </c>
      <c r="B921" t="s">
        <v>962</v>
      </c>
      <c r="C921">
        <v>9892525363</v>
      </c>
      <c r="D921" t="str">
        <f>_xlfn.IFNA(VLOOKUP(C921,UpdateLogToUse!A:D,4,FALSE),"Not Called")</f>
        <v>Not Called</v>
      </c>
      <c r="E921" t="str">
        <f>IF(ISNA(VLOOKUP(C921,Registration!A:A,1,FALSE)),"Not Registered","Registered")</f>
        <v>Not Registered</v>
      </c>
      <c r="F921">
        <f>VLOOKUP(A921,'Karykarta List'!A:B,2,FALSE)</f>
        <v>9322206108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35</v>
      </c>
      <c r="B922" t="s">
        <v>963</v>
      </c>
      <c r="C922">
        <v>9820297200</v>
      </c>
      <c r="D922" t="str">
        <f>_xlfn.IFNA(VLOOKUP(C922,UpdateLogToUse!A:D,4,FALSE),"Not Called")</f>
        <v>Not Called</v>
      </c>
      <c r="E922" t="str">
        <f>IF(ISNA(VLOOKUP(C922,Registration!A:A,1,FALSE)),"Not Registered","Registered")</f>
        <v>Not Registered</v>
      </c>
      <c r="F922">
        <f>VLOOKUP(A922,'Karykarta List'!A:B,2,FALSE)</f>
        <v>9833705425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17</v>
      </c>
      <c r="B923" t="s">
        <v>964</v>
      </c>
      <c r="C923">
        <v>9768115375</v>
      </c>
      <c r="D923" t="str">
        <f>_xlfn.IFNA(VLOOKUP(C923,UpdateLogToUse!A:D,4,FALSE),"Not Called")</f>
        <v>Not Called</v>
      </c>
      <c r="E923" t="str">
        <f>IF(ISNA(VLOOKUP(C923,Registration!A:A,1,FALSE)),"Not Registered","Registered")</f>
        <v>Not Registered</v>
      </c>
      <c r="F923">
        <f>VLOOKUP(A923,'Karykarta List'!A:B,2,FALSE)</f>
        <v>9869798705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23</v>
      </c>
      <c r="B924" t="s">
        <v>965</v>
      </c>
      <c r="C924">
        <v>9820267735</v>
      </c>
      <c r="D924" t="str">
        <f>_xlfn.IFNA(VLOOKUP(C924,UpdateLogToUse!A:D,4,FALSE),"Not Called")</f>
        <v>Not Reachable</v>
      </c>
      <c r="E924" t="str">
        <f>IF(ISNA(VLOOKUP(C924,Registration!A:A,1,FALSE)),"Not Registered","Registered")</f>
        <v>Not Registered</v>
      </c>
      <c r="F924">
        <f>VLOOKUP(A924,'Karykarta List'!A:B,2,FALSE)</f>
        <v>7977439717</v>
      </c>
      <c r="G924" t="str">
        <f>_xlfn.IFNA(VLOOKUP(C924,CallLog_Latest!A:H,8,FALSE),"")</f>
        <v/>
      </c>
      <c r="H924" t="str">
        <f>VLOOKUP(C924,[1]Sheet1!$F:$H,3,FALSE)</f>
        <v>8-B  Tower-C Viceroy Park  Thakur Village</v>
      </c>
    </row>
    <row r="925" spans="1:8" x14ac:dyDescent="0.25">
      <c r="A925" t="s">
        <v>43</v>
      </c>
      <c r="B925" t="s">
        <v>966</v>
      </c>
      <c r="C925">
        <v>7021239328</v>
      </c>
      <c r="D925" t="str">
        <f>_xlfn.IFNA(VLOOKUP(C925,UpdateLogToUse!A:D,4,FALSE),"Not Called")</f>
        <v>Not Called</v>
      </c>
      <c r="E925" t="str">
        <f>IF(ISNA(VLOOKUP(C925,Registration!A:A,1,FALSE)),"Not Registered","Registered")</f>
        <v>Not Registered</v>
      </c>
      <c r="F925">
        <f>VLOOKUP(A925,'Karykarta List'!A:B,2,FALSE)</f>
        <v>9320683201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57</v>
      </c>
      <c r="B926" t="s">
        <v>785</v>
      </c>
      <c r="C926">
        <v>9321532327</v>
      </c>
      <c r="D926" t="str">
        <f>_xlfn.IFNA(VLOOKUP(C926,UpdateLogToUse!A:D,4,FALSE),"Not Called")</f>
        <v>Not Called</v>
      </c>
      <c r="E926" t="str">
        <f>IF(ISNA(VLOOKUP(C926,Registration!A:A,1,FALSE)),"Not Registered","Registered")</f>
        <v>Not Registered</v>
      </c>
      <c r="F926">
        <f>VLOOKUP(A926,'Karykarta List'!A:B,2,FALSE)</f>
        <v>9101910341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72</v>
      </c>
      <c r="B927" t="s">
        <v>967</v>
      </c>
      <c r="C927">
        <v>9370035892</v>
      </c>
      <c r="D927" t="str">
        <f>_xlfn.IFNA(VLOOKUP(C927,UpdateLogToUse!A:D,4,FALSE),"Not Called")</f>
        <v>Not Called</v>
      </c>
      <c r="E927" t="str">
        <f>IF(ISNA(VLOOKUP(C927,Registration!A:A,1,FALSE)),"Not Registered","Registered")</f>
        <v>Not Registered</v>
      </c>
      <c r="F927">
        <f>VLOOKUP(A927,'Karykarta List'!A:B,2,FALSE)</f>
        <v>8879433174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60</v>
      </c>
      <c r="B928" t="s">
        <v>968</v>
      </c>
      <c r="C928">
        <v>8291376471</v>
      </c>
      <c r="D928" t="str">
        <f>_xlfn.IFNA(VLOOKUP(C928,UpdateLogToUse!A:D,4,FALSE),"Not Called")</f>
        <v>Not Called</v>
      </c>
      <c r="E928" t="str">
        <f>IF(ISNA(VLOOKUP(C928,Registration!A:A,1,FALSE)),"Not Registered","Registered")</f>
        <v>Not Registered</v>
      </c>
      <c r="F928">
        <f>VLOOKUP(A928,'Karykarta List'!A:B,2,FALSE)</f>
        <v>9820779873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1337</v>
      </c>
      <c r="B929" t="s">
        <v>969</v>
      </c>
      <c r="C929">
        <v>9323620237</v>
      </c>
      <c r="D929" t="str">
        <f>_xlfn.IFNA(VLOOKUP(C929,UpdateLogToUse!A:D,4,FALSE),"Not Called")</f>
        <v>Not Called</v>
      </c>
      <c r="E929" t="str">
        <f>IF(ISNA(VLOOKUP(C929,Registration!A:A,1,FALSE)),"Not Registered","Registered")</f>
        <v>Not Registered</v>
      </c>
      <c r="F929">
        <f>VLOOKUP(A929,'Karykarta List'!A:B,2,FALSE)</f>
        <v>9820130862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77</v>
      </c>
      <c r="B930" t="s">
        <v>791</v>
      </c>
      <c r="C930">
        <v>9322066124</v>
      </c>
      <c r="D930" t="str">
        <f>_xlfn.IFNA(VLOOKUP(C930,UpdateLogToUse!A:D,4,FALSE),"Not Called")</f>
        <v>Not Called</v>
      </c>
      <c r="E930" t="str">
        <f>IF(ISNA(VLOOKUP(C930,Registration!A:A,1,FALSE)),"Not Registered","Registered")</f>
        <v>Not Registered</v>
      </c>
      <c r="F930">
        <f>VLOOKUP(A930,'Karykarta List'!A:B,2,FALSE)</f>
        <v>9029105124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70</v>
      </c>
      <c r="B931" t="s">
        <v>95</v>
      </c>
      <c r="C931">
        <v>8871984007</v>
      </c>
      <c r="D931" t="str">
        <f>_xlfn.IFNA(VLOOKUP(C931,UpdateLogToUse!A:D,4,FALSE),"Not Called")</f>
        <v>Confirmed Presence</v>
      </c>
      <c r="E931" t="str">
        <f>IF(ISNA(VLOOKUP(C931,Registration!A:A,1,FALSE)),"Not Registered","Registered")</f>
        <v>Not Registered</v>
      </c>
      <c r="F931">
        <f>VLOOKUP(A931,'Karykarta List'!A:B,2,FALSE)</f>
        <v>9405263833</v>
      </c>
      <c r="G931" t="str">
        <f>_xlfn.IFNA(VLOOKUP(C931,CallLog_Latest!A:H,8,FALSE),"")</f>
        <v/>
      </c>
      <c r="H931" t="str">
        <f>VLOOKUP(C931,[1]Sheet1!$F:$H,3,FALSE)</f>
        <v>A/1104, Raheja Serenity  Thakur Village, Kandivali (E</v>
      </c>
    </row>
    <row r="932" spans="1:8" x14ac:dyDescent="0.25">
      <c r="A932" t="s">
        <v>81</v>
      </c>
      <c r="B932" t="s">
        <v>970</v>
      </c>
      <c r="C932">
        <v>9960186471</v>
      </c>
      <c r="D932" t="str">
        <f>_xlfn.IFNA(VLOOKUP(C932,UpdateLogToUse!A:D,4,FALSE),"Not Called")</f>
        <v>Not Called</v>
      </c>
      <c r="E932" t="str">
        <f>IF(ISNA(VLOOKUP(C932,Registration!A:A,1,FALSE)),"Not Registered","Registered")</f>
        <v>Not Registered</v>
      </c>
      <c r="F932">
        <f>VLOOKUP(A932,'Karykarta List'!A:B,2,FALSE)</f>
        <v>9824100412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23</v>
      </c>
      <c r="B933" t="s">
        <v>971</v>
      </c>
      <c r="C933">
        <v>8097078048</v>
      </c>
      <c r="D933" t="str">
        <f>_xlfn.IFNA(VLOOKUP(C933,UpdateLogToUse!A:D,4,FALSE),"Not Called")</f>
        <v>May be Attending</v>
      </c>
      <c r="E933" t="str">
        <f>IF(ISNA(VLOOKUP(C933,Registration!A:A,1,FALSE)),"Not Registered","Registered")</f>
        <v>Not Registered</v>
      </c>
      <c r="F933">
        <f>VLOOKUP(A933,'Karykarta List'!A:B,2,FALSE)</f>
        <v>7977439717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41</v>
      </c>
      <c r="B934" t="s">
        <v>972</v>
      </c>
      <c r="C934">
        <v>9820911988</v>
      </c>
      <c r="D934" t="str">
        <f>_xlfn.IFNA(VLOOKUP(C934,UpdateLogToUse!A:D,4,FALSE),"Not Called")</f>
        <v>Not Called</v>
      </c>
      <c r="E934" t="str">
        <f>IF(ISNA(VLOOKUP(C934,Registration!A:A,1,FALSE)),"Not Registered","Registered")</f>
        <v>Not Registered</v>
      </c>
      <c r="F934">
        <f>VLOOKUP(A934,'Karykarta List'!A:B,2,FALSE)</f>
        <v>8058973809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797</v>
      </c>
      <c r="B935" t="s">
        <v>973</v>
      </c>
      <c r="C935">
        <v>9967657235</v>
      </c>
      <c r="D935" t="str">
        <f>_xlfn.IFNA(VLOOKUP(C935,UpdateLogToUse!A:D,4,FALSE),"Not Called")</f>
        <v>Not Called</v>
      </c>
      <c r="E935" t="str">
        <f>IF(ISNA(VLOOKUP(C935,Registration!A:A,1,FALSE)),"Not Registered","Registered")</f>
        <v>Not Registered</v>
      </c>
      <c r="F935">
        <f>VLOOKUP(A935,'Karykarta List'!A:B,2,FALSE)</f>
        <v>9320309630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785</v>
      </c>
      <c r="B936" t="s">
        <v>974</v>
      </c>
      <c r="C936">
        <v>9820035543</v>
      </c>
      <c r="D936" t="str">
        <f>_xlfn.IFNA(VLOOKUP(C936,UpdateLogToUse!A:D,4,FALSE),"Not Called")</f>
        <v>Not Called</v>
      </c>
      <c r="E936" t="str">
        <f>IF(ISNA(VLOOKUP(C936,Registration!A:A,1,FALSE)),"Not Registered","Registered")</f>
        <v>Not Registered</v>
      </c>
      <c r="F936">
        <f>VLOOKUP(A936,'Karykarta List'!A:B,2,FALSE)</f>
        <v>9321532327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83</v>
      </c>
      <c r="B937" t="s">
        <v>975</v>
      </c>
      <c r="C937">
        <v>9769859980</v>
      </c>
      <c r="D937" t="str">
        <f>_xlfn.IFNA(VLOOKUP(C937,UpdateLogToUse!A:D,4,FALSE),"Not Called")</f>
        <v>Phone Busy</v>
      </c>
      <c r="E937" t="str">
        <f>IF(ISNA(VLOOKUP(C937,Registration!A:A,1,FALSE)),"Not Registered","Registered")</f>
        <v>Not Registered</v>
      </c>
      <c r="F937">
        <f>VLOOKUP(A937,'Karykarta List'!A:B,2,FALSE)</f>
        <v>9225211083</v>
      </c>
      <c r="G937" t="str">
        <f>_xlfn.IFNA(VLOOKUP(C937,CallLog_Latest!A:H,8,FALSE),"")</f>
        <v/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799</v>
      </c>
      <c r="B938" t="s">
        <v>976</v>
      </c>
      <c r="C938">
        <v>7977214168</v>
      </c>
      <c r="D938" t="str">
        <f>_xlfn.IFNA(VLOOKUP(C938,UpdateLogToUse!A:D,4,FALSE),"Not Called")</f>
        <v>Confirmed Presence</v>
      </c>
      <c r="E938" t="str">
        <f>IF(ISNA(VLOOKUP(C938,Registration!A:A,1,FALSE)),"Not Registered","Registered")</f>
        <v>Not Registered</v>
      </c>
      <c r="F938">
        <f>VLOOKUP(A938,'Karykarta List'!A:B,2,FALSE)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805</v>
      </c>
      <c r="B939" t="s">
        <v>977</v>
      </c>
      <c r="C939">
        <v>9821406662</v>
      </c>
      <c r="D939" t="str">
        <f>_xlfn.IFNA(VLOOKUP(C939,UpdateLogToUse!A:D,4,FALSE),"Not Called")</f>
        <v>Not Called</v>
      </c>
      <c r="E939" t="str">
        <f>IF(ISNA(VLOOKUP(C939,Registration!A:A,1,FALSE)),"Not Registered","Registered")</f>
        <v>Not Registered</v>
      </c>
      <c r="F939">
        <f>VLOOKUP(A939,'Karykarta List'!A:B,2,FALSE)</f>
        <v>9320770849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95</v>
      </c>
      <c r="B940" t="s">
        <v>978</v>
      </c>
      <c r="C940">
        <v>9029394440</v>
      </c>
      <c r="D940" t="str">
        <f>_xlfn.IFNA(VLOOKUP(C940,UpdateLogToUse!A:D,4,FALSE),"Not Called")</f>
        <v>Not Called</v>
      </c>
      <c r="E940" t="str">
        <f>IF(ISNA(VLOOKUP(C940,Registration!A:A,1,FALSE)),"Not Registered","Registered")</f>
        <v>Not Registered</v>
      </c>
      <c r="F940">
        <f>VLOOKUP(A940,'Karykarta List'!A:B,2,FALSE)</f>
        <v>9424584007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55</v>
      </c>
      <c r="B941" t="s">
        <v>979</v>
      </c>
      <c r="C941">
        <v>9324460852</v>
      </c>
      <c r="D941" t="str">
        <f>_xlfn.IFNA(VLOOKUP(C941,UpdateLogToUse!A:D,4,FALSE),"Not Called")</f>
        <v>May be Attending</v>
      </c>
      <c r="E941" t="str">
        <f>IF(ISNA(VLOOKUP(C941,Registration!A:A,1,FALSE)),"Not Registered","Registered")</f>
        <v>Not Registered</v>
      </c>
      <c r="F941">
        <f>VLOOKUP(A941,'Karykarta List'!A:B,2,FALSE)</f>
        <v>9819083540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29</v>
      </c>
      <c r="B942" t="s">
        <v>980</v>
      </c>
      <c r="C942">
        <v>9320013222</v>
      </c>
      <c r="D942" t="str">
        <f>_xlfn.IFNA(VLOOKUP(C942,UpdateLogToUse!A:D,4,FALSE),"Not Called")</f>
        <v>Not Called</v>
      </c>
      <c r="E942" t="str">
        <f>IF(ISNA(VLOOKUP(C942,Registration!A:A,1,FALSE)),"Not Registered","Registered")</f>
        <v>Not Registered</v>
      </c>
      <c r="F942">
        <f>VLOOKUP(A942,'Karykarta List'!A:B,2,FALSE)</f>
        <v>9819364345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1306</v>
      </c>
      <c r="B943" t="s">
        <v>981</v>
      </c>
      <c r="C943">
        <v>9920886839</v>
      </c>
      <c r="D943" t="str">
        <f>_xlfn.IFNA(VLOOKUP(C943,UpdateLogToUse!A:D,4,FALSE),"Not Called")</f>
        <v>Not Called</v>
      </c>
      <c r="E943" t="str">
        <f>IF(ISNA(VLOOKUP(C943,Registration!A:A,1,FALSE)),"Not Registered","Registered")</f>
        <v>Not Registered</v>
      </c>
      <c r="F943">
        <f>VLOOKUP(A943,'Karykarta List'!A:B,2,FALSE)</f>
        <v>7977147591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789</v>
      </c>
      <c r="B944" t="s">
        <v>982</v>
      </c>
      <c r="C944">
        <v>9833135254</v>
      </c>
      <c r="D944" t="str">
        <f>_xlfn.IFNA(VLOOKUP(C944,UpdateLogToUse!A:D,4,FALSE),"Not Called")</f>
        <v>Not Called</v>
      </c>
      <c r="E944" t="str">
        <f>IF(ISNA(VLOOKUP(C944,Registration!A:A,1,FALSE)),"Not Registered","Registered")</f>
        <v>Not Registered</v>
      </c>
      <c r="F944">
        <f>VLOOKUP(A944,'Karykarta List'!A:B,2,FALSE)</f>
        <v>9702260383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11</v>
      </c>
      <c r="B945" t="s">
        <v>983</v>
      </c>
      <c r="C945">
        <v>9967332737</v>
      </c>
      <c r="D945" t="str">
        <f>_xlfn.IFNA(VLOOKUP(C945,UpdateLogToUse!A:D,4,FALSE),"Not Called")</f>
        <v>Not Called</v>
      </c>
      <c r="E945" t="str">
        <f>IF(ISNA(VLOOKUP(C945,Registration!A:A,1,FALSE)),"Not Registered","Registered")</f>
        <v>Not Registered</v>
      </c>
      <c r="F945">
        <f>VLOOKUP(A945,'Karykarta List'!A:B,2,FALSE)</f>
        <v>9322598681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1308</v>
      </c>
      <c r="B946" t="s">
        <v>984</v>
      </c>
      <c r="C946">
        <v>9699673526</v>
      </c>
      <c r="D946" t="str">
        <f>_xlfn.IFNA(VLOOKUP(C946,UpdateLogToUse!A:D,4,FALSE),"Not Called")</f>
        <v>Not Called</v>
      </c>
      <c r="E946" t="str">
        <f>IF(ISNA(VLOOKUP(C946,Registration!A:A,1,FALSE)),"Not Registered","Registered")</f>
        <v>Not Registered</v>
      </c>
      <c r="F946">
        <f>VLOOKUP(A946,'Karykarta List'!A:B,2,FALSE)</f>
        <v>9022922620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39</v>
      </c>
      <c r="B947" t="s">
        <v>985</v>
      </c>
      <c r="C947">
        <v>9324171286</v>
      </c>
      <c r="D947" t="str">
        <f>_xlfn.IFNA(VLOOKUP(C947,UpdateLogToUse!A:D,4,FALSE),"Not Called")</f>
        <v>Not Called</v>
      </c>
      <c r="E947" t="str">
        <f>IF(ISNA(VLOOKUP(C947,Registration!A:A,1,FALSE)),"Not Registered","Registered")</f>
        <v>Not Registered</v>
      </c>
      <c r="F947">
        <f>VLOOKUP(A947,'Karykarta List'!A:B,2,FALSE)</f>
        <v>9820505363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21</v>
      </c>
      <c r="B948" t="s">
        <v>986</v>
      </c>
      <c r="C948">
        <v>9699876904</v>
      </c>
      <c r="D948" t="str">
        <f>_xlfn.IFNA(VLOOKUP(C948,UpdateLogToUse!A:D,4,FALSE),"Not Called")</f>
        <v>Not Called</v>
      </c>
      <c r="E948" t="str">
        <f>IF(ISNA(VLOOKUP(C948,Registration!A:A,1,FALSE)),"Not Registered","Registered")</f>
        <v>Not Registered</v>
      </c>
      <c r="F948">
        <f>VLOOKUP(A948,'Karykarta List'!A:B,2,FALSE)</f>
        <v>9820636392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31</v>
      </c>
      <c r="B949" t="s">
        <v>987</v>
      </c>
      <c r="C949">
        <v>9819408854</v>
      </c>
      <c r="D949" t="str">
        <f>_xlfn.IFNA(VLOOKUP(C949,UpdateLogToUse!A:D,4,FALSE),"Not Called")</f>
        <v>Not Coming</v>
      </c>
      <c r="E949" t="str">
        <f>IF(ISNA(VLOOKUP(C949,Registration!A:A,1,FALSE)),"Not Registered","Registered")</f>
        <v>Not Registered</v>
      </c>
      <c r="F949">
        <f>VLOOKUP(A949,'Karykarta List'!A:B,2,FALSE)</f>
        <v>9869064553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49</v>
      </c>
      <c r="B950" t="s">
        <v>988</v>
      </c>
      <c r="C950">
        <v>9967979838</v>
      </c>
      <c r="D950" t="str">
        <f>_xlfn.IFNA(VLOOKUP(C950,UpdateLogToUse!A:D,4,FALSE),"Not Called")</f>
        <v>Not Coming</v>
      </c>
      <c r="E950" t="str">
        <f>IF(ISNA(VLOOKUP(C950,Registration!A:A,1,FALSE)),"Not Registered","Registered")</f>
        <v>Not Registered</v>
      </c>
      <c r="F950">
        <f>VLOOKUP(A950,'Karykarta List'!A:B,2,FALSE)</f>
        <v>9322206108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35</v>
      </c>
      <c r="B951" t="s">
        <v>989</v>
      </c>
      <c r="C951">
        <v>9819189055</v>
      </c>
      <c r="D951" t="str">
        <f>_xlfn.IFNA(VLOOKUP(C951,UpdateLogToUse!A:D,4,FALSE),"Not Called")</f>
        <v>Not Called</v>
      </c>
      <c r="E951" t="str">
        <f>IF(ISNA(VLOOKUP(C951,Registration!A:A,1,FALSE)),"Not Registered","Registered")</f>
        <v>Not Registered</v>
      </c>
      <c r="F951">
        <f>VLOOKUP(A951,'Karykarta List'!A:B,2,FALSE)</f>
        <v>9833705425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17</v>
      </c>
      <c r="B952" t="s">
        <v>990</v>
      </c>
      <c r="C952">
        <v>9987065879</v>
      </c>
      <c r="D952" t="str">
        <f>_xlfn.IFNA(VLOOKUP(C952,UpdateLogToUse!A:D,4,FALSE),"Not Called")</f>
        <v>Not Called</v>
      </c>
      <c r="E952" t="str">
        <f>IF(ISNA(VLOOKUP(C952,Registration!A:A,1,FALSE)),"Not Registered","Registered")</f>
        <v>Not Registered</v>
      </c>
      <c r="F952">
        <f>VLOOKUP(A952,'Karykarta List'!A:B,2,FALSE)</f>
        <v>9869798705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23</v>
      </c>
      <c r="B953" t="s">
        <v>991</v>
      </c>
      <c r="C953">
        <v>9765000884</v>
      </c>
      <c r="D953" t="str">
        <f>_xlfn.IFNA(VLOOKUP(C953,UpdateLogToUse!A:D,4,FALSE),"Not Called")</f>
        <v>Not Called</v>
      </c>
      <c r="E953" t="str">
        <f>IF(ISNA(VLOOKUP(C953,Registration!A:A,1,FALSE)),"Not Registered","Registered")</f>
        <v>Not Registered</v>
      </c>
      <c r="F953">
        <f>VLOOKUP(A953,'Karykarta List'!A:B,2,FALSE)</f>
        <v>7977439717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43</v>
      </c>
      <c r="B954" t="s">
        <v>992</v>
      </c>
      <c r="C954">
        <v>9920772647</v>
      </c>
      <c r="D954">
        <f>_xlfn.IFNA(VLOOKUP(C954,UpdateLogToUse!A:D,4,FALSE),"Not Called")</f>
        <v>0</v>
      </c>
      <c r="E954" t="str">
        <f>IF(ISNA(VLOOKUP(C954,Registration!A:A,1,FALSE)),"Not Registered","Registered")</f>
        <v>Not Registered</v>
      </c>
      <c r="F954">
        <f>VLOOKUP(A954,'Karykarta List'!A:B,2,FALSE)</f>
        <v>9320683201</v>
      </c>
      <c r="G954" t="str">
        <f>_xlfn.IFNA(VLOOKUP(C954,CallLog_Latest!A:H,8,FALSE),"")</f>
        <v/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57</v>
      </c>
      <c r="B955" t="s">
        <v>993</v>
      </c>
      <c r="C955">
        <v>9000438763</v>
      </c>
      <c r="D955" t="str">
        <f>_xlfn.IFNA(VLOOKUP(C955,UpdateLogToUse!A:D,4,FALSE),"Not Called")</f>
        <v>Not Reachable</v>
      </c>
      <c r="E955" t="str">
        <f>IF(ISNA(VLOOKUP(C955,Registration!A:A,1,FALSE)),"Not Registered","Registered")</f>
        <v>Not Registered</v>
      </c>
      <c r="F955">
        <f>VLOOKUP(A955,'Karykarta List'!A:B,2,FALSE)</f>
        <v>9101910341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72</v>
      </c>
      <c r="B956" t="s">
        <v>994</v>
      </c>
      <c r="C956">
        <v>9324587634</v>
      </c>
      <c r="D956" t="str">
        <f>_xlfn.IFNA(VLOOKUP(C956,UpdateLogToUse!A:D,4,FALSE),"Not Called")</f>
        <v>Not Called</v>
      </c>
      <c r="E956" t="str">
        <f>IF(ISNA(VLOOKUP(C956,Registration!A:A,1,FALSE)),"Not Registered","Registered")</f>
        <v>Not Registered</v>
      </c>
      <c r="F956">
        <f>VLOOKUP(A956,'Karykarta List'!A:B,2,FALSE)</f>
        <v>8879433174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60</v>
      </c>
      <c r="B957" t="s">
        <v>995</v>
      </c>
      <c r="C957">
        <v>9321798999</v>
      </c>
      <c r="D957" t="str">
        <f>_xlfn.IFNA(VLOOKUP(C957,UpdateLogToUse!A:D,4,FALSE),"Not Called")</f>
        <v>Not Called</v>
      </c>
      <c r="E957" t="str">
        <f>IF(ISNA(VLOOKUP(C957,Registration!A:A,1,FALSE)),"Not Registered","Registered")</f>
        <v>Not Registered</v>
      </c>
      <c r="F957">
        <f>VLOOKUP(A957,'Karykarta List'!A:B,2,FALSE)</f>
        <v>9820779873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1337</v>
      </c>
      <c r="B958" t="s">
        <v>996</v>
      </c>
      <c r="C958">
        <v>9967405105</v>
      </c>
      <c r="D958" t="str">
        <f>_xlfn.IFNA(VLOOKUP(C958,UpdateLogToUse!A:D,4,FALSE),"Not Called")</f>
        <v>Not Called</v>
      </c>
      <c r="E958" t="str">
        <f>IF(ISNA(VLOOKUP(C958,Registration!A:A,1,FALSE)),"Not Registered","Registered")</f>
        <v>Not Registered</v>
      </c>
      <c r="F958">
        <f>VLOOKUP(A958,'Karykarta List'!A:B,2,FALSE)</f>
        <v>9820130862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77</v>
      </c>
      <c r="B959" t="s">
        <v>997</v>
      </c>
      <c r="C959">
        <v>9324060127</v>
      </c>
      <c r="D959" t="str">
        <f>_xlfn.IFNA(VLOOKUP(C959,UpdateLogToUse!A:D,4,FALSE),"Not Called")</f>
        <v>Not Called</v>
      </c>
      <c r="E959" t="str">
        <f>IF(ISNA(VLOOKUP(C959,Registration!A:A,1,FALSE)),"Not Registered","Registered")</f>
        <v>Not Registered</v>
      </c>
      <c r="F959">
        <f>VLOOKUP(A959,'Karykarta List'!A:B,2,FALSE)</f>
        <v>9029105124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70</v>
      </c>
      <c r="B960" t="s">
        <v>998</v>
      </c>
      <c r="C960">
        <v>9992033502</v>
      </c>
      <c r="D960" t="str">
        <f>_xlfn.IFNA(VLOOKUP(C960,UpdateLogToUse!A:D,4,FALSE),"Not Called")</f>
        <v>Not Called</v>
      </c>
      <c r="E960" t="str">
        <f>IF(ISNA(VLOOKUP(C960,Registration!A:A,1,FALSE)),"Not Registered","Registered")</f>
        <v>Not Registered</v>
      </c>
      <c r="F960">
        <f>VLOOKUP(A960,'Karykarta List'!A:B,2,FALSE)</f>
        <v>9405263833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</v>
      </c>
      <c r="B961" t="s">
        <v>999</v>
      </c>
      <c r="C961">
        <v>8097549747</v>
      </c>
      <c r="D961" t="str">
        <f>_xlfn.IFNA(VLOOKUP(C961,UpdateLogToUse!A:D,4,FALSE),"Not Called")</f>
        <v>Not Called</v>
      </c>
      <c r="E961" t="str">
        <f>IF(ISNA(VLOOKUP(C961,Registration!A:A,1,FALSE)),"Not Registered","Registered")</f>
        <v>Not Registered</v>
      </c>
      <c r="F961">
        <f>VLOOKUP(A961,'Karykarta List'!A:B,2,FALSE)</f>
        <v>9824100412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23</v>
      </c>
      <c r="B962" t="s">
        <v>1000</v>
      </c>
      <c r="C962">
        <v>9769215307</v>
      </c>
      <c r="D962" t="str">
        <f>_xlfn.IFNA(VLOOKUP(C962,UpdateLogToUse!A:D,4,FALSE),"Not Called")</f>
        <v>Not Called</v>
      </c>
      <c r="E962" t="str">
        <f>IF(ISNA(VLOOKUP(C962,Registration!A:A,1,FALSE)),"Not Registered","Registered")</f>
        <v>Not Registered</v>
      </c>
      <c r="F962">
        <f>VLOOKUP(A962,'Karykarta List'!A:B,2,FALSE)</f>
        <v>7977439717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41</v>
      </c>
      <c r="B963" t="s">
        <v>811</v>
      </c>
      <c r="C963">
        <v>9320269488</v>
      </c>
      <c r="D963" t="str">
        <f>_xlfn.IFNA(VLOOKUP(C963,UpdateLogToUse!A:D,4,FALSE),"Not Called")</f>
        <v>Not Called</v>
      </c>
      <c r="E963" t="str">
        <f>IF(ISNA(VLOOKUP(C963,Registration!A:A,1,FALSE)),"Not Registered","Registered")</f>
        <v>Not Registered</v>
      </c>
      <c r="F963">
        <f>VLOOKUP(A963,'Karykarta List'!A:B,2,FALSE)</f>
        <v>8058973809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797</v>
      </c>
      <c r="B964" t="s">
        <v>1001</v>
      </c>
      <c r="C964">
        <v>9029105124</v>
      </c>
      <c r="D964" t="str">
        <f>_xlfn.IFNA(VLOOKUP(C964,UpdateLogToUse!A:D,4,FALSE),"Not Called")</f>
        <v>Not Called</v>
      </c>
      <c r="E964" t="str">
        <f>IF(ISNA(VLOOKUP(C964,Registration!A:A,1,FALSE)),"Not Registered","Registered")</f>
        <v>Not Registered</v>
      </c>
      <c r="F964">
        <f>VLOOKUP(A964,'Karykarta List'!A:B,2,FALSE)</f>
        <v>9320309630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785</v>
      </c>
      <c r="B965" t="s">
        <v>1002</v>
      </c>
      <c r="C965">
        <v>9769093157</v>
      </c>
      <c r="D965" t="str">
        <f>_xlfn.IFNA(VLOOKUP(C965,UpdateLogToUse!A:D,4,FALSE),"Not Called")</f>
        <v>Not Called</v>
      </c>
      <c r="E965" t="str">
        <f>IF(ISNA(VLOOKUP(C965,Registration!A:A,1,FALSE)),"Not Registered","Registered")</f>
        <v>Not Registered</v>
      </c>
      <c r="F965">
        <f>VLOOKUP(A965,'Karykarta List'!A:B,2,FALSE)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83</v>
      </c>
      <c r="B966" t="s">
        <v>807</v>
      </c>
      <c r="C966">
        <v>9321694896</v>
      </c>
      <c r="D966" t="str">
        <f>_xlfn.IFNA(VLOOKUP(C966,UpdateLogToUse!A:D,4,FALSE),"Not Called")</f>
        <v>Not Called</v>
      </c>
      <c r="E966" t="str">
        <f>IF(ISNA(VLOOKUP(C966,Registration!A:A,1,FALSE)),"Not Registered","Registered")</f>
        <v>Not Registered</v>
      </c>
      <c r="F966">
        <f>VLOOKUP(A966,'Karykarta List'!A:B,2,FALSE)</f>
        <v>9225211083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799</v>
      </c>
      <c r="B967" t="s">
        <v>805</v>
      </c>
      <c r="C967">
        <v>9320770849</v>
      </c>
      <c r="D967" t="str">
        <f>_xlfn.IFNA(VLOOKUP(C967,UpdateLogToUse!A:D,4,FALSE),"Not Called")</f>
        <v>Phone Busy</v>
      </c>
      <c r="E967" t="str">
        <f>IF(ISNA(VLOOKUP(C967,Registration!A:A,1,FALSE)),"Not Registered","Registered")</f>
        <v>Registered</v>
      </c>
      <c r="F967">
        <f>VLOOKUP(A967,'Karykarta List'!A:B,2,FALSE)</f>
        <v>9324233820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71"/>
  <sheetViews>
    <sheetView workbookViewId="0">
      <selection activeCell="A12" sqref="A12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1015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1309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0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1305</v>
      </c>
      <c r="B30">
        <v>9920121726</v>
      </c>
    </row>
    <row r="31" spans="1:2" x14ac:dyDescent="0.25">
      <c r="A31" t="s">
        <v>60</v>
      </c>
      <c r="B31">
        <v>9820779873</v>
      </c>
    </row>
    <row r="32" spans="1:2" x14ac:dyDescent="0.25">
      <c r="A32" t="s">
        <v>62</v>
      </c>
      <c r="B32">
        <v>9930396709</v>
      </c>
    </row>
    <row r="33" spans="1:2" x14ac:dyDescent="0.25">
      <c r="A33" t="s">
        <v>64</v>
      </c>
      <c r="B33">
        <v>7738892551</v>
      </c>
    </row>
    <row r="34" spans="1:2" x14ac:dyDescent="0.25">
      <c r="A34" t="s">
        <v>66</v>
      </c>
      <c r="B34">
        <v>9820251565</v>
      </c>
    </row>
    <row r="35" spans="1:2" x14ac:dyDescent="0.25">
      <c r="A35" t="s">
        <v>68</v>
      </c>
      <c r="B35">
        <v>9968855475</v>
      </c>
    </row>
    <row r="36" spans="1:2" x14ac:dyDescent="0.25">
      <c r="A36" t="s">
        <v>70</v>
      </c>
      <c r="B36">
        <v>9405263833</v>
      </c>
    </row>
    <row r="37" spans="1:2" x14ac:dyDescent="0.25">
      <c r="A37" t="s">
        <v>72</v>
      </c>
      <c r="B37">
        <v>8879433174</v>
      </c>
    </row>
    <row r="38" spans="1:2" x14ac:dyDescent="0.25">
      <c r="A38" t="s">
        <v>74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77</v>
      </c>
      <c r="B40">
        <v>9029105124</v>
      </c>
    </row>
    <row r="41" spans="1:2" x14ac:dyDescent="0.25">
      <c r="A41" t="s">
        <v>79</v>
      </c>
      <c r="B41">
        <v>9599704370</v>
      </c>
    </row>
    <row r="42" spans="1:2" x14ac:dyDescent="0.25">
      <c r="A42" t="s">
        <v>81</v>
      </c>
      <c r="B42">
        <v>9824100412</v>
      </c>
    </row>
    <row r="43" spans="1:2" x14ac:dyDescent="0.25">
      <c r="A43" t="s">
        <v>83</v>
      </c>
      <c r="B43">
        <v>9225211083</v>
      </c>
    </row>
    <row r="44" spans="1:2" x14ac:dyDescent="0.25">
      <c r="A44" t="s">
        <v>85</v>
      </c>
      <c r="B44">
        <v>9930252076</v>
      </c>
    </row>
    <row r="45" spans="1:2" x14ac:dyDescent="0.25">
      <c r="A45" t="s">
        <v>87</v>
      </c>
      <c r="B45">
        <v>9661270782</v>
      </c>
    </row>
    <row r="46" spans="1:2" x14ac:dyDescent="0.25">
      <c r="A46" t="s">
        <v>89</v>
      </c>
      <c r="B46">
        <v>9819128389</v>
      </c>
    </row>
    <row r="47" spans="1:2" x14ac:dyDescent="0.25">
      <c r="A47" t="s">
        <v>91</v>
      </c>
      <c r="B47">
        <v>8268665777</v>
      </c>
    </row>
    <row r="48" spans="1:2" x14ac:dyDescent="0.25">
      <c r="A48" t="s">
        <v>93</v>
      </c>
      <c r="B48">
        <v>9920085455</v>
      </c>
    </row>
    <row r="49" spans="1:2" x14ac:dyDescent="0.25">
      <c r="A49" t="s">
        <v>95</v>
      </c>
      <c r="B49">
        <v>9424584007</v>
      </c>
    </row>
    <row r="50" spans="1:2" x14ac:dyDescent="0.25">
      <c r="A50" t="s">
        <v>781</v>
      </c>
      <c r="B50">
        <v>9819004363</v>
      </c>
    </row>
    <row r="51" spans="1:2" x14ac:dyDescent="0.25">
      <c r="A51" t="s">
        <v>783</v>
      </c>
      <c r="B51">
        <v>9321133166</v>
      </c>
    </row>
    <row r="52" spans="1:2" x14ac:dyDescent="0.25">
      <c r="A52" t="s">
        <v>785</v>
      </c>
      <c r="B52">
        <v>9321532327</v>
      </c>
    </row>
    <row r="53" spans="1:2" x14ac:dyDescent="0.25">
      <c r="A53" t="s">
        <v>787</v>
      </c>
      <c r="B53">
        <v>8879785324</v>
      </c>
    </row>
    <row r="54" spans="1:2" x14ac:dyDescent="0.25">
      <c r="A54" t="s">
        <v>789</v>
      </c>
      <c r="B54">
        <v>9702260383</v>
      </c>
    </row>
    <row r="55" spans="1:2" x14ac:dyDescent="0.25">
      <c r="A55" t="s">
        <v>791</v>
      </c>
      <c r="B55">
        <v>9322066124</v>
      </c>
    </row>
    <row r="56" spans="1:2" x14ac:dyDescent="0.25">
      <c r="A56" t="s">
        <v>793</v>
      </c>
      <c r="B56">
        <v>9892303256</v>
      </c>
    </row>
    <row r="57" spans="1:2" x14ac:dyDescent="0.25">
      <c r="A57" t="s">
        <v>795</v>
      </c>
      <c r="B57">
        <v>9920145200</v>
      </c>
    </row>
    <row r="58" spans="1:2" x14ac:dyDescent="0.25">
      <c r="A58" t="s">
        <v>797</v>
      </c>
      <c r="B58">
        <v>9320309630</v>
      </c>
    </row>
    <row r="59" spans="1:2" x14ac:dyDescent="0.25">
      <c r="A59" t="s">
        <v>799</v>
      </c>
      <c r="B59">
        <v>9324233820</v>
      </c>
    </row>
    <row r="60" spans="1:2" x14ac:dyDescent="0.25">
      <c r="A60" t="s">
        <v>801</v>
      </c>
      <c r="B60">
        <v>8879333966</v>
      </c>
    </row>
    <row r="61" spans="1:2" x14ac:dyDescent="0.25">
      <c r="A61" t="s">
        <v>803</v>
      </c>
      <c r="B61">
        <v>9323826288</v>
      </c>
    </row>
    <row r="62" spans="1:2" x14ac:dyDescent="0.25">
      <c r="A62" t="s">
        <v>805</v>
      </c>
      <c r="B62">
        <v>9320770849</v>
      </c>
    </row>
    <row r="63" spans="1:2" x14ac:dyDescent="0.25">
      <c r="A63" t="s">
        <v>807</v>
      </c>
      <c r="B63">
        <v>9321694896</v>
      </c>
    </row>
    <row r="64" spans="1:2" x14ac:dyDescent="0.25">
      <c r="A64" t="s">
        <v>809</v>
      </c>
      <c r="B64">
        <v>9619090608</v>
      </c>
    </row>
    <row r="65" spans="1:2" x14ac:dyDescent="0.25">
      <c r="A65" t="s">
        <v>811</v>
      </c>
      <c r="B65">
        <v>9320269488</v>
      </c>
    </row>
    <row r="66" spans="1:2" x14ac:dyDescent="0.25">
      <c r="A66" t="s">
        <v>813</v>
      </c>
      <c r="B66">
        <v>9320624230</v>
      </c>
    </row>
    <row r="67" spans="1:2" x14ac:dyDescent="0.25">
      <c r="A67" t="s">
        <v>1306</v>
      </c>
      <c r="B67">
        <v>7977147591</v>
      </c>
    </row>
    <row r="68" spans="1:2" x14ac:dyDescent="0.25">
      <c r="A68" t="s">
        <v>1299</v>
      </c>
      <c r="B68">
        <v>9323582316</v>
      </c>
    </row>
    <row r="69" spans="1:2" x14ac:dyDescent="0.25">
      <c r="A69" t="s">
        <v>1307</v>
      </c>
      <c r="B69">
        <v>9821406662</v>
      </c>
    </row>
    <row r="70" spans="1:2" x14ac:dyDescent="0.25">
      <c r="A70" t="s">
        <v>1308</v>
      </c>
      <c r="B70">
        <v>9022922620</v>
      </c>
    </row>
    <row r="71" spans="1:2" x14ac:dyDescent="0.25">
      <c r="A71" t="s">
        <v>1337</v>
      </c>
      <c r="B71">
        <v>9820130862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136"/>
  <sheetViews>
    <sheetView topLeftCell="A121" workbookViewId="0">
      <selection activeCell="B155" sqref="B155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sortState xmlns:xlrd2="http://schemas.microsoft.com/office/spreadsheetml/2017/richdata2" ref="B2:H136">
    <sortCondition descending="1" ref="B1:B13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H403"/>
  <sheetViews>
    <sheetView topLeftCell="A394" workbookViewId="0">
      <selection activeCell="D412"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2578125" defaultRowHeight="15" x14ac:dyDescent="0.25"/>
  <cols>
    <col min="1" max="1" width="15.140625" bestFit="1" customWidth="1"/>
    <col min="2" max="2" width="11.5703125" bestFit="1" customWidth="1"/>
    <col min="3" max="3" width="11" bestFit="1" customWidth="1"/>
    <col min="4" max="4" width="39.85546875" customWidth="1"/>
    <col min="5" max="5" width="11" bestFit="1" customWidth="1"/>
    <col min="6" max="6" width="15.42578125" bestFit="1" customWidth="1"/>
    <col min="7" max="7" width="27.140625" customWidth="1"/>
    <col min="8" max="8" width="18.140625" bestFit="1" customWidth="1"/>
    <col min="9" max="9" width="12.5703125" bestFit="1" customWidth="1"/>
    <col min="10" max="10" width="44.140625" customWidth="1"/>
    <col min="11" max="11" width="19.140625" bestFit="1" customWidth="1"/>
    <col min="12" max="12" width="17" bestFit="1" customWidth="1"/>
    <col min="13" max="13" width="8.7109375" bestFit="1" customWidth="1"/>
    <col min="14" max="14" width="14.7109375" bestFit="1" customWidth="1"/>
  </cols>
  <sheetData>
    <row r="1" spans="1:14" ht="114.75" x14ac:dyDescent="0.25">
      <c r="A1" s="33" t="s">
        <v>2</v>
      </c>
      <c r="B1" s="34" t="s">
        <v>1006</v>
      </c>
      <c r="C1" s="34" t="s">
        <v>1007</v>
      </c>
      <c r="D1" s="34" t="s">
        <v>1008</v>
      </c>
      <c r="F1" s="35" t="s">
        <v>1018</v>
      </c>
      <c r="G1" s="35" t="s">
        <v>1019</v>
      </c>
      <c r="H1" s="35" t="s">
        <v>1048</v>
      </c>
      <c r="I1" s="35" t="s">
        <v>1049</v>
      </c>
      <c r="J1" s="35" t="s">
        <v>1050</v>
      </c>
      <c r="K1" s="35" t="s">
        <v>1051</v>
      </c>
      <c r="L1" s="36" t="s">
        <v>1052</v>
      </c>
      <c r="M1" s="36" t="s">
        <v>1053</v>
      </c>
      <c r="N1" s="35" t="s">
        <v>1054</v>
      </c>
    </row>
    <row r="2" spans="1:14" x14ac:dyDescent="0.25">
      <c r="A2">
        <f>C2</f>
        <v>9993325021</v>
      </c>
      <c r="B2" s="37">
        <f>H2</f>
        <v>2</v>
      </c>
      <c r="C2" s="37">
        <f>I2</f>
        <v>9993325021</v>
      </c>
      <c r="D2" s="38" t="str">
        <f>J2</f>
        <v>Ronak karwa</v>
      </c>
      <c r="E2">
        <f>VLOOKUP(A2,DataPublished!C:C,1,FALSE)</f>
        <v>9993325021</v>
      </c>
      <c r="F2" s="39">
        <v>45939.432083333333</v>
      </c>
      <c r="G2" s="38" t="s">
        <v>1055</v>
      </c>
      <c r="H2" s="37">
        <v>2</v>
      </c>
      <c r="I2" s="37">
        <v>9993325021</v>
      </c>
      <c r="J2" s="38" t="s">
        <v>1004</v>
      </c>
      <c r="K2" s="38" t="s">
        <v>1056</v>
      </c>
      <c r="L2" s="37">
        <v>528265775027</v>
      </c>
      <c r="M2" s="40"/>
      <c r="N2" s="38" t="s">
        <v>1057</v>
      </c>
    </row>
    <row r="3" spans="1:14" ht="25.5" x14ac:dyDescent="0.25">
      <c r="A3">
        <f t="shared" ref="A3:A20" si="0">C3</f>
        <v>9833705425</v>
      </c>
      <c r="B3" s="37">
        <f t="shared" ref="B3:B20" si="1">H3</f>
        <v>4</v>
      </c>
      <c r="C3" s="37">
        <f t="shared" ref="C3:C20" si="2">I3</f>
        <v>9833705425</v>
      </c>
      <c r="D3" s="38" t="str">
        <f t="shared" ref="D3:D20" si="3">J3</f>
        <v>Ramesh Mundhra</v>
      </c>
      <c r="E3">
        <f>VLOOKUP(A3,DataPublished!C:C,1,FALSE)</f>
        <v>9833705425</v>
      </c>
      <c r="F3" s="41">
        <v>45941.588043981479</v>
      </c>
      <c r="G3" s="42" t="s">
        <v>1058</v>
      </c>
      <c r="H3" s="43">
        <v>4</v>
      </c>
      <c r="I3" s="43">
        <v>9833705425</v>
      </c>
      <c r="J3" s="42" t="s">
        <v>1005</v>
      </c>
      <c r="K3" s="42" t="s">
        <v>1056</v>
      </c>
      <c r="L3" s="43">
        <v>112486806258</v>
      </c>
      <c r="M3" s="44"/>
      <c r="N3" s="42" t="s">
        <v>1059</v>
      </c>
    </row>
    <row r="4" spans="1:14" x14ac:dyDescent="0.25">
      <c r="A4">
        <f t="shared" si="0"/>
        <v>9820522401</v>
      </c>
      <c r="B4" s="37">
        <f t="shared" si="1"/>
        <v>5</v>
      </c>
      <c r="C4" s="37">
        <f t="shared" si="2"/>
        <v>9820522401</v>
      </c>
      <c r="D4" s="38" t="str">
        <f t="shared" si="3"/>
        <v>Radheshyam Lahoti</v>
      </c>
      <c r="E4">
        <f>VLOOKUP(A4,DataPublished!C:C,1,FALSE)</f>
        <v>9820522401</v>
      </c>
      <c r="F4" s="39">
        <v>45944.770532407405</v>
      </c>
      <c r="G4" s="38" t="s">
        <v>1060</v>
      </c>
      <c r="H4" s="37">
        <v>5</v>
      </c>
      <c r="I4" s="37">
        <v>9820522401</v>
      </c>
      <c r="J4" s="38" t="s">
        <v>1061</v>
      </c>
      <c r="K4" s="38" t="s">
        <v>1056</v>
      </c>
      <c r="L4" s="37">
        <v>54634</v>
      </c>
      <c r="M4" s="40"/>
      <c r="N4" s="38" t="s">
        <v>1062</v>
      </c>
    </row>
    <row r="5" spans="1:14" x14ac:dyDescent="0.25">
      <c r="A5">
        <f t="shared" si="0"/>
        <v>9987207838</v>
      </c>
      <c r="B5" s="37">
        <f t="shared" si="1"/>
        <v>2</v>
      </c>
      <c r="C5" s="37">
        <f t="shared" si="2"/>
        <v>9987207838</v>
      </c>
      <c r="D5" s="38" t="str">
        <f t="shared" si="3"/>
        <v>Sarla Toshniwal</v>
      </c>
      <c r="E5" t="e">
        <f>VLOOKUP(A5,DataPublished!C:C,1,FALSE)</f>
        <v>#N/A</v>
      </c>
      <c r="F5" s="41">
        <v>45948.643993055557</v>
      </c>
      <c r="G5" s="42" t="s">
        <v>1063</v>
      </c>
      <c r="H5" s="43">
        <v>2</v>
      </c>
      <c r="I5" s="43">
        <v>9987207838</v>
      </c>
      <c r="J5" s="42" t="s">
        <v>1064</v>
      </c>
      <c r="K5" s="42" t="s">
        <v>1056</v>
      </c>
      <c r="L5" s="43">
        <v>81820</v>
      </c>
      <c r="M5" s="44"/>
      <c r="N5" s="42" t="s">
        <v>1065</v>
      </c>
    </row>
    <row r="6" spans="1:14" x14ac:dyDescent="0.25">
      <c r="A6">
        <f t="shared" si="0"/>
        <v>9867711122</v>
      </c>
      <c r="B6" s="37">
        <f t="shared" si="1"/>
        <v>3</v>
      </c>
      <c r="C6" s="37">
        <f t="shared" si="2"/>
        <v>9867711122</v>
      </c>
      <c r="D6" s="38" t="str">
        <f t="shared" si="3"/>
        <v>Ravi Soni</v>
      </c>
      <c r="E6">
        <f>VLOOKUP(A6,DataPublished!C:C,1,FALSE)</f>
        <v>9867711122</v>
      </c>
      <c r="F6" s="39">
        <v>45949.444432870368</v>
      </c>
      <c r="G6" s="38" t="s">
        <v>1066</v>
      </c>
      <c r="H6" s="37">
        <v>3</v>
      </c>
      <c r="I6" s="37">
        <v>9867711122</v>
      </c>
      <c r="J6" s="38" t="s">
        <v>1067</v>
      </c>
      <c r="K6" s="38" t="s">
        <v>1056</v>
      </c>
      <c r="L6" s="37">
        <v>81103</v>
      </c>
      <c r="M6" s="40"/>
      <c r="N6" s="38" t="s">
        <v>1068</v>
      </c>
    </row>
    <row r="7" spans="1:14" x14ac:dyDescent="0.25">
      <c r="A7">
        <f t="shared" si="0"/>
        <v>9920307573</v>
      </c>
      <c r="B7" s="37">
        <f t="shared" si="1"/>
        <v>4</v>
      </c>
      <c r="C7" s="37">
        <f t="shared" si="2"/>
        <v>9920307573</v>
      </c>
      <c r="D7" s="38" t="str">
        <f t="shared" si="3"/>
        <v>Mayur Dilip Biyani</v>
      </c>
      <c r="E7">
        <f>VLOOKUP(A7,DataPublished!C:C,1,FALSE)</f>
        <v>9920307573</v>
      </c>
      <c r="F7" s="41">
        <v>45951.820532407408</v>
      </c>
      <c r="G7" s="42" t="s">
        <v>1069</v>
      </c>
      <c r="H7" s="43">
        <v>4</v>
      </c>
      <c r="I7" s="43">
        <v>9920307573</v>
      </c>
      <c r="J7" s="42" t="s">
        <v>593</v>
      </c>
      <c r="K7" s="42" t="s">
        <v>1056</v>
      </c>
      <c r="L7" s="42">
        <v>1991</v>
      </c>
      <c r="M7" s="44"/>
      <c r="N7" s="42" t="s">
        <v>1070</v>
      </c>
    </row>
    <row r="8" spans="1:14" x14ac:dyDescent="0.25">
      <c r="A8">
        <f t="shared" si="0"/>
        <v>9322206108</v>
      </c>
      <c r="B8" s="37">
        <f t="shared" si="1"/>
        <v>5</v>
      </c>
      <c r="C8" s="37">
        <f t="shared" si="2"/>
        <v>9322206108</v>
      </c>
      <c r="D8" s="38" t="str">
        <f t="shared" si="3"/>
        <v>Purushottam Kalantri</v>
      </c>
      <c r="E8">
        <f>VLOOKUP(A8,DataPublished!C:C,1,FALSE)</f>
        <v>9322206108</v>
      </c>
      <c r="F8" s="39">
        <v>45957.750231481485</v>
      </c>
      <c r="G8" s="38" t="s">
        <v>1071</v>
      </c>
      <c r="H8" s="37">
        <v>5</v>
      </c>
      <c r="I8" s="37">
        <v>9322206108</v>
      </c>
      <c r="J8" s="38" t="s">
        <v>1072</v>
      </c>
      <c r="K8" s="38" t="s">
        <v>1056</v>
      </c>
      <c r="L8" s="38">
        <v>6381</v>
      </c>
      <c r="M8" s="40"/>
      <c r="N8" s="38" t="s">
        <v>1073</v>
      </c>
    </row>
    <row r="9" spans="1:14" x14ac:dyDescent="0.25">
      <c r="A9">
        <f t="shared" si="0"/>
        <v>9004928430</v>
      </c>
      <c r="B9" s="37">
        <f t="shared" si="1"/>
        <v>1</v>
      </c>
      <c r="C9" s="37">
        <f t="shared" si="2"/>
        <v>9004928430</v>
      </c>
      <c r="D9" s="38" t="str">
        <f t="shared" si="3"/>
        <v>Naresh Dhoot</v>
      </c>
      <c r="E9">
        <f>VLOOKUP(A9,DataPublished!C:C,1,FALSE)</f>
        <v>9004928430</v>
      </c>
      <c r="F9" s="41">
        <v>45957.952326388891</v>
      </c>
      <c r="G9" s="42" t="s">
        <v>1074</v>
      </c>
      <c r="H9" s="43">
        <v>1</v>
      </c>
      <c r="I9" s="43">
        <v>9004928430</v>
      </c>
      <c r="J9" s="42" t="s">
        <v>1075</v>
      </c>
      <c r="K9" s="42" t="s">
        <v>1056</v>
      </c>
      <c r="L9" s="43">
        <v>77239</v>
      </c>
      <c r="M9" s="44"/>
      <c r="N9" s="42" t="s">
        <v>1076</v>
      </c>
    </row>
    <row r="10" spans="1:14" x14ac:dyDescent="0.25">
      <c r="A10">
        <f t="shared" si="0"/>
        <v>9967031830</v>
      </c>
      <c r="B10" s="37">
        <f t="shared" si="1"/>
        <v>3</v>
      </c>
      <c r="C10" s="37">
        <f t="shared" si="2"/>
        <v>9967031830</v>
      </c>
      <c r="D10" s="38" t="str">
        <f t="shared" si="3"/>
        <v>Rinku Rajgopal Kabra</v>
      </c>
      <c r="E10">
        <f>VLOOKUP(A10,DataPublished!C:C,1,FALSE)</f>
        <v>9967031830</v>
      </c>
      <c r="F10" s="39">
        <v>45958.401388888888</v>
      </c>
      <c r="G10" s="38" t="s">
        <v>1077</v>
      </c>
      <c r="H10" s="37">
        <v>3</v>
      </c>
      <c r="I10" s="37">
        <v>9967031830</v>
      </c>
      <c r="J10" s="38" t="s">
        <v>845</v>
      </c>
      <c r="K10" s="38" t="s">
        <v>1056</v>
      </c>
      <c r="L10" s="37">
        <v>93461</v>
      </c>
      <c r="M10" s="40"/>
      <c r="N10" s="38" t="s">
        <v>1078</v>
      </c>
    </row>
    <row r="11" spans="1:14" x14ac:dyDescent="0.25">
      <c r="A11">
        <f t="shared" si="0"/>
        <v>9820001618</v>
      </c>
      <c r="B11" s="37">
        <f t="shared" si="1"/>
        <v>8</v>
      </c>
      <c r="C11" s="37">
        <f t="shared" si="2"/>
        <v>9820001618</v>
      </c>
      <c r="D11" s="38" t="str">
        <f t="shared" si="3"/>
        <v>Ramavtar Gaggar</v>
      </c>
      <c r="E11">
        <f>VLOOKUP(A11,DataPublished!C:C,1,FALSE)</f>
        <v>9820001618</v>
      </c>
      <c r="F11" s="41">
        <v>45958.442395833335</v>
      </c>
      <c r="G11" s="42" t="s">
        <v>1079</v>
      </c>
      <c r="H11" s="43">
        <v>8</v>
      </c>
      <c r="I11" s="43">
        <v>9820001618</v>
      </c>
      <c r="J11" s="42" t="s">
        <v>1080</v>
      </c>
      <c r="K11" s="42" t="s">
        <v>1056</v>
      </c>
      <c r="L11" s="42">
        <v>8791</v>
      </c>
      <c r="M11" s="44"/>
      <c r="N11" s="42" t="s">
        <v>1081</v>
      </c>
    </row>
    <row r="12" spans="1:14" x14ac:dyDescent="0.25">
      <c r="A12">
        <f t="shared" si="0"/>
        <v>9975708960</v>
      </c>
      <c r="B12" s="37">
        <f t="shared" si="1"/>
        <v>3</v>
      </c>
      <c r="C12" s="37">
        <f t="shared" si="2"/>
        <v>9975708960</v>
      </c>
      <c r="D12" s="38" t="str">
        <f t="shared" si="3"/>
        <v>Priyanka singhi</v>
      </c>
      <c r="E12" t="e">
        <f>VLOOKUP(A12,DataPublished!C:C,1,FALSE)</f>
        <v>#N/A</v>
      </c>
      <c r="F12" s="39">
        <v>45958.46539351852</v>
      </c>
      <c r="G12" s="38" t="s">
        <v>1082</v>
      </c>
      <c r="H12" s="37">
        <v>3</v>
      </c>
      <c r="I12" s="37">
        <v>9975708960</v>
      </c>
      <c r="J12" s="38" t="s">
        <v>1083</v>
      </c>
      <c r="K12" s="38" t="s">
        <v>1056</v>
      </c>
      <c r="L12" s="37">
        <v>80153</v>
      </c>
      <c r="M12" s="40"/>
      <c r="N12" s="38" t="s">
        <v>1084</v>
      </c>
    </row>
    <row r="13" spans="1:14" x14ac:dyDescent="0.25">
      <c r="A13">
        <f t="shared" si="0"/>
        <v>9964005943</v>
      </c>
      <c r="B13" s="37">
        <f t="shared" si="1"/>
        <v>2</v>
      </c>
      <c r="C13" s="37">
        <f t="shared" si="2"/>
        <v>9964005943</v>
      </c>
      <c r="D13" s="38" t="str">
        <f t="shared" si="3"/>
        <v>Rohit Zanwar</v>
      </c>
      <c r="E13">
        <f>VLOOKUP(A13,DataPublished!C:C,1,FALSE)</f>
        <v>9964005943</v>
      </c>
      <c r="F13" s="41">
        <v>45958.681909722225</v>
      </c>
      <c r="G13" s="42" t="s">
        <v>1085</v>
      </c>
      <c r="H13" s="43">
        <v>2</v>
      </c>
      <c r="I13" s="43">
        <v>9964005943</v>
      </c>
      <c r="J13" s="42" t="s">
        <v>1086</v>
      </c>
      <c r="K13" s="42" t="s">
        <v>1056</v>
      </c>
      <c r="L13" s="43">
        <v>71985</v>
      </c>
      <c r="M13" s="44"/>
      <c r="N13" s="42" t="s">
        <v>1087</v>
      </c>
    </row>
    <row r="14" spans="1:14" x14ac:dyDescent="0.25">
      <c r="A14">
        <f t="shared" si="0"/>
        <v>9821116827</v>
      </c>
      <c r="B14" s="37">
        <f t="shared" si="1"/>
        <v>2</v>
      </c>
      <c r="C14" s="37">
        <f t="shared" si="2"/>
        <v>9821116827</v>
      </c>
      <c r="D14" s="38" t="str">
        <f t="shared" si="3"/>
        <v>PUSHKAR SOHANLAL MANTRI</v>
      </c>
      <c r="E14">
        <f>VLOOKUP(A14,DataPublished!C:C,1,FALSE)</f>
        <v>9821116827</v>
      </c>
      <c r="F14" s="39">
        <v>45958.789386574077</v>
      </c>
      <c r="G14" s="38" t="s">
        <v>1088</v>
      </c>
      <c r="H14" s="37">
        <v>2</v>
      </c>
      <c r="I14" s="37">
        <v>9821116827</v>
      </c>
      <c r="J14" s="38" t="s">
        <v>1089</v>
      </c>
      <c r="K14" s="38" t="s">
        <v>1056</v>
      </c>
      <c r="L14" s="37">
        <v>20083</v>
      </c>
      <c r="M14" s="40"/>
      <c r="N14" s="38" t="s">
        <v>1090</v>
      </c>
    </row>
    <row r="15" spans="1:14" x14ac:dyDescent="0.25">
      <c r="A15">
        <f t="shared" si="0"/>
        <v>9820252108</v>
      </c>
      <c r="B15" s="37">
        <f t="shared" si="1"/>
        <v>2</v>
      </c>
      <c r="C15" s="37">
        <f t="shared" si="2"/>
        <v>9820252108</v>
      </c>
      <c r="D15" s="38" t="str">
        <f t="shared" si="3"/>
        <v>Mahesh Lohia</v>
      </c>
      <c r="E15" t="e">
        <f>VLOOKUP(A15,DataPublished!C:C,1,FALSE)</f>
        <v>#N/A</v>
      </c>
      <c r="F15" s="41">
        <v>45958.829386574071</v>
      </c>
      <c r="G15" s="42" t="s">
        <v>1091</v>
      </c>
      <c r="H15" s="43">
        <v>2</v>
      </c>
      <c r="I15" s="43">
        <v>9820252108</v>
      </c>
      <c r="J15" s="42" t="s">
        <v>1092</v>
      </c>
      <c r="K15" s="42" t="s">
        <v>1056</v>
      </c>
      <c r="L15" s="43">
        <v>29665</v>
      </c>
      <c r="M15" s="44"/>
      <c r="N15" s="42" t="s">
        <v>1093</v>
      </c>
    </row>
    <row r="16" spans="1:14" x14ac:dyDescent="0.25">
      <c r="A16">
        <f t="shared" si="0"/>
        <v>9702224535</v>
      </c>
      <c r="B16" s="37">
        <f t="shared" si="1"/>
        <v>3</v>
      </c>
      <c r="C16" s="37">
        <f t="shared" si="2"/>
        <v>9702224535</v>
      </c>
      <c r="D16" s="38" t="str">
        <f t="shared" si="3"/>
        <v>Hemant Bahedia</v>
      </c>
      <c r="E16">
        <f>VLOOKUP(A16,DataPublished!C:C,1,FALSE)</f>
        <v>9702224535</v>
      </c>
      <c r="F16" s="39">
        <v>45958.870798611111</v>
      </c>
      <c r="G16" s="38" t="s">
        <v>1094</v>
      </c>
      <c r="H16" s="37">
        <v>3</v>
      </c>
      <c r="I16" s="37">
        <v>9702224535</v>
      </c>
      <c r="J16" s="38" t="s">
        <v>1095</v>
      </c>
      <c r="K16" s="38" t="s">
        <v>1056</v>
      </c>
      <c r="L16" s="37">
        <v>21640</v>
      </c>
      <c r="M16" s="40"/>
      <c r="N16" s="38" t="s">
        <v>1096</v>
      </c>
    </row>
    <row r="17" spans="1:14" x14ac:dyDescent="0.25">
      <c r="A17">
        <f t="shared" si="0"/>
        <v>9967772280</v>
      </c>
      <c r="B17" s="37">
        <f t="shared" si="1"/>
        <v>2</v>
      </c>
      <c r="C17" s="37">
        <f t="shared" si="2"/>
        <v>9967772280</v>
      </c>
      <c r="D17" s="38" t="str">
        <f t="shared" si="3"/>
        <v>Anuradha Laddha</v>
      </c>
      <c r="E17">
        <f>VLOOKUP(A17,DataPublished!C:C,1,FALSE)</f>
        <v>9967772280</v>
      </c>
      <c r="F17" s="41">
        <v>45959.010682870372</v>
      </c>
      <c r="G17" s="42" t="s">
        <v>1097</v>
      </c>
      <c r="H17" s="43">
        <v>2</v>
      </c>
      <c r="I17" s="43">
        <v>9967772280</v>
      </c>
      <c r="J17" s="42" t="s">
        <v>1098</v>
      </c>
      <c r="K17" s="42" t="s">
        <v>1056</v>
      </c>
      <c r="L17" s="43">
        <v>28641</v>
      </c>
      <c r="M17" s="44"/>
      <c r="N17" s="42" t="s">
        <v>1099</v>
      </c>
    </row>
    <row r="18" spans="1:14" x14ac:dyDescent="0.25">
      <c r="A18">
        <f t="shared" si="0"/>
        <v>9987596931</v>
      </c>
      <c r="B18" s="37">
        <f t="shared" si="1"/>
        <v>2</v>
      </c>
      <c r="C18" s="37">
        <f t="shared" si="2"/>
        <v>9987596931</v>
      </c>
      <c r="D18" s="38" t="str">
        <f t="shared" si="3"/>
        <v>Anju Maheshwari</v>
      </c>
      <c r="E18" t="e">
        <f>VLOOKUP(A18,DataPublished!C:C,1,FALSE)</f>
        <v>#N/A</v>
      </c>
      <c r="F18" s="39">
        <v>45959.295590277776</v>
      </c>
      <c r="G18" s="38" t="s">
        <v>1100</v>
      </c>
      <c r="H18" s="37">
        <v>2</v>
      </c>
      <c r="I18" s="37">
        <v>9987596931</v>
      </c>
      <c r="J18" s="38" t="s">
        <v>1101</v>
      </c>
      <c r="K18" s="38" t="s">
        <v>1056</v>
      </c>
      <c r="L18" s="37">
        <v>28470</v>
      </c>
      <c r="M18" s="40"/>
      <c r="N18" s="38" t="s">
        <v>1102</v>
      </c>
    </row>
    <row r="19" spans="1:14" x14ac:dyDescent="0.25">
      <c r="A19">
        <f t="shared" si="0"/>
        <v>9323589700</v>
      </c>
      <c r="B19" s="37">
        <f t="shared" si="1"/>
        <v>1</v>
      </c>
      <c r="C19" s="37">
        <f t="shared" si="2"/>
        <v>9323589700</v>
      </c>
      <c r="D19" s="38" t="str">
        <f t="shared" si="3"/>
        <v>Pankaj rathi</v>
      </c>
      <c r="E19">
        <f>VLOOKUP(A19,DataPublished!C:C,1,FALSE)</f>
        <v>9323589700</v>
      </c>
      <c r="F19" s="41">
        <v>45959.338159722225</v>
      </c>
      <c r="G19" s="42" t="s">
        <v>1103</v>
      </c>
      <c r="H19" s="43">
        <v>1</v>
      </c>
      <c r="I19" s="43">
        <v>9323589700</v>
      </c>
      <c r="J19" s="42" t="s">
        <v>1104</v>
      </c>
      <c r="K19" s="42" t="s">
        <v>1056</v>
      </c>
      <c r="L19" s="43">
        <v>17577</v>
      </c>
      <c r="M19" s="44"/>
      <c r="N19" s="42" t="s">
        <v>1105</v>
      </c>
    </row>
    <row r="20" spans="1:14" ht="15.75" thickBot="1" x14ac:dyDescent="0.3">
      <c r="A20">
        <f t="shared" si="0"/>
        <v>9833922453</v>
      </c>
      <c r="B20" s="37">
        <f t="shared" si="1"/>
        <v>6</v>
      </c>
      <c r="C20" s="37">
        <f t="shared" si="2"/>
        <v>9833922453</v>
      </c>
      <c r="D20" s="38" t="str">
        <f t="shared" si="3"/>
        <v>Pallavi Kasat</v>
      </c>
      <c r="E20" t="e">
        <f>VLOOKUP(A20,DataPublished!C:C,1,FALSE)</f>
        <v>#N/A</v>
      </c>
      <c r="F20" s="39">
        <v>45959.375057870369</v>
      </c>
      <c r="G20" s="38" t="s">
        <v>1106</v>
      </c>
      <c r="H20" s="37">
        <v>6</v>
      </c>
      <c r="I20" s="37">
        <v>9833922453</v>
      </c>
      <c r="J20" s="38" t="s">
        <v>1107</v>
      </c>
      <c r="K20" s="38" t="s">
        <v>1056</v>
      </c>
      <c r="L20" s="37">
        <v>16427</v>
      </c>
      <c r="M20" s="40"/>
      <c r="N20" s="38" t="s">
        <v>1108</v>
      </c>
    </row>
    <row r="21" spans="1:14" ht="26.25" thickBot="1" x14ac:dyDescent="0.3">
      <c r="A21">
        <f t="shared" ref="A21:A54" si="4">C21</f>
        <v>9002826174</v>
      </c>
      <c r="B21" s="37">
        <f t="shared" ref="B21:B54" si="5">H21</f>
        <v>2</v>
      </c>
      <c r="C21" s="37">
        <f t="shared" ref="C21:C54" si="6">I21</f>
        <v>9002826174</v>
      </c>
      <c r="D21" s="38" t="str">
        <f t="shared" ref="D21:D54" si="7">J21</f>
        <v>Nidhi taparia</v>
      </c>
      <c r="E21" t="e">
        <f>VLOOKUP(A21,DataPublished!C:C,1,FALSE)</f>
        <v>#N/A</v>
      </c>
      <c r="F21" s="45" t="s">
        <v>1127</v>
      </c>
      <c r="G21" s="5" t="s">
        <v>1128</v>
      </c>
      <c r="H21" s="3">
        <v>2</v>
      </c>
      <c r="I21" s="3">
        <v>9002826174</v>
      </c>
      <c r="J21" s="53" t="s">
        <v>1172</v>
      </c>
      <c r="K21" s="53" t="s">
        <v>1056</v>
      </c>
      <c r="L21" s="57">
        <v>16878</v>
      </c>
    </row>
    <row r="22" spans="1:14" ht="26.25" thickBot="1" x14ac:dyDescent="0.3">
      <c r="A22">
        <f t="shared" si="4"/>
        <v>9819146316</v>
      </c>
      <c r="B22" s="37">
        <f t="shared" si="5"/>
        <v>4</v>
      </c>
      <c r="C22" s="37">
        <f t="shared" si="6"/>
        <v>9819146316</v>
      </c>
      <c r="D22" s="38" t="str">
        <f t="shared" si="7"/>
        <v>Vishnu Toshniwal</v>
      </c>
      <c r="E22">
        <f>VLOOKUP(A22,DataPublished!C:C,1,FALSE)</f>
        <v>9819146316</v>
      </c>
      <c r="F22" s="46" t="s">
        <v>1129</v>
      </c>
      <c r="G22" s="6" t="s">
        <v>1130</v>
      </c>
      <c r="H22" s="50">
        <v>4</v>
      </c>
      <c r="I22" s="50">
        <v>9819146316</v>
      </c>
      <c r="J22" s="54" t="s">
        <v>1173</v>
      </c>
      <c r="K22" s="54" t="s">
        <v>1056</v>
      </c>
      <c r="L22" s="58">
        <v>69118</v>
      </c>
    </row>
    <row r="23" spans="1:14" ht="26.25" thickBot="1" x14ac:dyDescent="0.3">
      <c r="A23">
        <f t="shared" si="4"/>
        <v>7506460775</v>
      </c>
      <c r="B23" s="37">
        <f t="shared" si="5"/>
        <v>2</v>
      </c>
      <c r="C23" s="37">
        <f t="shared" si="6"/>
        <v>7506460775</v>
      </c>
      <c r="D23" s="38" t="str">
        <f t="shared" si="7"/>
        <v>Raunak Rathi</v>
      </c>
      <c r="E23" t="e">
        <f>VLOOKUP(A23,DataPublished!C:C,1,FALSE)</f>
        <v>#N/A</v>
      </c>
      <c r="F23" s="47" t="s">
        <v>1131</v>
      </c>
      <c r="G23" s="1" t="s">
        <v>1132</v>
      </c>
      <c r="H23" s="51">
        <v>2</v>
      </c>
      <c r="I23" s="51">
        <v>7506460775</v>
      </c>
      <c r="J23" s="55" t="s">
        <v>1174</v>
      </c>
      <c r="K23" s="55" t="s">
        <v>1056</v>
      </c>
      <c r="L23" s="59">
        <v>40851</v>
      </c>
    </row>
    <row r="24" spans="1:14" ht="26.25" thickBot="1" x14ac:dyDescent="0.3">
      <c r="A24">
        <f t="shared" si="4"/>
        <v>9920485387</v>
      </c>
      <c r="B24" s="37">
        <f t="shared" si="5"/>
        <v>3</v>
      </c>
      <c r="C24" s="37">
        <f t="shared" si="6"/>
        <v>9920485387</v>
      </c>
      <c r="D24" s="38" t="str">
        <f t="shared" si="7"/>
        <v>Dinesh Hari Kabra</v>
      </c>
      <c r="E24">
        <f>VLOOKUP(A24,DataPublished!C:C,1,FALSE)</f>
        <v>9920485387</v>
      </c>
      <c r="F24" s="46" t="s">
        <v>1133</v>
      </c>
      <c r="G24" s="6" t="s">
        <v>1134</v>
      </c>
      <c r="H24" s="50">
        <v>3</v>
      </c>
      <c r="I24" s="50">
        <v>9920485387</v>
      </c>
      <c r="J24" s="54" t="s">
        <v>1175</v>
      </c>
      <c r="K24" s="54" t="s">
        <v>1056</v>
      </c>
      <c r="L24" s="58">
        <v>42270</v>
      </c>
    </row>
    <row r="25" spans="1:14" ht="26.25" thickBot="1" x14ac:dyDescent="0.3">
      <c r="A25">
        <f t="shared" si="4"/>
        <v>9820747070</v>
      </c>
      <c r="B25" s="37">
        <f t="shared" si="5"/>
        <v>3</v>
      </c>
      <c r="C25" s="37">
        <f t="shared" si="6"/>
        <v>9820747070</v>
      </c>
      <c r="D25" s="38" t="str">
        <f t="shared" si="7"/>
        <v>Santosh Dhoot</v>
      </c>
      <c r="E25">
        <f>VLOOKUP(A25,DataPublished!C:C,1,FALSE)</f>
        <v>9820747070</v>
      </c>
      <c r="F25" s="47" t="s">
        <v>1135</v>
      </c>
      <c r="G25" s="1" t="s">
        <v>1136</v>
      </c>
      <c r="H25" s="51">
        <v>3</v>
      </c>
      <c r="I25" s="51">
        <v>9820747070</v>
      </c>
      <c r="J25" s="55" t="s">
        <v>1176</v>
      </c>
      <c r="K25" s="55" t="s">
        <v>1056</v>
      </c>
      <c r="L25" s="59">
        <v>72805</v>
      </c>
    </row>
    <row r="26" spans="1:14" ht="26.25" thickBot="1" x14ac:dyDescent="0.3">
      <c r="A26">
        <f t="shared" si="4"/>
        <v>7387113012</v>
      </c>
      <c r="B26" s="37">
        <f t="shared" si="5"/>
        <v>2</v>
      </c>
      <c r="C26" s="37">
        <f t="shared" si="6"/>
        <v>7387113012</v>
      </c>
      <c r="D26" s="38" t="str">
        <f t="shared" si="7"/>
        <v>Rupesh Somani</v>
      </c>
      <c r="E26">
        <f>VLOOKUP(A26,DataPublished!C:C,1,FALSE)</f>
        <v>7387113012</v>
      </c>
      <c r="F26" s="46" t="s">
        <v>1137</v>
      </c>
      <c r="G26" s="6" t="s">
        <v>1138</v>
      </c>
      <c r="H26" s="50">
        <v>2</v>
      </c>
      <c r="I26" s="50">
        <v>7387113012</v>
      </c>
      <c r="J26" s="54" t="s">
        <v>1177</v>
      </c>
      <c r="K26" s="54" t="s">
        <v>1056</v>
      </c>
      <c r="L26" s="58">
        <v>70086</v>
      </c>
    </row>
    <row r="27" spans="1:14" ht="26.25" thickBot="1" x14ac:dyDescent="0.3">
      <c r="A27">
        <f t="shared" si="4"/>
        <v>9987715825</v>
      </c>
      <c r="B27" s="37">
        <f t="shared" si="5"/>
        <v>4</v>
      </c>
      <c r="C27" s="37">
        <f t="shared" si="6"/>
        <v>9987715825</v>
      </c>
      <c r="D27" s="38" t="str">
        <f t="shared" si="7"/>
        <v>Yash Malani</v>
      </c>
      <c r="E27" t="e">
        <f>VLOOKUP(A27,DataPublished!C:C,1,FALSE)</f>
        <v>#N/A</v>
      </c>
      <c r="F27" s="47" t="s">
        <v>1139</v>
      </c>
      <c r="G27" s="1" t="s">
        <v>1140</v>
      </c>
      <c r="H27" s="51">
        <v>4</v>
      </c>
      <c r="I27" s="51">
        <v>9987715825</v>
      </c>
      <c r="J27" s="55" t="s">
        <v>1178</v>
      </c>
      <c r="K27" s="55" t="s">
        <v>1056</v>
      </c>
      <c r="L27" s="59">
        <v>10477</v>
      </c>
    </row>
    <row r="28" spans="1:14" ht="26.25" thickBot="1" x14ac:dyDescent="0.3">
      <c r="A28">
        <f t="shared" si="4"/>
        <v>9323192651</v>
      </c>
      <c r="B28" s="37">
        <f t="shared" si="5"/>
        <v>1</v>
      </c>
      <c r="C28" s="37">
        <f t="shared" si="6"/>
        <v>9323192651</v>
      </c>
      <c r="D28" s="38" t="str">
        <f t="shared" si="7"/>
        <v>Nilesh Tawari</v>
      </c>
      <c r="E28">
        <f>VLOOKUP(A28,DataPublished!C:C,1,FALSE)</f>
        <v>9323192651</v>
      </c>
      <c r="F28" s="46" t="s">
        <v>1141</v>
      </c>
      <c r="G28" s="6" t="s">
        <v>1142</v>
      </c>
      <c r="H28" s="50">
        <v>1</v>
      </c>
      <c r="I28" s="50">
        <v>9323192651</v>
      </c>
      <c r="J28" s="54" t="s">
        <v>1179</v>
      </c>
      <c r="K28" s="54" t="s">
        <v>1056</v>
      </c>
      <c r="L28" s="58">
        <v>15925</v>
      </c>
    </row>
    <row r="29" spans="1:14" ht="26.25" thickBot="1" x14ac:dyDescent="0.3">
      <c r="A29">
        <f t="shared" si="4"/>
        <v>9529611813</v>
      </c>
      <c r="B29" s="37">
        <f t="shared" si="5"/>
        <v>4</v>
      </c>
      <c r="C29" s="37">
        <f t="shared" si="6"/>
        <v>9529611813</v>
      </c>
      <c r="D29" s="38" t="str">
        <f t="shared" si="7"/>
        <v>Abhishek Rathi</v>
      </c>
      <c r="E29">
        <f>VLOOKUP(A29,DataPublished!C:C,1,FALSE)</f>
        <v>9529611813</v>
      </c>
      <c r="F29" s="47" t="s">
        <v>1143</v>
      </c>
      <c r="G29" s="1" t="s">
        <v>1144</v>
      </c>
      <c r="H29" s="51">
        <v>4</v>
      </c>
      <c r="I29" s="51">
        <v>9529611813</v>
      </c>
      <c r="J29" s="55" t="s">
        <v>1180</v>
      </c>
      <c r="K29" s="55" t="s">
        <v>1056</v>
      </c>
      <c r="L29" s="59">
        <v>90705</v>
      </c>
    </row>
    <row r="30" spans="1:14" ht="26.25" thickBot="1" x14ac:dyDescent="0.3">
      <c r="A30">
        <f t="shared" si="4"/>
        <v>9833451953</v>
      </c>
      <c r="B30" s="37">
        <f t="shared" si="5"/>
        <v>6</v>
      </c>
      <c r="C30" s="37">
        <f t="shared" si="6"/>
        <v>9833451953</v>
      </c>
      <c r="D30" s="38" t="str">
        <f t="shared" si="7"/>
        <v>Khushbu bhala</v>
      </c>
      <c r="E30" t="e">
        <f>VLOOKUP(A30,DataPublished!C:C,1,FALSE)</f>
        <v>#N/A</v>
      </c>
      <c r="F30" s="46" t="s">
        <v>1145</v>
      </c>
      <c r="G30" s="6" t="s">
        <v>1146</v>
      </c>
      <c r="H30" s="50">
        <v>6</v>
      </c>
      <c r="I30" s="50">
        <v>9833451953</v>
      </c>
      <c r="J30" s="54" t="s">
        <v>1181</v>
      </c>
      <c r="K30" s="54" t="s">
        <v>1056</v>
      </c>
      <c r="L30" s="58">
        <v>97389</v>
      </c>
    </row>
    <row r="31" spans="1:14" ht="26.25" thickBot="1" x14ac:dyDescent="0.3">
      <c r="A31">
        <f t="shared" si="4"/>
        <v>9004481082</v>
      </c>
      <c r="B31" s="37">
        <f t="shared" si="5"/>
        <v>3</v>
      </c>
      <c r="C31" s="37">
        <f t="shared" si="6"/>
        <v>9004481082</v>
      </c>
      <c r="D31" s="38" t="str">
        <f t="shared" si="7"/>
        <v>Ramanuj Dad</v>
      </c>
      <c r="E31">
        <f>VLOOKUP(A31,DataPublished!C:C,1,FALSE)</f>
        <v>9004481082</v>
      </c>
      <c r="F31" s="47" t="s">
        <v>1147</v>
      </c>
      <c r="G31" s="1" t="s">
        <v>1148</v>
      </c>
      <c r="H31" s="51">
        <v>3</v>
      </c>
      <c r="I31" s="51">
        <v>9004481082</v>
      </c>
      <c r="J31" s="55" t="s">
        <v>1182</v>
      </c>
      <c r="K31" s="55" t="s">
        <v>1056</v>
      </c>
      <c r="L31" s="59">
        <v>19968</v>
      </c>
    </row>
    <row r="32" spans="1:14" ht="15.75" thickBot="1" x14ac:dyDescent="0.3">
      <c r="A32">
        <f t="shared" si="4"/>
        <v>8383088008</v>
      </c>
      <c r="B32" s="37">
        <f t="shared" si="5"/>
        <v>3</v>
      </c>
      <c r="C32" s="37">
        <f t="shared" si="6"/>
        <v>8383088008</v>
      </c>
      <c r="D32" s="38" t="str">
        <f t="shared" si="7"/>
        <v>Sanwariya Somani</v>
      </c>
      <c r="E32">
        <f>VLOOKUP(A32,DataPublished!C:C,1,FALSE)</f>
        <v>8383088008</v>
      </c>
      <c r="F32" s="26">
        <v>45668.404317129629</v>
      </c>
      <c r="G32" s="6" t="s">
        <v>1149</v>
      </c>
      <c r="H32" s="50">
        <v>3</v>
      </c>
      <c r="I32" s="50">
        <v>8383088008</v>
      </c>
      <c r="J32" s="54" t="s">
        <v>1183</v>
      </c>
      <c r="K32" s="54" t="s">
        <v>1056</v>
      </c>
      <c r="L32" s="58">
        <v>36151</v>
      </c>
    </row>
    <row r="33" spans="1:12" ht="15.75" thickBot="1" x14ac:dyDescent="0.3">
      <c r="A33">
        <f t="shared" si="4"/>
        <v>9867621977</v>
      </c>
      <c r="B33" s="37">
        <f t="shared" si="5"/>
        <v>2</v>
      </c>
      <c r="C33" s="37">
        <f t="shared" si="6"/>
        <v>9867621977</v>
      </c>
      <c r="D33" s="38" t="str">
        <f t="shared" si="7"/>
        <v>Naresh Kabra</v>
      </c>
      <c r="E33">
        <f>VLOOKUP(A33,DataPublished!C:C,1,FALSE)</f>
        <v>9867621977</v>
      </c>
      <c r="F33" s="25">
        <v>45668.446643518517</v>
      </c>
      <c r="G33" s="1" t="s">
        <v>1150</v>
      </c>
      <c r="H33" s="51">
        <v>2</v>
      </c>
      <c r="I33" s="51">
        <v>9867621977</v>
      </c>
      <c r="J33" s="55" t="s">
        <v>1184</v>
      </c>
      <c r="K33" s="55" t="s">
        <v>1056</v>
      </c>
      <c r="L33" s="59">
        <v>90139</v>
      </c>
    </row>
    <row r="34" spans="1:12" ht="15.75" thickBot="1" x14ac:dyDescent="0.3">
      <c r="A34">
        <f t="shared" si="4"/>
        <v>9819364345</v>
      </c>
      <c r="B34" s="37">
        <f t="shared" si="5"/>
        <v>4</v>
      </c>
      <c r="C34" s="37">
        <f t="shared" si="6"/>
        <v>9819364345</v>
      </c>
      <c r="D34" s="38" t="str">
        <f t="shared" si="7"/>
        <v>Ankit Kabra</v>
      </c>
      <c r="E34">
        <f>VLOOKUP(A34,DataPublished!C:C,1,FALSE)</f>
        <v>9819364345</v>
      </c>
      <c r="F34" s="26">
        <v>45668.470671296294</v>
      </c>
      <c r="G34" s="6" t="s">
        <v>1151</v>
      </c>
      <c r="H34" s="50">
        <v>4</v>
      </c>
      <c r="I34" s="50">
        <v>9819364345</v>
      </c>
      <c r="J34" s="54" t="s">
        <v>1185</v>
      </c>
      <c r="K34" s="54" t="s">
        <v>1056</v>
      </c>
      <c r="L34" s="58">
        <v>10651</v>
      </c>
    </row>
    <row r="35" spans="1:12" ht="15.75" thickBot="1" x14ac:dyDescent="0.3">
      <c r="A35">
        <f t="shared" si="4"/>
        <v>9920020171</v>
      </c>
      <c r="B35" s="37">
        <f t="shared" si="5"/>
        <v>4</v>
      </c>
      <c r="C35" s="37">
        <f t="shared" si="6"/>
        <v>9920020171</v>
      </c>
      <c r="D35" s="38" t="str">
        <f t="shared" si="7"/>
        <v>Harish Bhootra</v>
      </c>
      <c r="E35" t="e">
        <f>VLOOKUP(A35,DataPublished!C:C,1,FALSE)</f>
        <v>#N/A</v>
      </c>
      <c r="F35" s="25">
        <v>45668.534490740742</v>
      </c>
      <c r="G35" s="1" t="s">
        <v>1152</v>
      </c>
      <c r="H35" s="51">
        <v>4</v>
      </c>
      <c r="I35" s="51">
        <v>9920020171</v>
      </c>
      <c r="J35" s="55" t="s">
        <v>1186</v>
      </c>
      <c r="K35" s="55" t="s">
        <v>1206</v>
      </c>
      <c r="L35" s="59">
        <v>64713</v>
      </c>
    </row>
    <row r="36" spans="1:12" ht="15.75" thickBot="1" x14ac:dyDescent="0.3">
      <c r="A36">
        <f t="shared" si="4"/>
        <v>9664467750</v>
      </c>
      <c r="B36" s="37">
        <f t="shared" si="5"/>
        <v>2</v>
      </c>
      <c r="C36" s="37">
        <f t="shared" si="6"/>
        <v>9664467750</v>
      </c>
      <c r="D36" s="38" t="str">
        <f t="shared" si="7"/>
        <v>Shivratan gaggar</v>
      </c>
      <c r="E36">
        <f>VLOOKUP(A36,DataPublished!C:C,1,FALSE)</f>
        <v>9664467750</v>
      </c>
      <c r="F36" s="26">
        <v>45668.549780092595</v>
      </c>
      <c r="G36" s="6" t="s">
        <v>1153</v>
      </c>
      <c r="H36" s="50">
        <v>2</v>
      </c>
      <c r="I36" s="50">
        <v>9664467750</v>
      </c>
      <c r="J36" s="54" t="s">
        <v>1187</v>
      </c>
      <c r="K36" s="54" t="s">
        <v>1056</v>
      </c>
      <c r="L36" s="58">
        <v>46959</v>
      </c>
    </row>
    <row r="37" spans="1:12" ht="15.75" thickBot="1" x14ac:dyDescent="0.3">
      <c r="A37">
        <f t="shared" si="4"/>
        <v>9320770849</v>
      </c>
      <c r="B37" s="37">
        <f t="shared" si="5"/>
        <v>2</v>
      </c>
      <c r="C37" s="37">
        <f t="shared" si="6"/>
        <v>9320770849</v>
      </c>
      <c r="D37" s="38" t="str">
        <f t="shared" si="7"/>
        <v>Neelam Toshniwal</v>
      </c>
      <c r="E37">
        <f>VLOOKUP(A37,DataPublished!C:C,1,FALSE)</f>
        <v>9320770849</v>
      </c>
      <c r="F37" s="25">
        <v>45668.559583333335</v>
      </c>
      <c r="G37" s="1" t="s">
        <v>1154</v>
      </c>
      <c r="H37" s="51">
        <v>2</v>
      </c>
      <c r="I37" s="51">
        <v>9320770849</v>
      </c>
      <c r="J37" s="55" t="s">
        <v>1188</v>
      </c>
      <c r="K37" s="55" t="s">
        <v>1056</v>
      </c>
      <c r="L37" s="59">
        <v>72503</v>
      </c>
    </row>
    <row r="38" spans="1:12" ht="15.75" thickBot="1" x14ac:dyDescent="0.3">
      <c r="A38">
        <f t="shared" si="4"/>
        <v>9869834085</v>
      </c>
      <c r="B38" s="37">
        <f t="shared" si="5"/>
        <v>2</v>
      </c>
      <c r="C38" s="37">
        <f t="shared" si="6"/>
        <v>9869834085</v>
      </c>
      <c r="D38" s="38" t="str">
        <f t="shared" si="7"/>
        <v>Sumit Somani</v>
      </c>
      <c r="E38" t="e">
        <f>VLOOKUP(A38,DataPublished!C:C,1,FALSE)</f>
        <v>#N/A</v>
      </c>
      <c r="F38" s="26">
        <v>45668.59952546296</v>
      </c>
      <c r="G38" s="6" t="s">
        <v>1155</v>
      </c>
      <c r="H38" s="50">
        <v>2</v>
      </c>
      <c r="I38" s="50">
        <v>9869834085</v>
      </c>
      <c r="J38" s="54" t="s">
        <v>1189</v>
      </c>
      <c r="K38" s="54" t="s">
        <v>1056</v>
      </c>
      <c r="L38" s="58">
        <v>41509</v>
      </c>
    </row>
    <row r="39" spans="1:12" ht="15.75" thickBot="1" x14ac:dyDescent="0.3">
      <c r="A39">
        <f t="shared" si="4"/>
        <v>7506747155</v>
      </c>
      <c r="B39" s="37">
        <f t="shared" si="5"/>
        <v>4</v>
      </c>
      <c r="C39" s="37">
        <f t="shared" si="6"/>
        <v>7506747155</v>
      </c>
      <c r="D39" s="38" t="str">
        <f t="shared" si="7"/>
        <v>Jai Prakash Rathi</v>
      </c>
      <c r="E39">
        <f>VLOOKUP(A39,DataPublished!C:C,1,FALSE)</f>
        <v>7506747155</v>
      </c>
      <c r="F39" s="25">
        <v>45668.616099537037</v>
      </c>
      <c r="G39" s="1" t="s">
        <v>1156</v>
      </c>
      <c r="H39" s="51">
        <v>4</v>
      </c>
      <c r="I39" s="51">
        <v>7506747155</v>
      </c>
      <c r="J39" s="55" t="s">
        <v>1190</v>
      </c>
      <c r="K39" s="55" t="s">
        <v>1056</v>
      </c>
      <c r="L39" s="59">
        <v>33904</v>
      </c>
    </row>
    <row r="40" spans="1:12" ht="15.75" thickBot="1" x14ac:dyDescent="0.3">
      <c r="A40">
        <f t="shared" si="4"/>
        <v>9967841114</v>
      </c>
      <c r="B40" s="37">
        <f t="shared" si="5"/>
        <v>3</v>
      </c>
      <c r="C40" s="37">
        <f t="shared" si="6"/>
        <v>9967841114</v>
      </c>
      <c r="D40" s="38" t="str">
        <f t="shared" si="7"/>
        <v>Ramesh Mundra</v>
      </c>
      <c r="E40">
        <f>VLOOKUP(A40,DataPublished!C:C,1,FALSE)</f>
        <v>9967841114</v>
      </c>
      <c r="F40" s="26">
        <v>45668.689872685187</v>
      </c>
      <c r="G40" s="6" t="s">
        <v>1157</v>
      </c>
      <c r="H40" s="50">
        <v>3</v>
      </c>
      <c r="I40" s="50">
        <v>9967841114</v>
      </c>
      <c r="J40" s="54" t="s">
        <v>1191</v>
      </c>
      <c r="K40" s="54" t="s">
        <v>1056</v>
      </c>
      <c r="L40" s="58">
        <v>17693</v>
      </c>
    </row>
    <row r="41" spans="1:12" ht="15.75" thickBot="1" x14ac:dyDescent="0.3">
      <c r="A41">
        <f t="shared" si="4"/>
        <v>9322853147</v>
      </c>
      <c r="B41" s="37">
        <f t="shared" si="5"/>
        <v>2</v>
      </c>
      <c r="C41" s="37">
        <f t="shared" si="6"/>
        <v>9322853147</v>
      </c>
      <c r="D41" s="38" t="str">
        <f t="shared" si="7"/>
        <v>Nandkishore Attal</v>
      </c>
      <c r="E41">
        <f>VLOOKUP(A41,DataPublished!C:C,1,FALSE)</f>
        <v>9322853147</v>
      </c>
      <c r="F41" s="25">
        <v>45668.716458333336</v>
      </c>
      <c r="G41" s="1" t="s">
        <v>1158</v>
      </c>
      <c r="H41" s="51">
        <v>2</v>
      </c>
      <c r="I41" s="51">
        <v>9322853147</v>
      </c>
      <c r="J41" s="55" t="s">
        <v>1192</v>
      </c>
      <c r="K41" s="55" t="s">
        <v>1056</v>
      </c>
      <c r="L41" s="59">
        <v>40459</v>
      </c>
    </row>
    <row r="42" spans="1:12" ht="15.75" thickBot="1" x14ac:dyDescent="0.3">
      <c r="A42">
        <f t="shared" si="4"/>
        <v>9764005162</v>
      </c>
      <c r="B42" s="37">
        <f t="shared" si="5"/>
        <v>2</v>
      </c>
      <c r="C42" s="37">
        <f t="shared" si="6"/>
        <v>9764005162</v>
      </c>
      <c r="D42" s="38" t="str">
        <f t="shared" si="7"/>
        <v>Atul Bhutada</v>
      </c>
      <c r="E42">
        <f>VLOOKUP(A42,DataPublished!C:C,1,FALSE)</f>
        <v>9764005162</v>
      </c>
      <c r="F42" s="26">
        <v>45668.760567129626</v>
      </c>
      <c r="G42" s="6" t="s">
        <v>1159</v>
      </c>
      <c r="H42" s="50">
        <v>2</v>
      </c>
      <c r="I42" s="50">
        <v>9764005162</v>
      </c>
      <c r="J42" s="54" t="s">
        <v>1193</v>
      </c>
      <c r="K42" s="54" t="s">
        <v>1056</v>
      </c>
      <c r="L42" s="60">
        <v>5944</v>
      </c>
    </row>
    <row r="43" spans="1:12" ht="15.75" thickBot="1" x14ac:dyDescent="0.3">
      <c r="A43">
        <f t="shared" si="4"/>
        <v>9892441866</v>
      </c>
      <c r="B43" s="37">
        <f t="shared" si="5"/>
        <v>4</v>
      </c>
      <c r="C43" s="37">
        <f t="shared" si="6"/>
        <v>9892441866</v>
      </c>
      <c r="D43" s="38" t="str">
        <f t="shared" si="7"/>
        <v>Archana Singhi</v>
      </c>
      <c r="E43" t="e">
        <f>VLOOKUP(A43,DataPublished!C:C,1,FALSE)</f>
        <v>#N/A</v>
      </c>
      <c r="F43" s="25">
        <v>45668.959687499999</v>
      </c>
      <c r="G43" s="1" t="s">
        <v>1160</v>
      </c>
      <c r="H43" s="51">
        <v>4</v>
      </c>
      <c r="I43" s="51">
        <v>9892441866</v>
      </c>
      <c r="J43" s="55" t="s">
        <v>1194</v>
      </c>
      <c r="K43" s="55" t="s">
        <v>1056</v>
      </c>
      <c r="L43" s="59">
        <v>14025</v>
      </c>
    </row>
    <row r="44" spans="1:12" ht="26.25" thickBot="1" x14ac:dyDescent="0.3">
      <c r="A44">
        <f t="shared" si="4"/>
        <v>9152292507</v>
      </c>
      <c r="B44" s="37">
        <f t="shared" si="5"/>
        <v>2</v>
      </c>
      <c r="C44" s="37">
        <f t="shared" si="6"/>
        <v>9152292507</v>
      </c>
      <c r="D44" s="38" t="str">
        <f t="shared" si="7"/>
        <v>Yogaysh Lahoti</v>
      </c>
      <c r="E44" t="e">
        <f>VLOOKUP(A44,DataPublished!C:C,1,FALSE)</f>
        <v>#N/A</v>
      </c>
      <c r="F44" s="26">
        <v>45699.028599537036</v>
      </c>
      <c r="G44" s="6" t="s">
        <v>1161</v>
      </c>
      <c r="H44" s="50">
        <v>2</v>
      </c>
      <c r="I44" s="50">
        <v>9152292507</v>
      </c>
      <c r="J44" s="54" t="s">
        <v>1195</v>
      </c>
      <c r="K44" s="54" t="s">
        <v>1056</v>
      </c>
      <c r="L44" s="58">
        <v>86001</v>
      </c>
    </row>
    <row r="45" spans="1:12" ht="15.75" thickBot="1" x14ac:dyDescent="0.3">
      <c r="A45">
        <f t="shared" si="4"/>
        <v>9004325415</v>
      </c>
      <c r="B45" s="37">
        <f t="shared" si="5"/>
        <v>4</v>
      </c>
      <c r="C45" s="37">
        <f t="shared" si="6"/>
        <v>9004325415</v>
      </c>
      <c r="D45" s="38" t="str">
        <f t="shared" si="7"/>
        <v>Jaishree Sawna</v>
      </c>
      <c r="E45" t="e">
        <f>VLOOKUP(A45,DataPublished!C:C,1,FALSE)</f>
        <v>#N/A</v>
      </c>
      <c r="F45" s="25">
        <v>45699.397199074076</v>
      </c>
      <c r="G45" s="1" t="s">
        <v>1162</v>
      </c>
      <c r="H45" s="51">
        <v>4</v>
      </c>
      <c r="I45" s="51">
        <v>9004325415</v>
      </c>
      <c r="J45" s="55" t="s">
        <v>1196</v>
      </c>
      <c r="K45" s="55" t="s">
        <v>1056</v>
      </c>
      <c r="L45" s="59">
        <v>85952</v>
      </c>
    </row>
    <row r="46" spans="1:12" ht="15.75" thickBot="1" x14ac:dyDescent="0.3">
      <c r="A46">
        <f t="shared" si="4"/>
        <v>9869064553</v>
      </c>
      <c r="B46" s="37">
        <f t="shared" si="5"/>
        <v>7</v>
      </c>
      <c r="C46" s="37">
        <f t="shared" si="6"/>
        <v>9869064553</v>
      </c>
      <c r="D46" s="38" t="str">
        <f t="shared" si="7"/>
        <v>PREM</v>
      </c>
      <c r="E46">
        <f>VLOOKUP(A46,DataPublished!C:C,1,FALSE)</f>
        <v>9869064553</v>
      </c>
      <c r="F46" s="26">
        <v>45699.45449074074</v>
      </c>
      <c r="G46" s="6" t="s">
        <v>1163</v>
      </c>
      <c r="H46" s="50">
        <v>7</v>
      </c>
      <c r="I46" s="50">
        <v>9869064553</v>
      </c>
      <c r="J46" s="54" t="s">
        <v>1197</v>
      </c>
      <c r="K46" s="54" t="s">
        <v>1056</v>
      </c>
      <c r="L46" s="58">
        <v>27182</v>
      </c>
    </row>
    <row r="47" spans="1:12" ht="15.75" thickBot="1" x14ac:dyDescent="0.3">
      <c r="A47">
        <f t="shared" si="4"/>
        <v>9833838483</v>
      </c>
      <c r="B47" s="37">
        <f t="shared" si="5"/>
        <v>5</v>
      </c>
      <c r="C47" s="37">
        <f t="shared" si="6"/>
        <v>9833838483</v>
      </c>
      <c r="D47" s="38" t="str">
        <f t="shared" si="7"/>
        <v>Deepak nawal</v>
      </c>
      <c r="E47" t="e">
        <f>VLOOKUP(A47,DataPublished!C:C,1,FALSE)</f>
        <v>#N/A</v>
      </c>
      <c r="F47" s="25">
        <v>45699.473715277774</v>
      </c>
      <c r="G47" s="1" t="s">
        <v>1164</v>
      </c>
      <c r="H47" s="51">
        <v>5</v>
      </c>
      <c r="I47" s="51">
        <v>9833838483</v>
      </c>
      <c r="J47" s="55" t="s">
        <v>1198</v>
      </c>
      <c r="K47" s="55" t="s">
        <v>1056</v>
      </c>
      <c r="L47" s="59">
        <v>23888</v>
      </c>
    </row>
    <row r="48" spans="1:12" ht="15.75" thickBot="1" x14ac:dyDescent="0.3">
      <c r="A48">
        <f t="shared" si="4"/>
        <v>9594784401</v>
      </c>
      <c r="B48" s="37">
        <f t="shared" si="5"/>
        <v>3</v>
      </c>
      <c r="C48" s="37">
        <f t="shared" si="6"/>
        <v>9594784401</v>
      </c>
      <c r="D48" s="38" t="str">
        <f t="shared" si="7"/>
        <v>Ajay Jhanwar</v>
      </c>
      <c r="E48">
        <f>VLOOKUP(A48,DataPublished!C:C,1,FALSE)</f>
        <v>9594784401</v>
      </c>
      <c r="F48" s="26">
        <v>45699.506643518522</v>
      </c>
      <c r="G48" s="6" t="s">
        <v>1165</v>
      </c>
      <c r="H48" s="50">
        <v>3</v>
      </c>
      <c r="I48" s="50">
        <v>9594784401</v>
      </c>
      <c r="J48" s="54" t="s">
        <v>1199</v>
      </c>
      <c r="K48" s="54" t="s">
        <v>1056</v>
      </c>
      <c r="L48" s="58">
        <v>32796</v>
      </c>
    </row>
    <row r="49" spans="1:12" ht="15.75" thickBot="1" x14ac:dyDescent="0.3">
      <c r="A49">
        <f t="shared" si="4"/>
        <v>9819424430</v>
      </c>
      <c r="B49" s="37">
        <f t="shared" si="5"/>
        <v>2</v>
      </c>
      <c r="C49" s="37">
        <f t="shared" si="6"/>
        <v>9819424430</v>
      </c>
      <c r="D49" s="38" t="str">
        <f t="shared" si="7"/>
        <v>Shailendra Beli</v>
      </c>
      <c r="E49">
        <f>VLOOKUP(A49,DataPublished!C:C,1,FALSE)</f>
        <v>9819424430</v>
      </c>
      <c r="F49" s="25">
        <v>45699.562708333331</v>
      </c>
      <c r="G49" s="1" t="s">
        <v>1166</v>
      </c>
      <c r="H49" s="51">
        <v>2</v>
      </c>
      <c r="I49" s="51">
        <v>9819424430</v>
      </c>
      <c r="J49" s="55" t="s">
        <v>1200</v>
      </c>
      <c r="K49" s="55" t="s">
        <v>1056</v>
      </c>
      <c r="L49" s="59">
        <v>55237</v>
      </c>
    </row>
    <row r="50" spans="1:12" ht="15.75" thickBot="1" x14ac:dyDescent="0.3">
      <c r="A50">
        <f t="shared" si="4"/>
        <v>7506940025</v>
      </c>
      <c r="B50" s="37">
        <f t="shared" si="5"/>
        <v>3</v>
      </c>
      <c r="C50" s="37">
        <f t="shared" si="6"/>
        <v>7506940025</v>
      </c>
      <c r="D50" s="38" t="str">
        <f t="shared" si="7"/>
        <v>Ujwala gattani</v>
      </c>
      <c r="E50" t="e">
        <f>VLOOKUP(A50,DataPublished!C:C,1,FALSE)</f>
        <v>#N/A</v>
      </c>
      <c r="F50" s="26">
        <v>45699.58488425926</v>
      </c>
      <c r="G50" s="6" t="s">
        <v>1167</v>
      </c>
      <c r="H50" s="50">
        <v>3</v>
      </c>
      <c r="I50" s="50">
        <v>7506940025</v>
      </c>
      <c r="J50" s="54" t="s">
        <v>1201</v>
      </c>
      <c r="K50" s="54" t="s">
        <v>1056</v>
      </c>
      <c r="L50" s="58">
        <v>44477</v>
      </c>
    </row>
    <row r="51" spans="1:12" ht="15.75" thickBot="1" x14ac:dyDescent="0.3">
      <c r="A51">
        <f t="shared" si="4"/>
        <v>9820075931</v>
      </c>
      <c r="B51" s="37">
        <f t="shared" si="5"/>
        <v>2</v>
      </c>
      <c r="C51" s="37">
        <f t="shared" si="6"/>
        <v>9820075931</v>
      </c>
      <c r="D51" s="38" t="str">
        <f t="shared" si="7"/>
        <v>Dilip Maheshwari</v>
      </c>
      <c r="E51">
        <f>VLOOKUP(A51,DataPublished!C:C,1,FALSE)</f>
        <v>9820075931</v>
      </c>
      <c r="F51" s="25">
        <v>45699.585150462961</v>
      </c>
      <c r="G51" s="1" t="s">
        <v>1168</v>
      </c>
      <c r="H51" s="51">
        <v>2</v>
      </c>
      <c r="I51" s="51">
        <v>9820075931</v>
      </c>
      <c r="J51" s="55" t="s">
        <v>1202</v>
      </c>
      <c r="K51" s="55" t="s">
        <v>1056</v>
      </c>
      <c r="L51" s="59">
        <v>50509</v>
      </c>
    </row>
    <row r="52" spans="1:12" ht="15.75" thickBot="1" x14ac:dyDescent="0.3">
      <c r="A52">
        <f t="shared" si="4"/>
        <v>9088014904</v>
      </c>
      <c r="B52" s="37">
        <f t="shared" si="5"/>
        <v>5</v>
      </c>
      <c r="C52" s="37">
        <f t="shared" si="6"/>
        <v>9088014904</v>
      </c>
      <c r="D52" s="38" t="str">
        <f t="shared" si="7"/>
        <v>Ankit Rathi</v>
      </c>
      <c r="E52">
        <f>VLOOKUP(A52,DataPublished!C:C,1,FALSE)</f>
        <v>9088014904</v>
      </c>
      <c r="F52" s="26">
        <v>45699.586875000001</v>
      </c>
      <c r="G52" s="6" t="s">
        <v>1169</v>
      </c>
      <c r="H52" s="50">
        <v>5</v>
      </c>
      <c r="I52" s="50">
        <v>9088014904</v>
      </c>
      <c r="J52" s="54" t="s">
        <v>1203</v>
      </c>
      <c r="K52" s="54" t="s">
        <v>1056</v>
      </c>
      <c r="L52" s="60">
        <v>6015</v>
      </c>
    </row>
    <row r="53" spans="1:12" ht="15.75" thickBot="1" x14ac:dyDescent="0.3">
      <c r="A53">
        <f t="shared" si="4"/>
        <v>7208998099</v>
      </c>
      <c r="B53" s="37">
        <f t="shared" si="5"/>
        <v>3</v>
      </c>
      <c r="C53" s="37">
        <f t="shared" si="6"/>
        <v>7208998099</v>
      </c>
      <c r="D53" s="38" t="str">
        <f t="shared" si="7"/>
        <v>Ankit Dhoot</v>
      </c>
      <c r="E53">
        <f>VLOOKUP(A53,DataPublished!C:C,1,FALSE)</f>
        <v>7208998099</v>
      </c>
      <c r="F53" s="25">
        <v>45699.58693287037</v>
      </c>
      <c r="G53" s="1" t="s">
        <v>1170</v>
      </c>
      <c r="H53" s="51">
        <v>3</v>
      </c>
      <c r="I53" s="51">
        <v>7208998099</v>
      </c>
      <c r="J53" s="55" t="s">
        <v>1204</v>
      </c>
      <c r="K53" s="55" t="s">
        <v>1056</v>
      </c>
      <c r="L53" s="59">
        <v>63720</v>
      </c>
    </row>
    <row r="54" spans="1:12" ht="15.75" thickBot="1" x14ac:dyDescent="0.3">
      <c r="A54">
        <f t="shared" si="4"/>
        <v>9324780543</v>
      </c>
      <c r="B54" s="37">
        <f t="shared" si="5"/>
        <v>2</v>
      </c>
      <c r="C54" s="37">
        <f t="shared" si="6"/>
        <v>9324780543</v>
      </c>
      <c r="D54" s="38" t="str">
        <f t="shared" si="7"/>
        <v>Rupali Biyani</v>
      </c>
      <c r="E54" t="e">
        <f>VLOOKUP(A54,DataPublished!C:C,1,FALSE)</f>
        <v>#N/A</v>
      </c>
      <c r="F54" s="48">
        <v>45699.733067129629</v>
      </c>
      <c r="G54" s="49" t="s">
        <v>1171</v>
      </c>
      <c r="H54" s="52">
        <v>2</v>
      </c>
      <c r="I54" s="52">
        <v>9324780543</v>
      </c>
      <c r="J54" s="56" t="s">
        <v>1205</v>
      </c>
      <c r="K54" s="56" t="s">
        <v>1056</v>
      </c>
      <c r="L54" s="61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UpdateLogToUse</vt:lpstr>
      <vt:lpstr>UpdateLogForMErge</vt:lpstr>
      <vt:lpstr>OldLink_CallLog_Status</vt:lpstr>
      <vt:lpstr>DataPublished</vt:lpstr>
      <vt:lpstr>Karykarta List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2025-11-04T17:43:32Z</dcterms:modified>
</cp:coreProperties>
</file>