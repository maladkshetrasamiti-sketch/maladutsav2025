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tish\Code\maladutsav2025\"/>
    </mc:Choice>
  </mc:AlternateContent>
  <xr:revisionPtr revIDLastSave="0" documentId="13_ncr:1_{A29050A0-44A8-4237-8018-1194FC542250}" xr6:coauthVersionLast="47" xr6:coauthVersionMax="47" xr10:uidLastSave="{00000000-0000-0000-0000-000000000000}"/>
  <bookViews>
    <workbookView xWindow="-120" yWindow="-120" windowWidth="29040" windowHeight="15720" activeTab="4" xr2:uid="{FB630033-7BA2-4C08-A2C1-ECEA018E9821}"/>
  </bookViews>
  <sheets>
    <sheet name="DataPublished" sheetId="1" r:id="rId1"/>
    <sheet name="Sheet3" sheetId="7" r:id="rId2"/>
    <sheet name="Sheet2" sheetId="6" r:id="rId3"/>
    <sheet name="Sheet1" sheetId="4" r:id="rId4"/>
    <sheet name="CallLog_Latest" sheetId="5" r:id="rId5"/>
    <sheet name="fromNewLinkREsponses" sheetId="8" r:id="rId6"/>
    <sheet name="Registration" sheetId="3" r:id="rId7"/>
  </sheets>
  <externalReferences>
    <externalReference r:id="rId8"/>
  </externalReferences>
  <definedNames>
    <definedName name="_xlnm._FilterDatabase" localSheetId="4" hidden="1">CallLog_Latest!$A$1:$I$316</definedName>
    <definedName name="_xlnm._FilterDatabase" localSheetId="0" hidden="1">DataPublished!$A$1:$G$967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16" i="5" l="1"/>
  <c r="I315" i="5"/>
  <c r="I314" i="5"/>
  <c r="I313" i="5"/>
  <c r="I312" i="5"/>
  <c r="I311" i="5"/>
  <c r="I310" i="5"/>
  <c r="I309" i="5"/>
  <c r="I308" i="5"/>
  <c r="I307" i="5"/>
  <c r="I306" i="5"/>
  <c r="I305" i="5"/>
  <c r="I304" i="5"/>
  <c r="I303" i="5"/>
  <c r="I302" i="5"/>
  <c r="I301" i="5"/>
  <c r="I300" i="5"/>
  <c r="I299" i="5"/>
  <c r="I298" i="5"/>
  <c r="I297" i="5"/>
  <c r="I296" i="5"/>
  <c r="I295" i="5"/>
  <c r="I294" i="5"/>
  <c r="I293" i="5"/>
  <c r="I292" i="5"/>
  <c r="I291" i="5"/>
  <c r="I290" i="5"/>
  <c r="I289" i="5"/>
  <c r="I288" i="5"/>
  <c r="I287" i="5"/>
  <c r="I286" i="5"/>
  <c r="I285" i="5"/>
  <c r="I284" i="5"/>
  <c r="I283" i="5"/>
  <c r="I282" i="5"/>
  <c r="I281" i="5"/>
  <c r="I280" i="5"/>
  <c r="I279" i="5"/>
  <c r="I278" i="5"/>
  <c r="I277" i="5"/>
  <c r="I276" i="5"/>
  <c r="I275" i="5"/>
  <c r="I274" i="5"/>
  <c r="I273" i="5"/>
  <c r="I272" i="5"/>
  <c r="I271" i="5"/>
  <c r="I270" i="5"/>
  <c r="I269" i="5"/>
  <c r="I268" i="5"/>
  <c r="I267" i="5"/>
  <c r="I266" i="5"/>
  <c r="I265" i="5"/>
  <c r="I264" i="5"/>
  <c r="I263" i="5"/>
  <c r="I262" i="5"/>
  <c r="I261" i="5"/>
  <c r="I260" i="5"/>
  <c r="I259" i="5"/>
  <c r="I258" i="5"/>
  <c r="I257" i="5"/>
  <c r="I256" i="5"/>
  <c r="I255" i="5"/>
  <c r="I254" i="5"/>
  <c r="I253" i="5"/>
  <c r="I252" i="5"/>
  <c r="I251" i="5"/>
  <c r="I250" i="5"/>
  <c r="I249" i="5"/>
  <c r="I248" i="5"/>
  <c r="I247" i="5"/>
  <c r="I246" i="5"/>
  <c r="I245" i="5"/>
  <c r="I244" i="5"/>
  <c r="I243" i="5"/>
  <c r="I242" i="5"/>
  <c r="I241" i="5"/>
  <c r="I240" i="5"/>
  <c r="I239" i="5"/>
  <c r="I238" i="5"/>
  <c r="I237" i="5"/>
  <c r="I236" i="5"/>
  <c r="I235" i="5"/>
  <c r="I234" i="5"/>
  <c r="I233" i="5"/>
  <c r="I232" i="5"/>
  <c r="I231" i="5"/>
  <c r="I230" i="5"/>
  <c r="I229" i="5"/>
  <c r="I228" i="5"/>
  <c r="I227" i="5"/>
  <c r="I226" i="5"/>
  <c r="I225" i="5"/>
  <c r="I224" i="5"/>
  <c r="I223" i="5"/>
  <c r="I222" i="5"/>
  <c r="I221" i="5"/>
  <c r="I220" i="5"/>
  <c r="I219" i="5"/>
  <c r="I218" i="5"/>
  <c r="I217" i="5"/>
  <c r="I216" i="5"/>
  <c r="I215" i="5"/>
  <c r="I214" i="5"/>
  <c r="I213" i="5"/>
  <c r="I212" i="5"/>
  <c r="I211" i="5"/>
  <c r="I210" i="5"/>
  <c r="I209" i="5"/>
  <c r="I208" i="5"/>
  <c r="I207" i="5"/>
  <c r="I206" i="5"/>
  <c r="I205" i="5"/>
  <c r="I204" i="5"/>
  <c r="I203" i="5"/>
  <c r="I202" i="5"/>
  <c r="I201" i="5"/>
  <c r="I200" i="5"/>
  <c r="I199" i="5"/>
  <c r="I198" i="5"/>
  <c r="I197" i="5"/>
  <c r="I196" i="5"/>
  <c r="I195" i="5"/>
  <c r="I194" i="5"/>
  <c r="I193" i="5"/>
  <c r="I192" i="5"/>
  <c r="I191" i="5"/>
  <c r="I190" i="5"/>
  <c r="I189" i="5"/>
  <c r="I188" i="5"/>
  <c r="I187" i="5"/>
  <c r="I186" i="5"/>
  <c r="I185" i="5"/>
  <c r="I184" i="5"/>
  <c r="I183" i="5"/>
  <c r="I182" i="5"/>
  <c r="I181" i="5"/>
  <c r="I180" i="5"/>
  <c r="I179" i="5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I157" i="5"/>
  <c r="I156" i="5"/>
  <c r="I155" i="5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A141" i="5"/>
  <c r="A234" i="5"/>
  <c r="A296" i="5"/>
  <c r="A54" i="5"/>
  <c r="A204" i="5"/>
  <c r="A78" i="5"/>
  <c r="A214" i="5"/>
  <c r="A261" i="5"/>
  <c r="A195" i="5"/>
  <c r="A302" i="5"/>
  <c r="A44" i="5"/>
  <c r="A104" i="5"/>
  <c r="A67" i="5"/>
  <c r="A232" i="5"/>
  <c r="A68" i="5"/>
  <c r="A30" i="5"/>
  <c r="A231" i="5"/>
  <c r="A53" i="5"/>
  <c r="A212" i="5"/>
  <c r="A92" i="5"/>
  <c r="A110" i="5"/>
  <c r="A139" i="5"/>
  <c r="A124" i="5"/>
  <c r="A290" i="5"/>
  <c r="A65" i="5"/>
  <c r="A286" i="5"/>
  <c r="A242" i="5"/>
  <c r="A35" i="5"/>
  <c r="A91" i="5"/>
  <c r="A176" i="5"/>
  <c r="A74" i="5"/>
  <c r="A193" i="5"/>
  <c r="A208" i="5"/>
  <c r="A162" i="5"/>
  <c r="A108" i="5"/>
  <c r="A79" i="5"/>
  <c r="H189" i="5"/>
  <c r="G189" i="5"/>
  <c r="F189" i="5"/>
  <c r="A189" i="5" s="1"/>
  <c r="E189" i="5"/>
  <c r="D189" i="5"/>
  <c r="C189" i="5"/>
  <c r="B189" i="5"/>
  <c r="H119" i="5"/>
  <c r="G119" i="5"/>
  <c r="F119" i="5"/>
  <c r="A119" i="5" s="1"/>
  <c r="E119" i="5"/>
  <c r="D119" i="5"/>
  <c r="C119" i="5"/>
  <c r="B119" i="5"/>
  <c r="H85" i="5"/>
  <c r="G85" i="5"/>
  <c r="F85" i="5"/>
  <c r="A85" i="5" s="1"/>
  <c r="E85" i="5"/>
  <c r="D85" i="5"/>
  <c r="C85" i="5"/>
  <c r="B85" i="5"/>
  <c r="H141" i="5"/>
  <c r="G141" i="5"/>
  <c r="F141" i="5"/>
  <c r="E141" i="5"/>
  <c r="D141" i="5"/>
  <c r="C141" i="5"/>
  <c r="B141" i="5"/>
  <c r="H170" i="5"/>
  <c r="G170" i="5"/>
  <c r="F170" i="5"/>
  <c r="A170" i="5" s="1"/>
  <c r="E170" i="5"/>
  <c r="D170" i="5"/>
  <c r="C170" i="5"/>
  <c r="B170" i="5"/>
  <c r="H301" i="5"/>
  <c r="G301" i="5"/>
  <c r="F301" i="5"/>
  <c r="A301" i="5" s="1"/>
  <c r="E301" i="5"/>
  <c r="D301" i="5"/>
  <c r="C301" i="5"/>
  <c r="B301" i="5"/>
  <c r="H234" i="5"/>
  <c r="G234" i="5"/>
  <c r="F234" i="5"/>
  <c r="E234" i="5"/>
  <c r="D234" i="5"/>
  <c r="C234" i="5"/>
  <c r="B234" i="5"/>
  <c r="H296" i="5"/>
  <c r="G296" i="5"/>
  <c r="F296" i="5"/>
  <c r="E296" i="5"/>
  <c r="D296" i="5"/>
  <c r="C296" i="5"/>
  <c r="B296" i="5"/>
  <c r="H54" i="5"/>
  <c r="G54" i="5"/>
  <c r="F54" i="5"/>
  <c r="E54" i="5"/>
  <c r="D54" i="5"/>
  <c r="C54" i="5"/>
  <c r="B54" i="5"/>
  <c r="H159" i="5"/>
  <c r="G159" i="5"/>
  <c r="F159" i="5"/>
  <c r="A159" i="5" s="1"/>
  <c r="E159" i="5"/>
  <c r="D159" i="5"/>
  <c r="C159" i="5"/>
  <c r="B159" i="5"/>
  <c r="H307" i="5"/>
  <c r="G307" i="5"/>
  <c r="F307" i="5"/>
  <c r="A307" i="5" s="1"/>
  <c r="E307" i="5"/>
  <c r="D307" i="5"/>
  <c r="C307" i="5"/>
  <c r="B307" i="5"/>
  <c r="H295" i="5"/>
  <c r="G295" i="5"/>
  <c r="F295" i="5"/>
  <c r="A295" i="5" s="1"/>
  <c r="E295" i="5"/>
  <c r="D295" i="5"/>
  <c r="C295" i="5"/>
  <c r="B295" i="5"/>
  <c r="H249" i="5"/>
  <c r="G249" i="5"/>
  <c r="F249" i="5"/>
  <c r="A249" i="5" s="1"/>
  <c r="E249" i="5"/>
  <c r="D249" i="5"/>
  <c r="C249" i="5"/>
  <c r="B249" i="5"/>
  <c r="H122" i="5"/>
  <c r="G122" i="5"/>
  <c r="F122" i="5"/>
  <c r="A122" i="5" s="1"/>
  <c r="E122" i="5"/>
  <c r="D122" i="5"/>
  <c r="C122" i="5"/>
  <c r="B122" i="5"/>
  <c r="H220" i="5"/>
  <c r="G220" i="5"/>
  <c r="F220" i="5"/>
  <c r="A220" i="5" s="1"/>
  <c r="E220" i="5"/>
  <c r="D220" i="5"/>
  <c r="C220" i="5"/>
  <c r="B220" i="5"/>
  <c r="H204" i="5"/>
  <c r="G204" i="5"/>
  <c r="F204" i="5"/>
  <c r="E204" i="5"/>
  <c r="D204" i="5"/>
  <c r="C204" i="5"/>
  <c r="B204" i="5"/>
  <c r="H152" i="5"/>
  <c r="G152" i="5"/>
  <c r="F152" i="5"/>
  <c r="A152" i="5" s="1"/>
  <c r="E152" i="5"/>
  <c r="D152" i="5"/>
  <c r="C152" i="5"/>
  <c r="B152" i="5"/>
  <c r="H78" i="5"/>
  <c r="G78" i="5"/>
  <c r="F78" i="5"/>
  <c r="E78" i="5"/>
  <c r="D78" i="5"/>
  <c r="C78" i="5"/>
  <c r="B78" i="5"/>
  <c r="H12" i="5"/>
  <c r="G12" i="5"/>
  <c r="F12" i="5"/>
  <c r="A12" i="5" s="1"/>
  <c r="E12" i="5"/>
  <c r="D12" i="5"/>
  <c r="C12" i="5"/>
  <c r="B12" i="5"/>
  <c r="H18" i="5"/>
  <c r="G18" i="5"/>
  <c r="F18" i="5"/>
  <c r="A18" i="5" s="1"/>
  <c r="E18" i="5"/>
  <c r="D18" i="5"/>
  <c r="C18" i="5"/>
  <c r="B18" i="5"/>
  <c r="H256" i="5"/>
  <c r="G256" i="5"/>
  <c r="F256" i="5"/>
  <c r="A256" i="5" s="1"/>
  <c r="E256" i="5"/>
  <c r="D256" i="5"/>
  <c r="C256" i="5"/>
  <c r="B256" i="5"/>
  <c r="H216" i="5"/>
  <c r="G216" i="5"/>
  <c r="F216" i="5"/>
  <c r="A216" i="5" s="1"/>
  <c r="E216" i="5"/>
  <c r="D216" i="5"/>
  <c r="C216" i="5"/>
  <c r="B216" i="5"/>
  <c r="H26" i="5"/>
  <c r="G26" i="5"/>
  <c r="F26" i="5"/>
  <c r="E26" i="5"/>
  <c r="D26" i="5"/>
  <c r="C26" i="5"/>
  <c r="B26" i="5"/>
  <c r="H167" i="5"/>
  <c r="G167" i="5"/>
  <c r="F167" i="5"/>
  <c r="A167" i="5" s="1"/>
  <c r="E167" i="5"/>
  <c r="D167" i="5"/>
  <c r="C167" i="5"/>
  <c r="B167" i="5"/>
  <c r="H11" i="5"/>
  <c r="G11" i="5"/>
  <c r="F11" i="5"/>
  <c r="A11" i="5" s="1"/>
  <c r="E11" i="5"/>
  <c r="D11" i="5"/>
  <c r="C11" i="5"/>
  <c r="B11" i="5"/>
  <c r="H198" i="5"/>
  <c r="G198" i="5"/>
  <c r="F198" i="5"/>
  <c r="E198" i="5"/>
  <c r="D198" i="5"/>
  <c r="C198" i="5"/>
  <c r="B198" i="5"/>
  <c r="H177" i="5"/>
  <c r="G177" i="5"/>
  <c r="F177" i="5"/>
  <c r="A177" i="5" s="1"/>
  <c r="E177" i="5"/>
  <c r="D177" i="5"/>
  <c r="C177" i="5"/>
  <c r="B177" i="5"/>
  <c r="H269" i="5"/>
  <c r="G269" i="5"/>
  <c r="F269" i="5"/>
  <c r="A269" i="5" s="1"/>
  <c r="E269" i="5"/>
  <c r="D269" i="5"/>
  <c r="C269" i="5"/>
  <c r="B269" i="5"/>
  <c r="H10" i="5"/>
  <c r="G10" i="5"/>
  <c r="F10" i="5"/>
  <c r="A10" i="5" s="1"/>
  <c r="E10" i="5"/>
  <c r="D10" i="5"/>
  <c r="C10" i="5"/>
  <c r="B10" i="5"/>
  <c r="H309" i="5"/>
  <c r="G309" i="5"/>
  <c r="F309" i="5"/>
  <c r="A309" i="5" s="1"/>
  <c r="E309" i="5"/>
  <c r="D309" i="5"/>
  <c r="C309" i="5"/>
  <c r="B309" i="5"/>
  <c r="H178" i="5"/>
  <c r="G178" i="5"/>
  <c r="F178" i="5"/>
  <c r="A178" i="5" s="1"/>
  <c r="E178" i="5"/>
  <c r="D178" i="5"/>
  <c r="C178" i="5"/>
  <c r="B178" i="5"/>
  <c r="H115" i="5"/>
  <c r="G115" i="5"/>
  <c r="F115" i="5"/>
  <c r="A115" i="5" s="1"/>
  <c r="E115" i="5"/>
  <c r="D115" i="5"/>
  <c r="C115" i="5"/>
  <c r="B115" i="5"/>
  <c r="H188" i="5"/>
  <c r="G188" i="5"/>
  <c r="F188" i="5"/>
  <c r="A188" i="5" s="1"/>
  <c r="E188" i="5"/>
  <c r="D188" i="5"/>
  <c r="C188" i="5"/>
  <c r="B188" i="5"/>
  <c r="H168" i="5"/>
  <c r="G168" i="5"/>
  <c r="F168" i="5"/>
  <c r="A168" i="5" s="1"/>
  <c r="E168" i="5"/>
  <c r="D168" i="5"/>
  <c r="C168" i="5"/>
  <c r="B168" i="5"/>
  <c r="H254" i="5"/>
  <c r="G254" i="5"/>
  <c r="F254" i="5"/>
  <c r="A254" i="5" s="1"/>
  <c r="E254" i="5"/>
  <c r="D254" i="5"/>
  <c r="C254" i="5"/>
  <c r="B254" i="5"/>
  <c r="H240" i="5"/>
  <c r="G240" i="5"/>
  <c r="F240" i="5"/>
  <c r="A240" i="5" s="1"/>
  <c r="E240" i="5"/>
  <c r="D240" i="5"/>
  <c r="C240" i="5"/>
  <c r="B240" i="5"/>
  <c r="H258" i="5"/>
  <c r="G258" i="5"/>
  <c r="F258" i="5"/>
  <c r="A258" i="5" s="1"/>
  <c r="E258" i="5"/>
  <c r="D258" i="5"/>
  <c r="C258" i="5"/>
  <c r="B258" i="5"/>
  <c r="H63" i="5"/>
  <c r="G63" i="5"/>
  <c r="F63" i="5"/>
  <c r="A63" i="5" s="1"/>
  <c r="E63" i="5"/>
  <c r="D63" i="5"/>
  <c r="C63" i="5"/>
  <c r="B63" i="5"/>
  <c r="H268" i="5"/>
  <c r="G268" i="5"/>
  <c r="F268" i="5"/>
  <c r="A268" i="5" s="1"/>
  <c r="E268" i="5"/>
  <c r="D268" i="5"/>
  <c r="C268" i="5"/>
  <c r="B268" i="5"/>
  <c r="H214" i="5"/>
  <c r="G214" i="5"/>
  <c r="F214" i="5"/>
  <c r="E214" i="5"/>
  <c r="D214" i="5"/>
  <c r="C214" i="5"/>
  <c r="B214" i="5"/>
  <c r="H101" i="5"/>
  <c r="G101" i="5"/>
  <c r="F101" i="5"/>
  <c r="A101" i="5" s="1"/>
  <c r="E101" i="5"/>
  <c r="D101" i="5"/>
  <c r="C101" i="5"/>
  <c r="B101" i="5"/>
  <c r="H27" i="5"/>
  <c r="G27" i="5"/>
  <c r="F27" i="5"/>
  <c r="A27" i="5" s="1"/>
  <c r="E27" i="5"/>
  <c r="D27" i="5"/>
  <c r="C27" i="5"/>
  <c r="B27" i="5"/>
  <c r="H71" i="5"/>
  <c r="G71" i="5"/>
  <c r="F71" i="5"/>
  <c r="A71" i="5" s="1"/>
  <c r="E71" i="5"/>
  <c r="D71" i="5"/>
  <c r="C71" i="5"/>
  <c r="B71" i="5"/>
  <c r="H223" i="5"/>
  <c r="G223" i="5"/>
  <c r="F223" i="5"/>
  <c r="A223" i="5" s="1"/>
  <c r="E223" i="5"/>
  <c r="D223" i="5"/>
  <c r="C223" i="5"/>
  <c r="B223" i="5"/>
  <c r="H25" i="5"/>
  <c r="G25" i="5"/>
  <c r="F25" i="5"/>
  <c r="A25" i="5" s="1"/>
  <c r="E25" i="5"/>
  <c r="D25" i="5"/>
  <c r="C25" i="5"/>
  <c r="B25" i="5"/>
  <c r="H23" i="5"/>
  <c r="G23" i="5"/>
  <c r="F23" i="5"/>
  <c r="A23" i="5" s="1"/>
  <c r="E23" i="5"/>
  <c r="D23" i="5"/>
  <c r="C23" i="5"/>
  <c r="B23" i="5"/>
  <c r="H17" i="5"/>
  <c r="G17" i="5"/>
  <c r="F17" i="5"/>
  <c r="E17" i="5"/>
  <c r="D17" i="5"/>
  <c r="C17" i="5"/>
  <c r="B17" i="5"/>
  <c r="H245" i="5"/>
  <c r="G245" i="5"/>
  <c r="F245" i="5"/>
  <c r="A245" i="5" s="1"/>
  <c r="E245" i="5"/>
  <c r="D245" i="5"/>
  <c r="C245" i="5"/>
  <c r="B245" i="5"/>
  <c r="H261" i="5"/>
  <c r="G261" i="5"/>
  <c r="F261" i="5"/>
  <c r="E261" i="5"/>
  <c r="D261" i="5"/>
  <c r="C261" i="5"/>
  <c r="B261" i="5"/>
  <c r="H163" i="5"/>
  <c r="G163" i="5"/>
  <c r="F163" i="5"/>
  <c r="A163" i="5" s="1"/>
  <c r="E163" i="5"/>
  <c r="D163" i="5"/>
  <c r="C163" i="5"/>
  <c r="B163" i="5"/>
  <c r="H259" i="5"/>
  <c r="G259" i="5"/>
  <c r="F259" i="5"/>
  <c r="A259" i="5" s="1"/>
  <c r="E259" i="5"/>
  <c r="D259" i="5"/>
  <c r="C259" i="5"/>
  <c r="B259" i="5"/>
  <c r="H109" i="5"/>
  <c r="G109" i="5"/>
  <c r="F109" i="5"/>
  <c r="E109" i="5"/>
  <c r="D109" i="5"/>
  <c r="C109" i="5"/>
  <c r="B109" i="5"/>
  <c r="H282" i="5"/>
  <c r="G282" i="5"/>
  <c r="F282" i="5"/>
  <c r="E282" i="5"/>
  <c r="D282" i="5"/>
  <c r="C282" i="5"/>
  <c r="B282" i="5"/>
  <c r="H195" i="5"/>
  <c r="G195" i="5"/>
  <c r="F195" i="5"/>
  <c r="E195" i="5"/>
  <c r="D195" i="5"/>
  <c r="C195" i="5"/>
  <c r="B195" i="5"/>
  <c r="H302" i="5"/>
  <c r="G302" i="5"/>
  <c r="F302" i="5"/>
  <c r="E302" i="5"/>
  <c r="D302" i="5"/>
  <c r="C302" i="5"/>
  <c r="B302" i="5"/>
  <c r="H194" i="5"/>
  <c r="G194" i="5"/>
  <c r="F194" i="5"/>
  <c r="A194" i="5" s="1"/>
  <c r="E194" i="5"/>
  <c r="D194" i="5"/>
  <c r="C194" i="5"/>
  <c r="B194" i="5"/>
  <c r="H97" i="5"/>
  <c r="G97" i="5"/>
  <c r="F97" i="5"/>
  <c r="A97" i="5" s="1"/>
  <c r="E97" i="5"/>
  <c r="D97" i="5"/>
  <c r="C97" i="5"/>
  <c r="B97" i="5"/>
  <c r="H165" i="5"/>
  <c r="G165" i="5"/>
  <c r="F165" i="5"/>
  <c r="E165" i="5"/>
  <c r="D165" i="5"/>
  <c r="C165" i="5"/>
  <c r="B165" i="5"/>
  <c r="H44" i="5"/>
  <c r="G44" i="5"/>
  <c r="F44" i="5"/>
  <c r="E44" i="5"/>
  <c r="D44" i="5"/>
  <c r="C44" i="5"/>
  <c r="B44" i="5"/>
  <c r="H104" i="5"/>
  <c r="G104" i="5"/>
  <c r="F104" i="5"/>
  <c r="E104" i="5"/>
  <c r="D104" i="5"/>
  <c r="C104" i="5"/>
  <c r="B104" i="5"/>
  <c r="H29" i="5"/>
  <c r="G29" i="5"/>
  <c r="F29" i="5"/>
  <c r="A29" i="5" s="1"/>
  <c r="E29" i="5"/>
  <c r="D29" i="5"/>
  <c r="C29" i="5"/>
  <c r="B29" i="5"/>
  <c r="H148" i="5"/>
  <c r="G148" i="5"/>
  <c r="F148" i="5"/>
  <c r="A148" i="5" s="1"/>
  <c r="E148" i="5"/>
  <c r="D148" i="5"/>
  <c r="C148" i="5"/>
  <c r="B148" i="5"/>
  <c r="H281" i="5"/>
  <c r="G281" i="5"/>
  <c r="F281" i="5"/>
  <c r="A281" i="5" s="1"/>
  <c r="E281" i="5"/>
  <c r="D281" i="5"/>
  <c r="C281" i="5"/>
  <c r="B281" i="5"/>
  <c r="H187" i="5"/>
  <c r="G187" i="5"/>
  <c r="F187" i="5"/>
  <c r="A187" i="5" s="1"/>
  <c r="E187" i="5"/>
  <c r="D187" i="5"/>
  <c r="C187" i="5"/>
  <c r="B187" i="5"/>
  <c r="H136" i="5"/>
  <c r="G136" i="5"/>
  <c r="F136" i="5"/>
  <c r="A136" i="5" s="1"/>
  <c r="E136" i="5"/>
  <c r="D136" i="5"/>
  <c r="C136" i="5"/>
  <c r="B136" i="5"/>
  <c r="H67" i="5"/>
  <c r="G67" i="5"/>
  <c r="F67" i="5"/>
  <c r="E67" i="5"/>
  <c r="D67" i="5"/>
  <c r="C67" i="5"/>
  <c r="B67" i="5"/>
  <c r="H273" i="5"/>
  <c r="G273" i="5"/>
  <c r="F273" i="5"/>
  <c r="A273" i="5" s="1"/>
  <c r="E273" i="5"/>
  <c r="D273" i="5"/>
  <c r="C273" i="5"/>
  <c r="B273" i="5"/>
  <c r="H180" i="5"/>
  <c r="G180" i="5"/>
  <c r="F180" i="5"/>
  <c r="A180" i="5" s="1"/>
  <c r="E180" i="5"/>
  <c r="D180" i="5"/>
  <c r="C180" i="5"/>
  <c r="B180" i="5"/>
  <c r="H232" i="5"/>
  <c r="G232" i="5"/>
  <c r="F232" i="5"/>
  <c r="E232" i="5"/>
  <c r="D232" i="5"/>
  <c r="C232" i="5"/>
  <c r="B232" i="5"/>
  <c r="H68" i="5"/>
  <c r="G68" i="5"/>
  <c r="F68" i="5"/>
  <c r="E68" i="5"/>
  <c r="D68" i="5"/>
  <c r="C68" i="5"/>
  <c r="B68" i="5"/>
  <c r="H30" i="5"/>
  <c r="G30" i="5"/>
  <c r="F30" i="5"/>
  <c r="E30" i="5"/>
  <c r="D30" i="5"/>
  <c r="C30" i="5"/>
  <c r="B30" i="5"/>
  <c r="H76" i="5"/>
  <c r="G76" i="5"/>
  <c r="F76" i="5"/>
  <c r="A76" i="5" s="1"/>
  <c r="E76" i="5"/>
  <c r="D76" i="5"/>
  <c r="C76" i="5"/>
  <c r="B76" i="5"/>
  <c r="H129" i="5"/>
  <c r="G129" i="5"/>
  <c r="F129" i="5"/>
  <c r="A129" i="5" s="1"/>
  <c r="E129" i="5"/>
  <c r="D129" i="5"/>
  <c r="C129" i="5"/>
  <c r="B129" i="5"/>
  <c r="H288" i="5"/>
  <c r="G288" i="5"/>
  <c r="F288" i="5"/>
  <c r="A288" i="5" s="1"/>
  <c r="E288" i="5"/>
  <c r="D288" i="5"/>
  <c r="C288" i="5"/>
  <c r="B288" i="5"/>
  <c r="H4" i="5"/>
  <c r="G4" i="5"/>
  <c r="F4" i="5"/>
  <c r="A4" i="5" s="1"/>
  <c r="E4" i="5"/>
  <c r="D4" i="5"/>
  <c r="C4" i="5"/>
  <c r="B4" i="5"/>
  <c r="H2" i="5"/>
  <c r="G2" i="5"/>
  <c r="F2" i="5"/>
  <c r="A2" i="5" s="1"/>
  <c r="E2" i="5"/>
  <c r="D2" i="5"/>
  <c r="C2" i="5"/>
  <c r="B2" i="5"/>
  <c r="H172" i="5"/>
  <c r="G172" i="5"/>
  <c r="F172" i="5"/>
  <c r="A172" i="5" s="1"/>
  <c r="E172" i="5"/>
  <c r="D172" i="5"/>
  <c r="C172" i="5"/>
  <c r="B172" i="5"/>
  <c r="H311" i="5"/>
  <c r="G311" i="5"/>
  <c r="F311" i="5"/>
  <c r="A311" i="5" s="1"/>
  <c r="E311" i="5"/>
  <c r="D311" i="5"/>
  <c r="C311" i="5"/>
  <c r="B311" i="5"/>
  <c r="H231" i="5"/>
  <c r="G231" i="5"/>
  <c r="F231" i="5"/>
  <c r="E231" i="5"/>
  <c r="D231" i="5"/>
  <c r="C231" i="5"/>
  <c r="B231" i="5"/>
  <c r="H53" i="5"/>
  <c r="G53" i="5"/>
  <c r="F53" i="5"/>
  <c r="E53" i="5"/>
  <c r="D53" i="5"/>
  <c r="C53" i="5"/>
  <c r="B53" i="5"/>
  <c r="H212" i="5"/>
  <c r="G212" i="5"/>
  <c r="F212" i="5"/>
  <c r="E212" i="5"/>
  <c r="D212" i="5"/>
  <c r="C212" i="5"/>
  <c r="B212" i="5"/>
  <c r="H92" i="5"/>
  <c r="G92" i="5"/>
  <c r="F92" i="5"/>
  <c r="E92" i="5"/>
  <c r="D92" i="5"/>
  <c r="C92" i="5"/>
  <c r="B92" i="5"/>
  <c r="H278" i="5"/>
  <c r="G278" i="5"/>
  <c r="F278" i="5"/>
  <c r="A278" i="5" s="1"/>
  <c r="E278" i="5"/>
  <c r="D278" i="5"/>
  <c r="C278" i="5"/>
  <c r="B278" i="5"/>
  <c r="H219" i="5"/>
  <c r="G219" i="5"/>
  <c r="F219" i="5"/>
  <c r="E219" i="5"/>
  <c r="D219" i="5"/>
  <c r="C219" i="5"/>
  <c r="B219" i="5"/>
  <c r="H225" i="5"/>
  <c r="G225" i="5"/>
  <c r="F225" i="5"/>
  <c r="E225" i="5"/>
  <c r="D225" i="5"/>
  <c r="C225" i="5"/>
  <c r="B225" i="5"/>
  <c r="H289" i="5"/>
  <c r="G289" i="5"/>
  <c r="F289" i="5"/>
  <c r="A289" i="5" s="1"/>
  <c r="E289" i="5"/>
  <c r="D289" i="5"/>
  <c r="C289" i="5"/>
  <c r="B289" i="5"/>
  <c r="H121" i="5"/>
  <c r="G121" i="5"/>
  <c r="F121" i="5"/>
  <c r="A121" i="5" s="1"/>
  <c r="E121" i="5"/>
  <c r="D121" i="5"/>
  <c r="C121" i="5"/>
  <c r="B121" i="5"/>
  <c r="H41" i="5"/>
  <c r="G41" i="5"/>
  <c r="F41" i="5"/>
  <c r="A41" i="5" s="1"/>
  <c r="E41" i="5"/>
  <c r="D41" i="5"/>
  <c r="C41" i="5"/>
  <c r="B41" i="5"/>
  <c r="H84" i="5"/>
  <c r="G84" i="5"/>
  <c r="F84" i="5"/>
  <c r="A84" i="5" s="1"/>
  <c r="E84" i="5"/>
  <c r="D84" i="5"/>
  <c r="C84" i="5"/>
  <c r="B84" i="5"/>
  <c r="H86" i="5"/>
  <c r="G86" i="5"/>
  <c r="F86" i="5"/>
  <c r="A86" i="5" s="1"/>
  <c r="E86" i="5"/>
  <c r="D86" i="5"/>
  <c r="C86" i="5"/>
  <c r="B86" i="5"/>
  <c r="H237" i="5"/>
  <c r="G237" i="5"/>
  <c r="F237" i="5"/>
  <c r="A237" i="5" s="1"/>
  <c r="E237" i="5"/>
  <c r="D237" i="5"/>
  <c r="C237" i="5"/>
  <c r="B237" i="5"/>
  <c r="H299" i="5"/>
  <c r="G299" i="5"/>
  <c r="F299" i="5"/>
  <c r="A299" i="5" s="1"/>
  <c r="E299" i="5"/>
  <c r="D299" i="5"/>
  <c r="C299" i="5"/>
  <c r="B299" i="5"/>
  <c r="H200" i="5"/>
  <c r="G200" i="5"/>
  <c r="F200" i="5"/>
  <c r="A200" i="5" s="1"/>
  <c r="E200" i="5"/>
  <c r="D200" i="5"/>
  <c r="C200" i="5"/>
  <c r="B200" i="5"/>
  <c r="H123" i="5"/>
  <c r="G123" i="5"/>
  <c r="F123" i="5"/>
  <c r="A123" i="5" s="1"/>
  <c r="E123" i="5"/>
  <c r="D123" i="5"/>
  <c r="C123" i="5"/>
  <c r="B123" i="5"/>
  <c r="H149" i="5"/>
  <c r="G149" i="5"/>
  <c r="F149" i="5"/>
  <c r="A149" i="5" s="1"/>
  <c r="E149" i="5"/>
  <c r="D149" i="5"/>
  <c r="C149" i="5"/>
  <c r="B149" i="5"/>
  <c r="H183" i="5"/>
  <c r="G183" i="5"/>
  <c r="F183" i="5"/>
  <c r="E183" i="5"/>
  <c r="D183" i="5"/>
  <c r="C183" i="5"/>
  <c r="B183" i="5"/>
  <c r="H196" i="5"/>
  <c r="G196" i="5"/>
  <c r="F196" i="5"/>
  <c r="A196" i="5" s="1"/>
  <c r="E196" i="5"/>
  <c r="D196" i="5"/>
  <c r="C196" i="5"/>
  <c r="B196" i="5"/>
  <c r="H315" i="5"/>
  <c r="G315" i="5"/>
  <c r="F315" i="5"/>
  <c r="E315" i="5"/>
  <c r="D315" i="5"/>
  <c r="C315" i="5"/>
  <c r="B315" i="5"/>
  <c r="H80" i="5"/>
  <c r="G80" i="5"/>
  <c r="F80" i="5"/>
  <c r="A80" i="5" s="1"/>
  <c r="E80" i="5"/>
  <c r="D80" i="5"/>
  <c r="C80" i="5"/>
  <c r="B80" i="5"/>
  <c r="H113" i="5"/>
  <c r="G113" i="5"/>
  <c r="F113" i="5"/>
  <c r="A113" i="5" s="1"/>
  <c r="E113" i="5"/>
  <c r="D113" i="5"/>
  <c r="C113" i="5"/>
  <c r="B113" i="5"/>
  <c r="H154" i="5"/>
  <c r="G154" i="5"/>
  <c r="F154" i="5"/>
  <c r="A154" i="5" s="1"/>
  <c r="E154" i="5"/>
  <c r="D154" i="5"/>
  <c r="C154" i="5"/>
  <c r="B154" i="5"/>
  <c r="H262" i="5"/>
  <c r="G262" i="5"/>
  <c r="F262" i="5"/>
  <c r="A262" i="5" s="1"/>
  <c r="E262" i="5"/>
  <c r="D262" i="5"/>
  <c r="C262" i="5"/>
  <c r="B262" i="5"/>
  <c r="H70" i="5"/>
  <c r="G70" i="5"/>
  <c r="F70" i="5"/>
  <c r="A70" i="5" s="1"/>
  <c r="E70" i="5"/>
  <c r="D70" i="5"/>
  <c r="C70" i="5"/>
  <c r="B70" i="5"/>
  <c r="H134" i="5"/>
  <c r="G134" i="5"/>
  <c r="F134" i="5"/>
  <c r="A134" i="5" s="1"/>
  <c r="E134" i="5"/>
  <c r="D134" i="5"/>
  <c r="C134" i="5"/>
  <c r="B134" i="5"/>
  <c r="H69" i="5"/>
  <c r="G69" i="5"/>
  <c r="F69" i="5"/>
  <c r="A69" i="5" s="1"/>
  <c r="E69" i="5"/>
  <c r="D69" i="5"/>
  <c r="C69" i="5"/>
  <c r="B69" i="5"/>
  <c r="H144" i="5"/>
  <c r="G144" i="5"/>
  <c r="F144" i="5"/>
  <c r="A144" i="5" s="1"/>
  <c r="E144" i="5"/>
  <c r="D144" i="5"/>
  <c r="C144" i="5"/>
  <c r="B144" i="5"/>
  <c r="H164" i="5"/>
  <c r="G164" i="5"/>
  <c r="F164" i="5"/>
  <c r="A164" i="5" s="1"/>
  <c r="E164" i="5"/>
  <c r="D164" i="5"/>
  <c r="C164" i="5"/>
  <c r="B164" i="5"/>
  <c r="H5" i="5"/>
  <c r="G5" i="5"/>
  <c r="F5" i="5"/>
  <c r="A5" i="5" s="1"/>
  <c r="E5" i="5"/>
  <c r="D5" i="5"/>
  <c r="C5" i="5"/>
  <c r="B5" i="5"/>
  <c r="H236" i="5"/>
  <c r="G236" i="5"/>
  <c r="F236" i="5"/>
  <c r="A236" i="5" s="1"/>
  <c r="E236" i="5"/>
  <c r="D236" i="5"/>
  <c r="C236" i="5"/>
  <c r="B236" i="5"/>
  <c r="H15" i="5"/>
  <c r="G15" i="5"/>
  <c r="F15" i="5"/>
  <c r="A15" i="5" s="1"/>
  <c r="E15" i="5"/>
  <c r="D15" i="5"/>
  <c r="C15" i="5"/>
  <c r="B15" i="5"/>
  <c r="H271" i="5"/>
  <c r="G271" i="5"/>
  <c r="F271" i="5"/>
  <c r="A271" i="5" s="1"/>
  <c r="E271" i="5"/>
  <c r="D271" i="5"/>
  <c r="C271" i="5"/>
  <c r="B271" i="5"/>
  <c r="H316" i="5"/>
  <c r="G316" i="5"/>
  <c r="F316" i="5"/>
  <c r="A316" i="5" s="1"/>
  <c r="E316" i="5"/>
  <c r="D316" i="5"/>
  <c r="C316" i="5"/>
  <c r="B316" i="5"/>
  <c r="H110" i="5"/>
  <c r="G110" i="5"/>
  <c r="F110" i="5"/>
  <c r="E110" i="5"/>
  <c r="D110" i="5"/>
  <c r="C110" i="5"/>
  <c r="B110" i="5"/>
  <c r="H139" i="5"/>
  <c r="G139" i="5"/>
  <c r="F139" i="5"/>
  <c r="E139" i="5"/>
  <c r="D139" i="5"/>
  <c r="C139" i="5"/>
  <c r="B139" i="5"/>
  <c r="H124" i="5"/>
  <c r="G124" i="5"/>
  <c r="F124" i="5"/>
  <c r="E124" i="5"/>
  <c r="D124" i="5"/>
  <c r="C124" i="5"/>
  <c r="B124" i="5"/>
  <c r="H130" i="5"/>
  <c r="G130" i="5"/>
  <c r="F130" i="5"/>
  <c r="A130" i="5" s="1"/>
  <c r="E130" i="5"/>
  <c r="D130" i="5"/>
  <c r="C130" i="5"/>
  <c r="B130" i="5"/>
  <c r="H300" i="5"/>
  <c r="G300" i="5"/>
  <c r="F300" i="5"/>
  <c r="E300" i="5"/>
  <c r="D300" i="5"/>
  <c r="C300" i="5"/>
  <c r="B300" i="5"/>
  <c r="H290" i="5"/>
  <c r="G290" i="5"/>
  <c r="F290" i="5"/>
  <c r="E290" i="5"/>
  <c r="D290" i="5"/>
  <c r="C290" i="5"/>
  <c r="B290" i="5"/>
  <c r="H125" i="5"/>
  <c r="G125" i="5"/>
  <c r="F125" i="5"/>
  <c r="A125" i="5" s="1"/>
  <c r="E125" i="5"/>
  <c r="D125" i="5"/>
  <c r="C125" i="5"/>
  <c r="B125" i="5"/>
  <c r="H305" i="5"/>
  <c r="G305" i="5"/>
  <c r="F305" i="5"/>
  <c r="A305" i="5" s="1"/>
  <c r="E305" i="5"/>
  <c r="D305" i="5"/>
  <c r="C305" i="5"/>
  <c r="B305" i="5"/>
  <c r="H207" i="5"/>
  <c r="G207" i="5"/>
  <c r="F207" i="5"/>
  <c r="A207" i="5" s="1"/>
  <c r="E207" i="5"/>
  <c r="D207" i="5"/>
  <c r="C207" i="5"/>
  <c r="B207" i="5"/>
  <c r="H182" i="5"/>
  <c r="G182" i="5"/>
  <c r="F182" i="5"/>
  <c r="A182" i="5" s="1"/>
  <c r="E182" i="5"/>
  <c r="D182" i="5"/>
  <c r="C182" i="5"/>
  <c r="B182" i="5"/>
  <c r="H127" i="5"/>
  <c r="G127" i="5"/>
  <c r="F127" i="5"/>
  <c r="A127" i="5" s="1"/>
  <c r="E127" i="5"/>
  <c r="D127" i="5"/>
  <c r="C127" i="5"/>
  <c r="B127" i="5"/>
  <c r="H201" i="5"/>
  <c r="G201" i="5"/>
  <c r="F201" i="5"/>
  <c r="A201" i="5" s="1"/>
  <c r="E201" i="5"/>
  <c r="D201" i="5"/>
  <c r="C201" i="5"/>
  <c r="B201" i="5"/>
  <c r="H143" i="5"/>
  <c r="G143" i="5"/>
  <c r="F143" i="5"/>
  <c r="E143" i="5"/>
  <c r="D143" i="5"/>
  <c r="C143" i="5"/>
  <c r="B143" i="5"/>
  <c r="H118" i="5"/>
  <c r="G118" i="5"/>
  <c r="F118" i="5"/>
  <c r="A118" i="5" s="1"/>
  <c r="E118" i="5"/>
  <c r="D118" i="5"/>
  <c r="C118" i="5"/>
  <c r="B118" i="5"/>
  <c r="H88" i="5"/>
  <c r="G88" i="5"/>
  <c r="F88" i="5"/>
  <c r="A88" i="5" s="1"/>
  <c r="E88" i="5"/>
  <c r="D88" i="5"/>
  <c r="C88" i="5"/>
  <c r="B88" i="5"/>
  <c r="H65" i="5"/>
  <c r="G65" i="5"/>
  <c r="F65" i="5"/>
  <c r="E65" i="5"/>
  <c r="D65" i="5"/>
  <c r="C65" i="5"/>
  <c r="B65" i="5"/>
  <c r="H266" i="5"/>
  <c r="G266" i="5"/>
  <c r="F266" i="5"/>
  <c r="A266" i="5" s="1"/>
  <c r="E266" i="5"/>
  <c r="D266" i="5"/>
  <c r="C266" i="5"/>
  <c r="B266" i="5"/>
  <c r="H226" i="5"/>
  <c r="G226" i="5"/>
  <c r="F226" i="5"/>
  <c r="A226" i="5" s="1"/>
  <c r="E226" i="5"/>
  <c r="D226" i="5"/>
  <c r="C226" i="5"/>
  <c r="B226" i="5"/>
  <c r="H58" i="5"/>
  <c r="G58" i="5"/>
  <c r="F58" i="5"/>
  <c r="A58" i="5" s="1"/>
  <c r="E58" i="5"/>
  <c r="D58" i="5"/>
  <c r="C58" i="5"/>
  <c r="B58" i="5"/>
  <c r="H264" i="5"/>
  <c r="G264" i="5"/>
  <c r="F264" i="5"/>
  <c r="A264" i="5" s="1"/>
  <c r="E264" i="5"/>
  <c r="D264" i="5"/>
  <c r="C264" i="5"/>
  <c r="B264" i="5"/>
  <c r="H106" i="5"/>
  <c r="G106" i="5"/>
  <c r="F106" i="5"/>
  <c r="A106" i="5" s="1"/>
  <c r="E106" i="5"/>
  <c r="D106" i="5"/>
  <c r="C106" i="5"/>
  <c r="B106" i="5"/>
  <c r="H233" i="5"/>
  <c r="G233" i="5"/>
  <c r="F233" i="5"/>
  <c r="A233" i="5" s="1"/>
  <c r="E233" i="5"/>
  <c r="D233" i="5"/>
  <c r="C233" i="5"/>
  <c r="B233" i="5"/>
  <c r="H42" i="5"/>
  <c r="G42" i="5"/>
  <c r="F42" i="5"/>
  <c r="A42" i="5" s="1"/>
  <c r="E42" i="5"/>
  <c r="D42" i="5"/>
  <c r="C42" i="5"/>
  <c r="B42" i="5"/>
  <c r="H286" i="5"/>
  <c r="G286" i="5"/>
  <c r="F286" i="5"/>
  <c r="E286" i="5"/>
  <c r="D286" i="5"/>
  <c r="C286" i="5"/>
  <c r="B286" i="5"/>
  <c r="H210" i="5"/>
  <c r="G210" i="5"/>
  <c r="F210" i="5"/>
  <c r="A210" i="5" s="1"/>
  <c r="E210" i="5"/>
  <c r="D210" i="5"/>
  <c r="C210" i="5"/>
  <c r="B210" i="5"/>
  <c r="H263" i="5"/>
  <c r="G263" i="5"/>
  <c r="F263" i="5"/>
  <c r="A263" i="5" s="1"/>
  <c r="E263" i="5"/>
  <c r="D263" i="5"/>
  <c r="C263" i="5"/>
  <c r="B263" i="5"/>
  <c r="H60" i="5"/>
  <c r="G60" i="5"/>
  <c r="F60" i="5"/>
  <c r="A60" i="5" s="1"/>
  <c r="E60" i="5"/>
  <c r="D60" i="5"/>
  <c r="C60" i="5"/>
  <c r="B60" i="5"/>
  <c r="H82" i="5"/>
  <c r="G82" i="5"/>
  <c r="F82" i="5"/>
  <c r="E82" i="5"/>
  <c r="D82" i="5"/>
  <c r="C82" i="5"/>
  <c r="B82" i="5"/>
  <c r="H242" i="5"/>
  <c r="G242" i="5"/>
  <c r="F242" i="5"/>
  <c r="E242" i="5"/>
  <c r="D242" i="5"/>
  <c r="C242" i="5"/>
  <c r="B242" i="5"/>
  <c r="H35" i="5"/>
  <c r="G35" i="5"/>
  <c r="F35" i="5"/>
  <c r="E35" i="5"/>
  <c r="D35" i="5"/>
  <c r="C35" i="5"/>
  <c r="B35" i="5"/>
  <c r="H91" i="5"/>
  <c r="G91" i="5"/>
  <c r="F91" i="5"/>
  <c r="E91" i="5"/>
  <c r="D91" i="5"/>
  <c r="C91" i="5"/>
  <c r="B91" i="5"/>
  <c r="H176" i="5"/>
  <c r="G176" i="5"/>
  <c r="F176" i="5"/>
  <c r="E176" i="5"/>
  <c r="D176" i="5"/>
  <c r="C176" i="5"/>
  <c r="B176" i="5"/>
  <c r="H74" i="5"/>
  <c r="G74" i="5"/>
  <c r="F74" i="5"/>
  <c r="E74" i="5"/>
  <c r="D74" i="5"/>
  <c r="C74" i="5"/>
  <c r="B74" i="5"/>
  <c r="H193" i="5"/>
  <c r="G193" i="5"/>
  <c r="F193" i="5"/>
  <c r="E193" i="5"/>
  <c r="D193" i="5"/>
  <c r="C193" i="5"/>
  <c r="B193" i="5"/>
  <c r="H208" i="5"/>
  <c r="G208" i="5"/>
  <c r="F208" i="5"/>
  <c r="E208" i="5"/>
  <c r="D208" i="5"/>
  <c r="C208" i="5"/>
  <c r="B208" i="5"/>
  <c r="H251" i="5"/>
  <c r="G251" i="5"/>
  <c r="F251" i="5"/>
  <c r="A251" i="5" s="1"/>
  <c r="E251" i="5"/>
  <c r="D251" i="5"/>
  <c r="C251" i="5"/>
  <c r="B251" i="5"/>
  <c r="H272" i="5"/>
  <c r="G272" i="5"/>
  <c r="F272" i="5"/>
  <c r="A272" i="5" s="1"/>
  <c r="E272" i="5"/>
  <c r="D272" i="5"/>
  <c r="C272" i="5"/>
  <c r="B272" i="5"/>
  <c r="H222" i="5"/>
  <c r="G222" i="5"/>
  <c r="F222" i="5"/>
  <c r="A222" i="5" s="1"/>
  <c r="E222" i="5"/>
  <c r="D222" i="5"/>
  <c r="C222" i="5"/>
  <c r="B222" i="5"/>
  <c r="H186" i="5"/>
  <c r="G186" i="5"/>
  <c r="F186" i="5"/>
  <c r="A186" i="5" s="1"/>
  <c r="E186" i="5"/>
  <c r="D186" i="5"/>
  <c r="C186" i="5"/>
  <c r="B186" i="5"/>
  <c r="H24" i="5"/>
  <c r="G24" i="5"/>
  <c r="F24" i="5"/>
  <c r="A24" i="5" s="1"/>
  <c r="E24" i="5"/>
  <c r="D24" i="5"/>
  <c r="C24" i="5"/>
  <c r="B24" i="5"/>
  <c r="H166" i="5"/>
  <c r="G166" i="5"/>
  <c r="F166" i="5"/>
  <c r="A166" i="5" s="1"/>
  <c r="E166" i="5"/>
  <c r="D166" i="5"/>
  <c r="C166" i="5"/>
  <c r="B166" i="5"/>
  <c r="H246" i="5"/>
  <c r="G246" i="5"/>
  <c r="F246" i="5"/>
  <c r="E246" i="5"/>
  <c r="D246" i="5"/>
  <c r="C246" i="5"/>
  <c r="B246" i="5"/>
  <c r="H146" i="5"/>
  <c r="G146" i="5"/>
  <c r="F146" i="5"/>
  <c r="A146" i="5" s="1"/>
  <c r="E146" i="5"/>
  <c r="D146" i="5"/>
  <c r="C146" i="5"/>
  <c r="B146" i="5"/>
  <c r="H9" i="5"/>
  <c r="G9" i="5"/>
  <c r="F9" i="5"/>
  <c r="A9" i="5" s="1"/>
  <c r="E9" i="5"/>
  <c r="D9" i="5"/>
  <c r="C9" i="5"/>
  <c r="B9" i="5"/>
  <c r="H209" i="5"/>
  <c r="G209" i="5"/>
  <c r="F209" i="5"/>
  <c r="A209" i="5" s="1"/>
  <c r="E209" i="5"/>
  <c r="D209" i="5"/>
  <c r="C209" i="5"/>
  <c r="B209" i="5"/>
  <c r="H77" i="5"/>
  <c r="G77" i="5"/>
  <c r="F77" i="5"/>
  <c r="A77" i="5" s="1"/>
  <c r="E77" i="5"/>
  <c r="D77" i="5"/>
  <c r="C77" i="5"/>
  <c r="B77" i="5"/>
  <c r="H205" i="5"/>
  <c r="G205" i="5"/>
  <c r="F205" i="5"/>
  <c r="A205" i="5" s="1"/>
  <c r="E205" i="5"/>
  <c r="D205" i="5"/>
  <c r="C205" i="5"/>
  <c r="B205" i="5"/>
  <c r="H137" i="5"/>
  <c r="G137" i="5"/>
  <c r="F137" i="5"/>
  <c r="A137" i="5" s="1"/>
  <c r="E137" i="5"/>
  <c r="D137" i="5"/>
  <c r="C137" i="5"/>
  <c r="B137" i="5"/>
  <c r="H8" i="5"/>
  <c r="G8" i="5"/>
  <c r="F8" i="5"/>
  <c r="A8" i="5" s="1"/>
  <c r="E8" i="5"/>
  <c r="D8" i="5"/>
  <c r="C8" i="5"/>
  <c r="B8" i="5"/>
  <c r="H22" i="5"/>
  <c r="G22" i="5"/>
  <c r="F22" i="5"/>
  <c r="A22" i="5" s="1"/>
  <c r="E22" i="5"/>
  <c r="D22" i="5"/>
  <c r="C22" i="5"/>
  <c r="B22" i="5"/>
  <c r="H59" i="5"/>
  <c r="G59" i="5"/>
  <c r="F59" i="5"/>
  <c r="A59" i="5" s="1"/>
  <c r="E59" i="5"/>
  <c r="D59" i="5"/>
  <c r="C59" i="5"/>
  <c r="B59" i="5"/>
  <c r="H294" i="5"/>
  <c r="G294" i="5"/>
  <c r="F294" i="5"/>
  <c r="A294" i="5" s="1"/>
  <c r="E294" i="5"/>
  <c r="D294" i="5"/>
  <c r="C294" i="5"/>
  <c r="B294" i="5"/>
  <c r="H161" i="5"/>
  <c r="G161" i="5"/>
  <c r="F161" i="5"/>
  <c r="A161" i="5" s="1"/>
  <c r="E161" i="5"/>
  <c r="D161" i="5"/>
  <c r="C161" i="5"/>
  <c r="B161" i="5"/>
  <c r="H135" i="5"/>
  <c r="G135" i="5"/>
  <c r="F135" i="5"/>
  <c r="A135" i="5" s="1"/>
  <c r="E135" i="5"/>
  <c r="D135" i="5"/>
  <c r="C135" i="5"/>
  <c r="B135" i="5"/>
  <c r="H250" i="5"/>
  <c r="G250" i="5"/>
  <c r="F250" i="5"/>
  <c r="A250" i="5" s="1"/>
  <c r="E250" i="5"/>
  <c r="D250" i="5"/>
  <c r="C250" i="5"/>
  <c r="B250" i="5"/>
  <c r="H89" i="5"/>
  <c r="G89" i="5"/>
  <c r="F89" i="5"/>
  <c r="E89" i="5"/>
  <c r="D89" i="5"/>
  <c r="C89" i="5"/>
  <c r="B89" i="5"/>
  <c r="H247" i="5"/>
  <c r="G247" i="5"/>
  <c r="F247" i="5"/>
  <c r="A247" i="5" s="1"/>
  <c r="E247" i="5"/>
  <c r="D247" i="5"/>
  <c r="C247" i="5"/>
  <c r="B247" i="5"/>
  <c r="H230" i="5"/>
  <c r="G230" i="5"/>
  <c r="F230" i="5"/>
  <c r="A230" i="5" s="1"/>
  <c r="E230" i="5"/>
  <c r="D230" i="5"/>
  <c r="C230" i="5"/>
  <c r="B230" i="5"/>
  <c r="H94" i="5"/>
  <c r="G94" i="5"/>
  <c r="F94" i="5"/>
  <c r="A94" i="5" s="1"/>
  <c r="E94" i="5"/>
  <c r="D94" i="5"/>
  <c r="C94" i="5"/>
  <c r="B94" i="5"/>
  <c r="H55" i="5"/>
  <c r="G55" i="5"/>
  <c r="F55" i="5"/>
  <c r="E55" i="5"/>
  <c r="D55" i="5"/>
  <c r="C55" i="5"/>
  <c r="B55" i="5"/>
  <c r="H162" i="5"/>
  <c r="G162" i="5"/>
  <c r="F162" i="5"/>
  <c r="E162" i="5"/>
  <c r="D162" i="5"/>
  <c r="C162" i="5"/>
  <c r="B162" i="5"/>
  <c r="H291" i="5"/>
  <c r="G291" i="5"/>
  <c r="F291" i="5"/>
  <c r="A291" i="5" s="1"/>
  <c r="E291" i="5"/>
  <c r="D291" i="5"/>
  <c r="C291" i="5"/>
  <c r="B291" i="5"/>
  <c r="H239" i="5"/>
  <c r="G239" i="5"/>
  <c r="F239" i="5"/>
  <c r="A239" i="5" s="1"/>
  <c r="E239" i="5"/>
  <c r="D239" i="5"/>
  <c r="C239" i="5"/>
  <c r="B239" i="5"/>
  <c r="H197" i="5"/>
  <c r="G197" i="5"/>
  <c r="F197" i="5"/>
  <c r="A197" i="5" s="1"/>
  <c r="E197" i="5"/>
  <c r="D197" i="5"/>
  <c r="C197" i="5"/>
  <c r="B197" i="5"/>
  <c r="H108" i="5"/>
  <c r="G108" i="5"/>
  <c r="F108" i="5"/>
  <c r="E108" i="5"/>
  <c r="D108" i="5"/>
  <c r="C108" i="5"/>
  <c r="B108" i="5"/>
  <c r="H79" i="5"/>
  <c r="G79" i="5"/>
  <c r="F79" i="5"/>
  <c r="E79" i="5"/>
  <c r="D79" i="5"/>
  <c r="C79" i="5"/>
  <c r="B79" i="5"/>
  <c r="H169" i="5"/>
  <c r="G169" i="5"/>
  <c r="F169" i="5"/>
  <c r="A169" i="5" s="1"/>
  <c r="E169" i="5"/>
  <c r="D169" i="5"/>
  <c r="C169" i="5"/>
  <c r="B169" i="5"/>
  <c r="H147" i="5"/>
  <c r="G147" i="5"/>
  <c r="F147" i="5"/>
  <c r="A147" i="5" s="1"/>
  <c r="E147" i="5"/>
  <c r="D147" i="5"/>
  <c r="C147" i="5"/>
  <c r="B147" i="5"/>
  <c r="D54" i="3"/>
  <c r="C54" i="3"/>
  <c r="B54" i="3"/>
  <c r="A54" i="3"/>
  <c r="E54" i="3" s="1"/>
  <c r="D53" i="3"/>
  <c r="C53" i="3"/>
  <c r="B53" i="3"/>
  <c r="A53" i="3"/>
  <c r="E53" i="3" s="1"/>
  <c r="D52" i="3"/>
  <c r="C52" i="3"/>
  <c r="B52" i="3"/>
  <c r="A52" i="3"/>
  <c r="E52" i="3" s="1"/>
  <c r="D51" i="3"/>
  <c r="C51" i="3"/>
  <c r="B51" i="3"/>
  <c r="A51" i="3"/>
  <c r="E51" i="3" s="1"/>
  <c r="D50" i="3"/>
  <c r="C50" i="3"/>
  <c r="B50" i="3"/>
  <c r="A50" i="3"/>
  <c r="E50" i="3" s="1"/>
  <c r="D49" i="3"/>
  <c r="C49" i="3"/>
  <c r="B49" i="3"/>
  <c r="A49" i="3"/>
  <c r="E49" i="3" s="1"/>
  <c r="E48" i="3"/>
  <c r="D48" i="3"/>
  <c r="C48" i="3"/>
  <c r="B48" i="3"/>
  <c r="A48" i="3"/>
  <c r="D47" i="3"/>
  <c r="C47" i="3"/>
  <c r="B47" i="3"/>
  <c r="A47" i="3"/>
  <c r="E47" i="3" s="1"/>
  <c r="D46" i="3"/>
  <c r="C46" i="3"/>
  <c r="B46" i="3"/>
  <c r="A46" i="3"/>
  <c r="E46" i="3" s="1"/>
  <c r="D45" i="3"/>
  <c r="C45" i="3"/>
  <c r="B45" i="3"/>
  <c r="A45" i="3"/>
  <c r="E45" i="3" s="1"/>
  <c r="D44" i="3"/>
  <c r="C44" i="3"/>
  <c r="B44" i="3"/>
  <c r="A44" i="3"/>
  <c r="E44" i="3" s="1"/>
  <c r="D43" i="3"/>
  <c r="C43" i="3"/>
  <c r="B43" i="3"/>
  <c r="A43" i="3"/>
  <c r="E43" i="3" s="1"/>
  <c r="D42" i="3"/>
  <c r="C42" i="3"/>
  <c r="A42" i="3" s="1"/>
  <c r="E42" i="3" s="1"/>
  <c r="B42" i="3"/>
  <c r="D41" i="3"/>
  <c r="C41" i="3"/>
  <c r="B41" i="3"/>
  <c r="A41" i="3"/>
  <c r="E41" i="3" s="1"/>
  <c r="D40" i="3"/>
  <c r="C40" i="3"/>
  <c r="B40" i="3"/>
  <c r="A40" i="3"/>
  <c r="E40" i="3" s="1"/>
  <c r="D39" i="3"/>
  <c r="C39" i="3"/>
  <c r="B39" i="3"/>
  <c r="A39" i="3"/>
  <c r="E39" i="3" s="1"/>
  <c r="D38" i="3"/>
  <c r="C38" i="3"/>
  <c r="B38" i="3"/>
  <c r="A38" i="3"/>
  <c r="E38" i="3" s="1"/>
  <c r="D37" i="3"/>
  <c r="C37" i="3"/>
  <c r="B37" i="3"/>
  <c r="A37" i="3"/>
  <c r="E37" i="3" s="1"/>
  <c r="D36" i="3"/>
  <c r="C36" i="3"/>
  <c r="B36" i="3"/>
  <c r="A36" i="3"/>
  <c r="E36" i="3" s="1"/>
  <c r="E35" i="3"/>
  <c r="D35" i="3"/>
  <c r="C35" i="3"/>
  <c r="B35" i="3"/>
  <c r="A35" i="3"/>
  <c r="D34" i="3"/>
  <c r="C34" i="3"/>
  <c r="B34" i="3"/>
  <c r="A34" i="3"/>
  <c r="E34" i="3" s="1"/>
  <c r="D33" i="3"/>
  <c r="C33" i="3"/>
  <c r="B33" i="3"/>
  <c r="A33" i="3"/>
  <c r="E33" i="3" s="1"/>
  <c r="D32" i="3"/>
  <c r="C32" i="3"/>
  <c r="B32" i="3"/>
  <c r="A32" i="3"/>
  <c r="E32" i="3" s="1"/>
  <c r="D31" i="3"/>
  <c r="C31" i="3"/>
  <c r="B31" i="3"/>
  <c r="A31" i="3"/>
  <c r="E31" i="3" s="1"/>
  <c r="D30" i="3"/>
  <c r="C30" i="3"/>
  <c r="B30" i="3"/>
  <c r="A30" i="3"/>
  <c r="E30" i="3" s="1"/>
  <c r="D29" i="3"/>
  <c r="C29" i="3"/>
  <c r="A29" i="3" s="1"/>
  <c r="E29" i="3" s="1"/>
  <c r="B29" i="3"/>
  <c r="D28" i="3"/>
  <c r="C28" i="3"/>
  <c r="B28" i="3"/>
  <c r="A28" i="3"/>
  <c r="E28" i="3" s="1"/>
  <c r="D27" i="3"/>
  <c r="C27" i="3"/>
  <c r="B27" i="3"/>
  <c r="A27" i="3"/>
  <c r="E27" i="3" s="1"/>
  <c r="D26" i="3"/>
  <c r="C26" i="3"/>
  <c r="B26" i="3"/>
  <c r="A26" i="3"/>
  <c r="E26" i="3" s="1"/>
  <c r="D25" i="3"/>
  <c r="C25" i="3"/>
  <c r="B25" i="3"/>
  <c r="A25" i="3"/>
  <c r="E25" i="3" s="1"/>
  <c r="D24" i="3"/>
  <c r="C24" i="3"/>
  <c r="B24" i="3"/>
  <c r="A24" i="3"/>
  <c r="E24" i="3" s="1"/>
  <c r="D23" i="3"/>
  <c r="C23" i="3"/>
  <c r="B23" i="3"/>
  <c r="A23" i="3"/>
  <c r="E23" i="3" s="1"/>
  <c r="D22" i="3"/>
  <c r="C22" i="3"/>
  <c r="B22" i="3"/>
  <c r="A22" i="3"/>
  <c r="E22" i="3" s="1"/>
  <c r="D21" i="3"/>
  <c r="C21" i="3"/>
  <c r="B21" i="3"/>
  <c r="A21" i="3"/>
  <c r="E21" i="3" s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A131" i="5"/>
  <c r="A190" i="5"/>
  <c r="A155" i="5"/>
  <c r="A37" i="5"/>
  <c r="A56" i="5"/>
  <c r="A215" i="5"/>
  <c r="A66" i="5"/>
  <c r="A171" i="5"/>
  <c r="A87" i="5"/>
  <c r="A36" i="5"/>
  <c r="A72" i="5"/>
  <c r="A83" i="5"/>
  <c r="A64" i="5"/>
  <c r="A260" i="5"/>
  <c r="A227" i="5"/>
  <c r="A111" i="5"/>
  <c r="A280" i="5"/>
  <c r="A255" i="5"/>
  <c r="A277" i="5"/>
  <c r="A241" i="5"/>
  <c r="A16" i="5"/>
  <c r="A140" i="5"/>
  <c r="A151" i="5"/>
  <c r="A57" i="5"/>
  <c r="A7" i="5"/>
  <c r="A275" i="5"/>
  <c r="A276" i="5"/>
  <c r="A19" i="5"/>
  <c r="A306" i="5"/>
  <c r="A21" i="5"/>
  <c r="A138" i="5"/>
  <c r="D20" i="3"/>
  <c r="C20" i="3"/>
  <c r="B20" i="3"/>
  <c r="D19" i="3"/>
  <c r="C19" i="3"/>
  <c r="B19" i="3"/>
  <c r="D18" i="3"/>
  <c r="C18" i="3"/>
  <c r="B18" i="3"/>
  <c r="D17" i="3"/>
  <c r="C17" i="3"/>
  <c r="B17" i="3"/>
  <c r="D16" i="3"/>
  <c r="C16" i="3"/>
  <c r="B16" i="3"/>
  <c r="D15" i="3"/>
  <c r="C15" i="3"/>
  <c r="B15" i="3"/>
  <c r="D14" i="3"/>
  <c r="C14" i="3"/>
  <c r="B14" i="3"/>
  <c r="D13" i="3"/>
  <c r="C13" i="3"/>
  <c r="B13" i="3"/>
  <c r="D12" i="3"/>
  <c r="C12" i="3"/>
  <c r="B12" i="3"/>
  <c r="D11" i="3"/>
  <c r="C11" i="3"/>
  <c r="B11" i="3"/>
  <c r="D10" i="3"/>
  <c r="C10" i="3"/>
  <c r="B10" i="3"/>
  <c r="D9" i="3"/>
  <c r="C9" i="3"/>
  <c r="B9" i="3"/>
  <c r="D8" i="3"/>
  <c r="C8" i="3"/>
  <c r="B8" i="3"/>
  <c r="D7" i="3"/>
  <c r="C7" i="3"/>
  <c r="B7" i="3"/>
  <c r="D6" i="3"/>
  <c r="C6" i="3"/>
  <c r="B6" i="3"/>
  <c r="D5" i="3"/>
  <c r="C5" i="3"/>
  <c r="B5" i="3"/>
  <c r="D4" i="3"/>
  <c r="C4" i="3"/>
  <c r="B4" i="3"/>
  <c r="D3" i="3"/>
  <c r="C3" i="3"/>
  <c r="B3" i="3"/>
  <c r="D2" i="3"/>
  <c r="C2" i="3"/>
  <c r="B2" i="3"/>
  <c r="A184" i="5"/>
  <c r="A314" i="5"/>
  <c r="A98" i="5"/>
  <c r="A150" i="5"/>
  <c r="A114" i="5"/>
  <c r="A105" i="5"/>
  <c r="A292" i="5"/>
  <c r="A252" i="5"/>
  <c r="A267" i="5"/>
  <c r="A107" i="5"/>
  <c r="A191" i="5"/>
  <c r="A39" i="5"/>
  <c r="A14" i="5"/>
  <c r="A50" i="5"/>
  <c r="A61" i="5"/>
  <c r="A270" i="5"/>
  <c r="A287" i="5"/>
  <c r="A243" i="5"/>
  <c r="A45" i="5"/>
  <c r="A81" i="5"/>
  <c r="A174" i="5"/>
  <c r="A248" i="5"/>
  <c r="A308" i="5"/>
  <c r="A73" i="5"/>
  <c r="A244" i="5"/>
  <c r="A283" i="5"/>
  <c r="A199" i="5"/>
  <c r="A47" i="5"/>
  <c r="A213" i="5"/>
  <c r="A203" i="5"/>
  <c r="A293" i="5"/>
  <c r="A99" i="5"/>
  <c r="A96" i="5"/>
  <c r="A303" i="5"/>
  <c r="A38" i="5"/>
  <c r="A32" i="5"/>
  <c r="A284" i="5"/>
  <c r="A117" i="5"/>
  <c r="A192" i="5"/>
  <c r="A93" i="5"/>
  <c r="A126" i="5"/>
  <c r="A202" i="5"/>
  <c r="A102" i="5"/>
  <c r="A313" i="5"/>
  <c r="A52" i="5"/>
  <c r="A297" i="5"/>
  <c r="A175" i="5"/>
  <c r="A157" i="5"/>
  <c r="A31" i="5"/>
  <c r="A257" i="5"/>
  <c r="A221" i="5"/>
  <c r="A40" i="5"/>
  <c r="A75" i="5"/>
  <c r="A13" i="5"/>
  <c r="A34" i="5"/>
  <c r="A128" i="5"/>
  <c r="A116" i="5"/>
  <c r="A3" i="5"/>
  <c r="A224" i="5"/>
  <c r="A211" i="5"/>
  <c r="A28" i="5"/>
  <c r="A90" i="5"/>
  <c r="A274" i="5"/>
  <c r="A62" i="5"/>
  <c r="A6" i="5"/>
  <c r="A132" i="5"/>
  <c r="A120" i="5"/>
  <c r="A153" i="5"/>
  <c r="A253" i="5"/>
  <c r="A185" i="5"/>
  <c r="A100" i="5"/>
  <c r="A235" i="5"/>
  <c r="A265" i="5"/>
  <c r="A46" i="5"/>
  <c r="A49" i="5"/>
  <c r="A298" i="5"/>
  <c r="A51" i="5"/>
  <c r="A158" i="5"/>
  <c r="A228" i="5"/>
  <c r="A238" i="5"/>
  <c r="A312" i="5"/>
  <c r="A142" i="5"/>
  <c r="A279" i="5"/>
  <c r="A103" i="5"/>
  <c r="A310" i="5"/>
  <c r="A20" i="5"/>
  <c r="A133" i="5"/>
  <c r="A48" i="5"/>
  <c r="A181" i="5"/>
  <c r="A33" i="5"/>
  <c r="A285" i="5"/>
  <c r="A229" i="5"/>
  <c r="A218" i="5"/>
  <c r="A173" i="5"/>
  <c r="A160" i="5"/>
  <c r="A206" i="5"/>
  <c r="A156" i="5"/>
  <c r="A217" i="5"/>
  <c r="A179" i="5"/>
  <c r="A112" i="5"/>
  <c r="A304" i="5"/>
  <c r="A43" i="5"/>
  <c r="A95" i="5"/>
  <c r="A145" i="5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A165" i="5" l="1"/>
  <c r="A143" i="5"/>
  <c r="A246" i="5"/>
  <c r="I3" i="5"/>
  <c r="A82" i="5"/>
  <c r="A300" i="5"/>
  <c r="A55" i="5"/>
  <c r="A315" i="5"/>
  <c r="A183" i="5"/>
  <c r="A198" i="5"/>
  <c r="A89" i="5"/>
  <c r="A282" i="5"/>
  <c r="A109" i="5"/>
  <c r="A225" i="5"/>
  <c r="A26" i="5"/>
  <c r="G667" i="1" s="1"/>
  <c r="A219" i="5"/>
  <c r="A17" i="5"/>
  <c r="D138" i="1"/>
  <c r="D551" i="1"/>
  <c r="D797" i="1"/>
  <c r="D378" i="1"/>
  <c r="G551" i="1"/>
  <c r="G511" i="1"/>
  <c r="G933" i="1"/>
  <c r="G797" i="1"/>
  <c r="G693" i="1"/>
  <c r="G453" i="1"/>
  <c r="G372" i="1"/>
  <c r="G364" i="1"/>
  <c r="G356" i="1"/>
  <c r="G938" i="1"/>
  <c r="G441" i="1"/>
  <c r="G425" i="1"/>
  <c r="G417" i="1"/>
  <c r="G409" i="1"/>
  <c r="G568" i="1"/>
  <c r="G138" i="1"/>
  <c r="G193" i="1"/>
  <c r="D814" i="1"/>
  <c r="G378" i="1"/>
  <c r="D933" i="1"/>
  <c r="D652" i="1"/>
  <c r="G269" i="1"/>
  <c r="G261" i="1"/>
  <c r="D441" i="1"/>
  <c r="D193" i="1"/>
  <c r="D185" i="1"/>
  <c r="D177" i="1"/>
  <c r="D169" i="1"/>
  <c r="D882" i="1"/>
  <c r="D511" i="1"/>
  <c r="G132" i="1"/>
  <c r="D938" i="1"/>
  <c r="D453" i="1"/>
  <c r="D269" i="1"/>
  <c r="D261" i="1"/>
  <c r="D221" i="1"/>
  <c r="D693" i="1"/>
  <c r="D372" i="1"/>
  <c r="D364" i="1"/>
  <c r="D356" i="1"/>
  <c r="D132" i="1"/>
  <c r="D689" i="1"/>
  <c r="D666" i="1"/>
  <c r="D611" i="1"/>
  <c r="D568" i="1"/>
  <c r="A20" i="3"/>
  <c r="E20" i="3" s="1"/>
  <c r="A19" i="3"/>
  <c r="E19" i="3" s="1"/>
  <c r="A18" i="3"/>
  <c r="E18" i="3" s="1"/>
  <c r="A17" i="3"/>
  <c r="E17" i="3" s="1"/>
  <c r="A16" i="3"/>
  <c r="E16" i="3" s="1"/>
  <c r="A15" i="3"/>
  <c r="E15" i="3" s="1"/>
  <c r="A14" i="3"/>
  <c r="E14" i="3" s="1"/>
  <c r="A13" i="3"/>
  <c r="E13" i="3" s="1"/>
  <c r="A12" i="3"/>
  <c r="E12" i="3" s="1"/>
  <c r="A11" i="3"/>
  <c r="E11" i="3" s="1"/>
  <c r="A10" i="3"/>
  <c r="E10" i="3" s="1"/>
  <c r="A9" i="3"/>
  <c r="E9" i="3" s="1"/>
  <c r="A8" i="3"/>
  <c r="E8" i="3" s="1"/>
  <c r="A7" i="3"/>
  <c r="E7" i="3" s="1"/>
  <c r="A6" i="3"/>
  <c r="E6" i="3" s="1"/>
  <c r="A5" i="3"/>
  <c r="E5" i="3" s="1"/>
  <c r="A4" i="3"/>
  <c r="E4" i="3" s="1"/>
  <c r="A3" i="3"/>
  <c r="A2" i="3"/>
  <c r="D233" i="1" l="1"/>
  <c r="G719" i="1"/>
  <c r="D85" i="1"/>
  <c r="D740" i="1"/>
  <c r="G396" i="1"/>
  <c r="D176" i="1"/>
  <c r="D108" i="1"/>
  <c r="D950" i="1"/>
  <c r="D160" i="1"/>
  <c r="D457" i="1"/>
  <c r="G348" i="1"/>
  <c r="D564" i="1"/>
  <c r="D709" i="1"/>
  <c r="G414" i="1"/>
  <c r="D766" i="1"/>
  <c r="G26" i="1"/>
  <c r="D897" i="1"/>
  <c r="D732" i="1"/>
  <c r="D837" i="1"/>
  <c r="D626" i="1"/>
  <c r="D752" i="1"/>
  <c r="D253" i="1"/>
  <c r="G446" i="1"/>
  <c r="D572" i="1"/>
  <c r="D88" i="1"/>
  <c r="G449" i="1"/>
  <c r="G322" i="1"/>
  <c r="D218" i="1"/>
  <c r="D556" i="1"/>
  <c r="G625" i="1"/>
  <c r="D309" i="1"/>
  <c r="D958" i="1"/>
  <c r="G481" i="1"/>
  <c r="D502" i="1"/>
  <c r="D481" i="1"/>
  <c r="D478" i="1"/>
  <c r="G268" i="1"/>
  <c r="D665" i="1"/>
  <c r="D642" i="1"/>
  <c r="D808" i="1"/>
  <c r="D817" i="1"/>
  <c r="D494" i="1"/>
  <c r="D688" i="1"/>
  <c r="D730" i="1"/>
  <c r="G422" i="1"/>
  <c r="D449" i="1"/>
  <c r="G340" i="1"/>
  <c r="D446" i="1"/>
  <c r="G494" i="1"/>
  <c r="D966" i="1"/>
  <c r="D518" i="1"/>
  <c r="G617" i="1"/>
  <c r="D510" i="1"/>
  <c r="G462" i="1"/>
  <c r="G465" i="1"/>
  <c r="D608" i="1"/>
  <c r="D213" i="1"/>
  <c r="D173" i="1"/>
  <c r="G404" i="1"/>
  <c r="D184" i="1"/>
  <c r="G18" i="1"/>
  <c r="D168" i="1"/>
  <c r="D154" i="1"/>
  <c r="D782" i="1"/>
  <c r="D486" i="1"/>
  <c r="D186" i="1"/>
  <c r="D774" i="1"/>
  <c r="G394" i="1"/>
  <c r="D210" i="1"/>
  <c r="D580" i="1"/>
  <c r="G473" i="1"/>
  <c r="D753" i="1"/>
  <c r="D405" i="1"/>
  <c r="G470" i="1"/>
  <c r="D126" i="1"/>
  <c r="G454" i="1"/>
  <c r="G743" i="1"/>
  <c r="G619" i="1"/>
  <c r="G433" i="1"/>
  <c r="G627" i="1"/>
  <c r="G651" i="1"/>
  <c r="D714" i="1"/>
  <c r="G659" i="1"/>
  <c r="D737" i="1"/>
  <c r="D757" i="1"/>
  <c r="G795" i="1"/>
  <c r="D540" i="1"/>
  <c r="G195" i="1"/>
  <c r="G87" i="1"/>
  <c r="G701" i="1"/>
  <c r="G709" i="1"/>
  <c r="D654" i="1"/>
  <c r="G717" i="1"/>
  <c r="D182" i="1"/>
  <c r="D686" i="1"/>
  <c r="D318" i="1"/>
  <c r="D694" i="1"/>
  <c r="D241" i="1"/>
  <c r="G229" i="1"/>
  <c r="D532" i="1"/>
  <c r="D801" i="1"/>
  <c r="D548" i="1"/>
  <c r="D614" i="1"/>
  <c r="D350" i="1"/>
  <c r="D374" i="1"/>
  <c r="G73" i="1"/>
  <c r="D382" i="1"/>
  <c r="G951" i="1"/>
  <c r="D430" i="1"/>
  <c r="G201" i="1"/>
  <c r="G959" i="1"/>
  <c r="G209" i="1"/>
  <c r="G967" i="1"/>
  <c r="D745" i="1"/>
  <c r="G217" i="1"/>
  <c r="D442" i="1"/>
  <c r="D765" i="1"/>
  <c r="G241" i="1"/>
  <c r="D187" i="1"/>
  <c r="D109" i="1"/>
  <c r="G172" i="1"/>
  <c r="G204" i="1"/>
  <c r="G840" i="1"/>
  <c r="D599" i="1"/>
  <c r="G236" i="1"/>
  <c r="G848" i="1"/>
  <c r="D54" i="1"/>
  <c r="D389" i="1"/>
  <c r="G34" i="1"/>
  <c r="D330" i="1"/>
  <c r="D397" i="1"/>
  <c r="G641" i="1"/>
  <c r="D834" i="1"/>
  <c r="G564" i="1"/>
  <c r="D183" i="1"/>
  <c r="G953" i="1"/>
  <c r="D191" i="1"/>
  <c r="G160" i="1"/>
  <c r="G854" i="1"/>
  <c r="D324" i="1"/>
  <c r="G210" i="1"/>
  <c r="D299" i="1"/>
  <c r="G230" i="1"/>
  <c r="G900" i="1"/>
  <c r="D311" i="1"/>
  <c r="D711" i="1"/>
  <c r="G894" i="1"/>
  <c r="D553" i="1"/>
  <c r="D747" i="1"/>
  <c r="G770" i="1"/>
  <c r="D779" i="1"/>
  <c r="G376" i="1"/>
  <c r="D965" i="1"/>
  <c r="D799" i="1"/>
  <c r="D418" i="1"/>
  <c r="D500" i="1"/>
  <c r="G100" i="1"/>
  <c r="D423" i="1"/>
  <c r="D725" i="1"/>
  <c r="D851" i="1"/>
  <c r="G7" i="1"/>
  <c r="D807" i="1"/>
  <c r="G392" i="1"/>
  <c r="G810" i="1"/>
  <c r="G565" i="1"/>
  <c r="D4" i="1"/>
  <c r="D508" i="1"/>
  <c r="D431" i="1"/>
  <c r="D746" i="1"/>
  <c r="D867" i="1"/>
  <c r="G15" i="1"/>
  <c r="D879" i="1"/>
  <c r="G416" i="1"/>
  <c r="G834" i="1"/>
  <c r="G573" i="1"/>
  <c r="G575" i="1"/>
  <c r="D515" i="1"/>
  <c r="D756" i="1"/>
  <c r="D706" i="1"/>
  <c r="G16" i="1"/>
  <c r="D729" i="1"/>
  <c r="G460" i="1"/>
  <c r="D175" i="1"/>
  <c r="G80" i="1"/>
  <c r="G838" i="1"/>
  <c r="D421" i="1"/>
  <c r="G152" i="1"/>
  <c r="D651" i="1"/>
  <c r="D84" i="1"/>
  <c r="D659" i="1"/>
  <c r="D340" i="1"/>
  <c r="D192" i="1"/>
  <c r="G428" i="1"/>
  <c r="G171" i="1"/>
  <c r="G66" i="1"/>
  <c r="D151" i="1"/>
  <c r="G56" i="1"/>
  <c r="D178" i="1"/>
  <c r="D248" i="1"/>
  <c r="G913" i="1"/>
  <c r="D858" i="1"/>
  <c r="G652" i="1"/>
  <c r="D308" i="1"/>
  <c r="G94" i="1"/>
  <c r="G828" i="1"/>
  <c r="D445" i="1"/>
  <c r="G168" i="1"/>
  <c r="G862" i="1"/>
  <c r="D332" i="1"/>
  <c r="D667" i="1"/>
  <c r="G234" i="1"/>
  <c r="D203" i="1"/>
  <c r="D585" i="1"/>
  <c r="G762" i="1"/>
  <c r="D613" i="1"/>
  <c r="G916" i="1"/>
  <c r="D562" i="1"/>
  <c r="D727" i="1"/>
  <c r="G92" i="1"/>
  <c r="D415" i="1"/>
  <c r="D234" i="1"/>
  <c r="G8" i="1"/>
  <c r="G436" i="1"/>
  <c r="D220" i="1"/>
  <c r="D550" i="1"/>
  <c r="G794" i="1"/>
  <c r="G47" i="1"/>
  <c r="G882" i="1"/>
  <c r="D600" i="1"/>
  <c r="D81" i="1"/>
  <c r="G189" i="1"/>
  <c r="G63" i="1"/>
  <c r="G41" i="1"/>
  <c r="G672" i="1"/>
  <c r="G890" i="1"/>
  <c r="G597" i="1"/>
  <c r="G703" i="1"/>
  <c r="D419" i="1"/>
  <c r="G75" i="1"/>
  <c r="G633" i="1"/>
  <c r="D200" i="1"/>
  <c r="G758" i="1"/>
  <c r="G38" i="1"/>
  <c r="G814" i="1"/>
  <c r="D413" i="1"/>
  <c r="G186" i="1"/>
  <c r="D256" i="1"/>
  <c r="G194" i="1"/>
  <c r="D94" i="1"/>
  <c r="D437" i="1"/>
  <c r="G202" i="1"/>
  <c r="D239" i="1"/>
  <c r="G222" i="1"/>
  <c r="G570" i="1"/>
  <c r="G28" i="1"/>
  <c r="D575" i="1"/>
  <c r="G578" i="1"/>
  <c r="D544" i="1"/>
  <c r="G330" i="1"/>
  <c r="G908" i="1"/>
  <c r="D375" i="1"/>
  <c r="D719" i="1"/>
  <c r="G902" i="1"/>
  <c r="D399" i="1"/>
  <c r="G910" i="1"/>
  <c r="D787" i="1"/>
  <c r="G802" i="1"/>
  <c r="G164" i="1"/>
  <c r="D33" i="1"/>
  <c r="D943" i="1"/>
  <c r="G581" i="1"/>
  <c r="G252" i="1"/>
  <c r="G228" i="1"/>
  <c r="D41" i="1"/>
  <c r="G711" i="1"/>
  <c r="D929" i="1"/>
  <c r="D685" i="1"/>
  <c r="G686" i="1"/>
  <c r="G30" i="1"/>
  <c r="D240" i="1"/>
  <c r="G889" i="1"/>
  <c r="D260" i="1"/>
  <c r="G78" i="1"/>
  <c r="D106" i="1"/>
  <c r="D276" i="1"/>
  <c r="G86" i="1"/>
  <c r="G846" i="1"/>
  <c r="D264" i="1"/>
  <c r="G961" i="1"/>
  <c r="D392" i="1"/>
  <c r="G836" i="1"/>
  <c r="D287" i="1"/>
  <c r="G176" i="1"/>
  <c r="G886" i="1"/>
  <c r="D777" i="1"/>
  <c r="D675" i="1"/>
  <c r="G242" i="1"/>
  <c r="D171" i="1"/>
  <c r="D625" i="1"/>
  <c r="G258" i="1"/>
  <c r="D139" i="1"/>
  <c r="D641" i="1"/>
  <c r="D957" i="1"/>
  <c r="G357" i="1"/>
  <c r="D266" i="1"/>
  <c r="D514" i="1"/>
  <c r="D661" i="1"/>
  <c r="G384" i="1"/>
  <c r="D516" i="1"/>
  <c r="D471" i="1"/>
  <c r="D963" i="1"/>
  <c r="G39" i="1"/>
  <c r="G842" i="1"/>
  <c r="G639" i="1"/>
  <c r="D483" i="1"/>
  <c r="D534" i="1"/>
  <c r="D479" i="1"/>
  <c r="G141" i="1"/>
  <c r="D951" i="1"/>
  <c r="G664" i="1"/>
  <c r="G589" i="1"/>
  <c r="G647" i="1"/>
  <c r="D451" i="1"/>
  <c r="D543" i="1"/>
  <c r="G260" i="1"/>
  <c r="D283" i="1"/>
  <c r="D570" i="1"/>
  <c r="D158" i="1"/>
  <c r="D574" i="1"/>
  <c r="D89" i="1"/>
  <c r="G197" i="1"/>
  <c r="G71" i="1"/>
  <c r="G57" i="1"/>
  <c r="G712" i="1"/>
  <c r="G621" i="1"/>
  <c r="D219" i="1"/>
  <c r="D579" i="1"/>
  <c r="D166" i="1"/>
  <c r="D605" i="1"/>
  <c r="D153" i="1"/>
  <c r="G221" i="1"/>
  <c r="G79" i="1"/>
  <c r="G65" i="1"/>
  <c r="G816" i="1"/>
  <c r="G339" i="1"/>
  <c r="G629" i="1"/>
  <c r="D181" i="1"/>
  <c r="G267" i="1"/>
  <c r="D786" i="1"/>
  <c r="D595" i="1"/>
  <c r="G157" i="1"/>
  <c r="G46" i="1"/>
  <c r="D662" i="1"/>
  <c r="D735" i="1"/>
  <c r="D816" i="1"/>
  <c r="G680" i="1"/>
  <c r="G921" i="1"/>
  <c r="G635" i="1"/>
  <c r="G884" i="1"/>
  <c r="G430" i="1"/>
  <c r="D274" i="1"/>
  <c r="D28" i="1"/>
  <c r="D102" i="1"/>
  <c r="D10" i="1"/>
  <c r="D53" i="1"/>
  <c r="D66" i="1"/>
  <c r="G887" i="1"/>
  <c r="G607" i="1"/>
  <c r="G950" i="1"/>
  <c r="G670" i="1"/>
  <c r="G390" i="1"/>
  <c r="G773" i="1"/>
  <c r="G477" i="1"/>
  <c r="G876" i="1"/>
  <c r="G596" i="1"/>
  <c r="G308" i="1"/>
  <c r="G707" i="1"/>
  <c r="G427" i="1"/>
  <c r="G826" i="1"/>
  <c r="G546" i="1"/>
  <c r="G825" i="1"/>
  <c r="G529" i="1"/>
  <c r="G920" i="1"/>
  <c r="G640" i="1"/>
  <c r="G352" i="1"/>
  <c r="G114" i="1"/>
  <c r="D800" i="1"/>
  <c r="G233" i="1"/>
  <c r="D919" i="1"/>
  <c r="D639" i="1"/>
  <c r="G72" i="1"/>
  <c r="D742" i="1"/>
  <c r="G199" i="1"/>
  <c r="D885" i="1"/>
  <c r="G62" i="1"/>
  <c r="D748" i="1"/>
  <c r="D955" i="1"/>
  <c r="D683" i="1"/>
  <c r="D576" i="1"/>
  <c r="D297" i="1"/>
  <c r="D25" i="1"/>
  <c r="D557" i="1"/>
  <c r="D288" i="1"/>
  <c r="D24" i="1"/>
  <c r="D546" i="1"/>
  <c r="D279" i="1"/>
  <c r="D913" i="1"/>
  <c r="D438" i="1"/>
  <c r="D174" i="1"/>
  <c r="D571" i="1"/>
  <c r="D301" i="1"/>
  <c r="G3" i="1"/>
  <c r="D452" i="1"/>
  <c r="D188" i="1"/>
  <c r="D627" i="1"/>
  <c r="D962" i="1"/>
  <c r="D298" i="1"/>
  <c r="D20" i="1"/>
  <c r="D63" i="1"/>
  <c r="D76" i="1"/>
  <c r="G879" i="1"/>
  <c r="G599" i="1"/>
  <c r="G942" i="1"/>
  <c r="G662" i="1"/>
  <c r="G382" i="1"/>
  <c r="G749" i="1"/>
  <c r="G469" i="1"/>
  <c r="G868" i="1"/>
  <c r="G580" i="1"/>
  <c r="G300" i="1"/>
  <c r="G699" i="1"/>
  <c r="G419" i="1"/>
  <c r="G818" i="1"/>
  <c r="G538" i="1"/>
  <c r="G817" i="1"/>
  <c r="G521" i="1"/>
  <c r="G912" i="1"/>
  <c r="G632" i="1"/>
  <c r="G344" i="1"/>
  <c r="G106" i="1"/>
  <c r="D792" i="1"/>
  <c r="G225" i="1"/>
  <c r="D911" i="1"/>
  <c r="D631" i="1"/>
  <c r="G64" i="1"/>
  <c r="D734" i="1"/>
  <c r="D227" i="1"/>
  <c r="D235" i="1"/>
  <c r="D370" i="1"/>
  <c r="D467" i="1"/>
  <c r="D589" i="1"/>
  <c r="G735" i="1"/>
  <c r="G463" i="1"/>
  <c r="G798" i="1"/>
  <c r="G510" i="1"/>
  <c r="G893" i="1"/>
  <c r="G613" i="1"/>
  <c r="G333" i="1"/>
  <c r="G732" i="1"/>
  <c r="G452" i="1"/>
  <c r="G851" i="1"/>
  <c r="G555" i="1"/>
  <c r="G954" i="1"/>
  <c r="G674" i="1"/>
  <c r="G945" i="1"/>
  <c r="G665" i="1"/>
  <c r="G385" i="1"/>
  <c r="G776" i="1"/>
  <c r="G496" i="1"/>
  <c r="G250" i="1"/>
  <c r="D944" i="1"/>
  <c r="D648" i="1"/>
  <c r="G81" i="1"/>
  <c r="D767" i="1"/>
  <c r="G192" i="1"/>
  <c r="D878" i="1"/>
  <c r="D598" i="1"/>
  <c r="G55" i="1"/>
  <c r="G206" i="1"/>
  <c r="D892" i="1"/>
  <c r="D596" i="1"/>
  <c r="G117" i="1"/>
  <c r="D811" i="1"/>
  <c r="D890" i="1"/>
  <c r="D425" i="1"/>
  <c r="D145" i="1"/>
  <c r="D810" i="1"/>
  <c r="D408" i="1"/>
  <c r="D144" i="1"/>
  <c r="D809" i="1"/>
  <c r="D407" i="1"/>
  <c r="D143" i="1"/>
  <c r="D573" i="1"/>
  <c r="D302" i="1"/>
  <c r="D874" i="1"/>
  <c r="D429" i="1"/>
  <c r="D165" i="1"/>
  <c r="D591" i="1"/>
  <c r="D316" i="1"/>
  <c r="G59" i="1"/>
  <c r="D130" i="1"/>
  <c r="D194" i="1"/>
  <c r="D259" i="1"/>
  <c r="D267" i="1"/>
  <c r="D402" i="1"/>
  <c r="D499" i="1"/>
  <c r="D733" i="1"/>
  <c r="G727" i="1"/>
  <c r="G455" i="1"/>
  <c r="G782" i="1"/>
  <c r="G502" i="1"/>
  <c r="G885" i="1"/>
  <c r="G605" i="1"/>
  <c r="G325" i="1"/>
  <c r="G724" i="1"/>
  <c r="G444" i="1"/>
  <c r="G827" i="1"/>
  <c r="G547" i="1"/>
  <c r="G946" i="1"/>
  <c r="G658" i="1"/>
  <c r="G937" i="1"/>
  <c r="G657" i="1"/>
  <c r="G377" i="1"/>
  <c r="G768" i="1"/>
  <c r="D19" i="1"/>
  <c r="D122" i="1"/>
  <c r="D339" i="1"/>
  <c r="D930" i="1"/>
  <c r="G679" i="1"/>
  <c r="G375" i="1"/>
  <c r="G678" i="1"/>
  <c r="G334" i="1"/>
  <c r="G685" i="1"/>
  <c r="G365" i="1"/>
  <c r="G716" i="1"/>
  <c r="G388" i="1"/>
  <c r="G747" i="1"/>
  <c r="G435" i="1"/>
  <c r="G786" i="1"/>
  <c r="G458" i="1"/>
  <c r="G697" i="1"/>
  <c r="G369" i="1"/>
  <c r="G728" i="1"/>
  <c r="G408" i="1"/>
  <c r="D784" i="1"/>
  <c r="D855" i="1"/>
  <c r="G248" i="1"/>
  <c r="D902" i="1"/>
  <c r="D590" i="1"/>
  <c r="G31" i="1"/>
  <c r="G166" i="1"/>
  <c r="D820" i="1"/>
  <c r="G362" i="1"/>
  <c r="G29" i="1"/>
  <c r="D707" i="1"/>
  <c r="D586" i="1"/>
  <c r="D281" i="1"/>
  <c r="G243" i="1"/>
  <c r="D496" i="1"/>
  <c r="D216" i="1"/>
  <c r="G44" i="1"/>
  <c r="D447" i="1"/>
  <c r="D167" i="1"/>
  <c r="D583" i="1"/>
  <c r="D286" i="1"/>
  <c r="D781" i="1"/>
  <c r="D381" i="1"/>
  <c r="G227" i="1"/>
  <c r="D492" i="1"/>
  <c r="D212" i="1"/>
  <c r="D645" i="1"/>
  <c r="D82" i="1"/>
  <c r="D362" i="1"/>
  <c r="D39" i="1"/>
  <c r="D146" i="1"/>
  <c r="D371" i="1"/>
  <c r="D70" i="1"/>
  <c r="G671" i="1"/>
  <c r="G367" i="1"/>
  <c r="G654" i="1"/>
  <c r="G326" i="1"/>
  <c r="G669" i="1"/>
  <c r="G708" i="1"/>
  <c r="G380" i="1"/>
  <c r="G739" i="1"/>
  <c r="G411" i="1"/>
  <c r="G778" i="1"/>
  <c r="G450" i="1"/>
  <c r="G689" i="1"/>
  <c r="G361" i="1"/>
  <c r="G720" i="1"/>
  <c r="G400" i="1"/>
  <c r="G130" i="1"/>
  <c r="D776" i="1"/>
  <c r="G185" i="1"/>
  <c r="D831" i="1"/>
  <c r="G240" i="1"/>
  <c r="D894" i="1"/>
  <c r="D582" i="1"/>
  <c r="G23" i="1"/>
  <c r="G142" i="1"/>
  <c r="D812" i="1"/>
  <c r="G327" i="1"/>
  <c r="G21" i="1"/>
  <c r="D699" i="1"/>
  <c r="D567" i="1"/>
  <c r="D273" i="1"/>
  <c r="G211" i="1"/>
  <c r="D488" i="1"/>
  <c r="D208" i="1"/>
  <c r="G12" i="1"/>
  <c r="D439" i="1"/>
  <c r="D159" i="1"/>
  <c r="D563" i="1"/>
  <c r="D278" i="1"/>
  <c r="D323" i="1"/>
  <c r="D459" i="1"/>
  <c r="D522" i="1"/>
  <c r="D86" i="1"/>
  <c r="G839" i="1"/>
  <c r="G527" i="1"/>
  <c r="G822" i="1"/>
  <c r="G486" i="1"/>
  <c r="G837" i="1"/>
  <c r="G525" i="1"/>
  <c r="G860" i="1"/>
  <c r="G540" i="1"/>
  <c r="G907" i="1"/>
  <c r="G595" i="1"/>
  <c r="G930" i="1"/>
  <c r="G610" i="1"/>
  <c r="G857" i="1"/>
  <c r="G513" i="1"/>
  <c r="G864" i="1"/>
  <c r="G552" i="1"/>
  <c r="G282" i="1"/>
  <c r="D952" i="1"/>
  <c r="D624" i="1"/>
  <c r="G25" i="1"/>
  <c r="D687" i="1"/>
  <c r="G96" i="1"/>
  <c r="D726" i="1"/>
  <c r="G167" i="1"/>
  <c r="G303" i="1"/>
  <c r="D964" i="1"/>
  <c r="D668" i="1"/>
  <c r="G173" i="1"/>
  <c r="D843" i="1"/>
  <c r="D954" i="1"/>
  <c r="D409" i="1"/>
  <c r="D121" i="1"/>
  <c r="D705" i="1"/>
  <c r="D352" i="1"/>
  <c r="D72" i="1"/>
  <c r="D594" i="1"/>
  <c r="D303" i="1"/>
  <c r="D881" i="1"/>
  <c r="D414" i="1"/>
  <c r="G298" i="1"/>
  <c r="D509" i="1"/>
  <c r="D229" i="1"/>
  <c r="D348" i="1"/>
  <c r="G123" i="1"/>
  <c r="D155" i="1"/>
  <c r="D322" i="1"/>
  <c r="D355" i="1"/>
  <c r="D491" i="1"/>
  <c r="D11" i="1"/>
  <c r="D98" i="1"/>
  <c r="G831" i="1"/>
  <c r="G478" i="1"/>
  <c r="G829" i="1"/>
  <c r="G517" i="1"/>
  <c r="G852" i="1"/>
  <c r="G532" i="1"/>
  <c r="G899" i="1"/>
  <c r="G571" i="1"/>
  <c r="G914" i="1"/>
  <c r="G602" i="1"/>
  <c r="G849" i="1"/>
  <c r="G505" i="1"/>
  <c r="G856" i="1"/>
  <c r="G544" i="1"/>
  <c r="G274" i="1"/>
  <c r="D920" i="1"/>
  <c r="D616" i="1"/>
  <c r="G17" i="1"/>
  <c r="D679" i="1"/>
  <c r="G88" i="1"/>
  <c r="D718" i="1"/>
  <c r="G159" i="1"/>
  <c r="G286" i="1"/>
  <c r="D956" i="1"/>
  <c r="D660" i="1"/>
  <c r="G165" i="1"/>
  <c r="D835" i="1"/>
  <c r="D922" i="1"/>
  <c r="D401" i="1"/>
  <c r="D113" i="1"/>
  <c r="D682" i="1"/>
  <c r="D61" i="1"/>
  <c r="D338" i="1"/>
  <c r="D818" i="1"/>
  <c r="G855" i="1"/>
  <c r="G495" i="1"/>
  <c r="G750" i="1"/>
  <c r="G406" i="1"/>
  <c r="G317" i="1"/>
  <c r="G636" i="1"/>
  <c r="G947" i="1"/>
  <c r="G603" i="1"/>
  <c r="G522" i="1"/>
  <c r="G721" i="1"/>
  <c r="G337" i="1"/>
  <c r="G648" i="1"/>
  <c r="G288" i="1"/>
  <c r="G2" i="1"/>
  <c r="G311" i="1"/>
  <c r="D935" i="1"/>
  <c r="G280" i="1"/>
  <c r="D886" i="1"/>
  <c r="G279" i="1"/>
  <c r="D901" i="1"/>
  <c r="G22" i="1"/>
  <c r="D644" i="1"/>
  <c r="G101" i="1"/>
  <c r="D739" i="1"/>
  <c r="D558" i="1"/>
  <c r="D225" i="1"/>
  <c r="D889" i="1"/>
  <c r="D376" i="1"/>
  <c r="D64" i="1"/>
  <c r="D537" i="1"/>
  <c r="D231" i="1"/>
  <c r="D657" i="1"/>
  <c r="D310" i="1"/>
  <c r="D738" i="1"/>
  <c r="D341" i="1"/>
  <c r="G35" i="1"/>
  <c r="D428" i="1"/>
  <c r="D55" i="1"/>
  <c r="D131" i="1"/>
  <c r="D71" i="1"/>
  <c r="D434" i="1"/>
  <c r="D2" i="1"/>
  <c r="G847" i="1"/>
  <c r="G487" i="1"/>
  <c r="G742" i="1"/>
  <c r="G398" i="1"/>
  <c r="G661" i="1"/>
  <c r="G309" i="1"/>
  <c r="G939" i="1"/>
  <c r="G563" i="1"/>
  <c r="G874" i="1"/>
  <c r="G514" i="1"/>
  <c r="G705" i="1"/>
  <c r="G329" i="1"/>
  <c r="G624" i="1"/>
  <c r="G402" i="1"/>
  <c r="D960" i="1"/>
  <c r="D927" i="1"/>
  <c r="G272" i="1"/>
  <c r="D870" i="1"/>
  <c r="G271" i="1"/>
  <c r="D893" i="1"/>
  <c r="D636" i="1"/>
  <c r="G93" i="1"/>
  <c r="D731" i="1"/>
  <c r="D549" i="1"/>
  <c r="D857" i="1"/>
  <c r="D368" i="1"/>
  <c r="D528" i="1"/>
  <c r="D223" i="1"/>
  <c r="D635" i="1"/>
  <c r="D717" i="1"/>
  <c r="D937" i="1"/>
  <c r="D420" i="1"/>
  <c r="D67" i="1"/>
  <c r="D162" i="1"/>
  <c r="G263" i="1"/>
  <c r="D360" i="1"/>
  <c r="D619" i="1"/>
  <c r="D325" i="1"/>
  <c r="D412" i="1"/>
  <c r="D226" i="1"/>
  <c r="D498" i="1"/>
  <c r="G815" i="1"/>
  <c r="G350" i="1"/>
  <c r="G612" i="1"/>
  <c r="G858" i="1"/>
  <c r="G313" i="1"/>
  <c r="D904" i="1"/>
  <c r="G256" i="1"/>
  <c r="D869" i="1"/>
  <c r="D715" i="1"/>
  <c r="D201" i="1"/>
  <c r="D344" i="1"/>
  <c r="D207" i="1"/>
  <c r="D262" i="1"/>
  <c r="D317" i="1"/>
  <c r="G283" i="1"/>
  <c r="D258" i="1"/>
  <c r="G294" i="1"/>
  <c r="D940" i="1"/>
  <c r="D769" i="1"/>
  <c r="D254" i="1"/>
  <c r="D559" i="1"/>
  <c r="G628" i="1"/>
  <c r="G290" i="1"/>
  <c r="G14" i="1"/>
  <c r="D217" i="1"/>
  <c r="D56" i="1"/>
  <c r="D294" i="1"/>
  <c r="D333" i="1"/>
  <c r="D124" i="1"/>
  <c r="G6" i="1"/>
  <c r="D539" i="1"/>
  <c r="D833" i="1"/>
  <c r="D48" i="1"/>
  <c r="D215" i="1"/>
  <c r="D270" i="1"/>
  <c r="D905" i="1"/>
  <c r="D77" i="1"/>
  <c r="D93" i="1"/>
  <c r="G726" i="1"/>
  <c r="G923" i="1"/>
  <c r="G482" i="1"/>
  <c r="G600" i="1"/>
  <c r="G273" i="1"/>
  <c r="D854" i="1"/>
  <c r="G77" i="1"/>
  <c r="D789" i="1"/>
  <c r="D887" i="1"/>
  <c r="D588" i="1"/>
  <c r="D199" i="1"/>
  <c r="D83" i="1"/>
  <c r="D466" i="1"/>
  <c r="D12" i="1"/>
  <c r="G823" i="1"/>
  <c r="G479" i="1"/>
  <c r="G734" i="1"/>
  <c r="G374" i="1"/>
  <c r="G653" i="1"/>
  <c r="G301" i="1"/>
  <c r="G620" i="1"/>
  <c r="G931" i="1"/>
  <c r="G539" i="1"/>
  <c r="G866" i="1"/>
  <c r="G506" i="1"/>
  <c r="G681" i="1"/>
  <c r="G321" i="1"/>
  <c r="G608" i="1"/>
  <c r="G346" i="1"/>
  <c r="D912" i="1"/>
  <c r="G281" i="1"/>
  <c r="D903" i="1"/>
  <c r="G264" i="1"/>
  <c r="D862" i="1"/>
  <c r="D877" i="1"/>
  <c r="D628" i="1"/>
  <c r="G85" i="1"/>
  <c r="D723" i="1"/>
  <c r="D209" i="1"/>
  <c r="D519" i="1"/>
  <c r="D697" i="1"/>
  <c r="D116" i="1"/>
  <c r="D34" i="1"/>
  <c r="G471" i="1"/>
  <c r="G293" i="1"/>
  <c r="G531" i="1"/>
  <c r="G673" i="1"/>
  <c r="G314" i="1"/>
  <c r="D895" i="1"/>
  <c r="G255" i="1"/>
  <c r="D620" i="1"/>
  <c r="D530" i="1"/>
  <c r="D40" i="1"/>
  <c r="D603" i="1"/>
  <c r="D674" i="1"/>
  <c r="D404" i="1"/>
  <c r="D87" i="1"/>
  <c r="D896" i="1"/>
  <c r="D853" i="1"/>
  <c r="D691" i="1"/>
  <c r="D336" i="1"/>
  <c r="D593" i="1"/>
  <c r="D649" i="1"/>
  <c r="G645" i="1"/>
  <c r="D948" i="1"/>
  <c r="D873" i="1"/>
  <c r="D846" i="1"/>
  <c r="D521" i="1"/>
  <c r="D503" i="1"/>
  <c r="D634" i="1"/>
  <c r="D5" i="1"/>
  <c r="D103" i="1"/>
  <c r="D531" i="1"/>
  <c r="D44" i="1"/>
  <c r="G807" i="1"/>
  <c r="G447" i="1"/>
  <c r="G718" i="1"/>
  <c r="G342" i="1"/>
  <c r="G637" i="1"/>
  <c r="G964" i="1"/>
  <c r="G604" i="1"/>
  <c r="G915" i="1"/>
  <c r="G523" i="1"/>
  <c r="G850" i="1"/>
  <c r="G474" i="1"/>
  <c r="G649" i="1"/>
  <c r="G305" i="1"/>
  <c r="G592" i="1"/>
  <c r="G265" i="1"/>
  <c r="G232" i="1"/>
  <c r="G247" i="1"/>
  <c r="G69" i="1"/>
  <c r="D32" i="1"/>
  <c r="D163" i="1"/>
  <c r="D841" i="1"/>
  <c r="D107" i="1"/>
  <c r="G663" i="1"/>
  <c r="G934" i="1"/>
  <c r="G582" i="1"/>
  <c r="G877" i="1"/>
  <c r="G533" i="1"/>
  <c r="G820" i="1"/>
  <c r="G476" i="1"/>
  <c r="G779" i="1"/>
  <c r="G395" i="1"/>
  <c r="G714" i="1"/>
  <c r="G905" i="1"/>
  <c r="G561" i="1"/>
  <c r="G832" i="1"/>
  <c r="G480" i="1"/>
  <c r="G162" i="1"/>
  <c r="D768" i="1"/>
  <c r="G153" i="1"/>
  <c r="D751" i="1"/>
  <c r="G128" i="1"/>
  <c r="D710" i="1"/>
  <c r="G111" i="1"/>
  <c r="G214" i="1"/>
  <c r="D828" i="1"/>
  <c r="D915" i="1"/>
  <c r="G116" i="1"/>
  <c r="D393" i="1"/>
  <c r="D73" i="1"/>
  <c r="D547" i="1"/>
  <c r="D232" i="1"/>
  <c r="D914" i="1"/>
  <c r="D391" i="1"/>
  <c r="G235" i="1"/>
  <c r="D462" i="1"/>
  <c r="D150" i="1"/>
  <c r="D501" i="1"/>
  <c r="D205" i="1"/>
  <c r="D617" i="1"/>
  <c r="D292" i="1"/>
  <c r="D794" i="1"/>
  <c r="D507" i="1"/>
  <c r="D195" i="1"/>
  <c r="G124" i="1"/>
  <c r="D123" i="1"/>
  <c r="D410" i="1"/>
  <c r="G655" i="1"/>
  <c r="G926" i="1"/>
  <c r="G574" i="1"/>
  <c r="G869" i="1"/>
  <c r="G493" i="1"/>
  <c r="G812" i="1"/>
  <c r="G468" i="1"/>
  <c r="G771" i="1"/>
  <c r="G387" i="1"/>
  <c r="G706" i="1"/>
  <c r="G897" i="1"/>
  <c r="G553" i="1"/>
  <c r="G824" i="1"/>
  <c r="G472" i="1"/>
  <c r="G154" i="1"/>
  <c r="D760" i="1"/>
  <c r="G145" i="1"/>
  <c r="D743" i="1"/>
  <c r="G120" i="1"/>
  <c r="D702" i="1"/>
  <c r="G103" i="1"/>
  <c r="G198" i="1"/>
  <c r="D804" i="1"/>
  <c r="D907" i="1"/>
  <c r="G84" i="1"/>
  <c r="D385" i="1"/>
  <c r="D65" i="1"/>
  <c r="D538" i="1"/>
  <c r="D224" i="1"/>
  <c r="D383" i="1"/>
  <c r="G203" i="1"/>
  <c r="D454" i="1"/>
  <c r="D142" i="1"/>
  <c r="D493" i="1"/>
  <c r="D197" i="1"/>
  <c r="D601" i="1"/>
  <c r="D284" i="1"/>
  <c r="D773" i="1"/>
  <c r="D331" i="1"/>
  <c r="D211" i="1"/>
  <c r="G927" i="1"/>
  <c r="G439" i="1"/>
  <c r="G606" i="1"/>
  <c r="G813" i="1"/>
  <c r="G381" i="1"/>
  <c r="G556" i="1"/>
  <c r="G787" i="1"/>
  <c r="G315" i="1"/>
  <c r="G562" i="1"/>
  <c r="G609" i="1"/>
  <c r="G808" i="1"/>
  <c r="G368" i="1"/>
  <c r="D888" i="1"/>
  <c r="G177" i="1"/>
  <c r="D703" i="1"/>
  <c r="D942" i="1"/>
  <c r="G191" i="1"/>
  <c r="G190" i="1"/>
  <c r="D724" i="1"/>
  <c r="G133" i="1"/>
  <c r="D643" i="1"/>
  <c r="D369" i="1"/>
  <c r="G179" i="1"/>
  <c r="D384" i="1"/>
  <c r="G140" i="1"/>
  <c r="D367" i="1"/>
  <c r="D805" i="1"/>
  <c r="D246" i="1"/>
  <c r="D535" i="1"/>
  <c r="D157" i="1"/>
  <c r="D484" i="1"/>
  <c r="D315" i="1"/>
  <c r="G284" i="1"/>
  <c r="D692" i="1"/>
  <c r="D206" i="1"/>
  <c r="D477" i="1"/>
  <c r="G155" i="1"/>
  <c r="D443" i="1"/>
  <c r="G871" i="1"/>
  <c r="G956" i="1"/>
  <c r="G434" i="1"/>
  <c r="G752" i="1"/>
  <c r="G105" i="1"/>
  <c r="D830" i="1"/>
  <c r="G37" i="1"/>
  <c r="G19" i="1"/>
  <c r="D327" i="1"/>
  <c r="D198" i="1"/>
  <c r="D436" i="1"/>
  <c r="D69" i="1"/>
  <c r="G863" i="1"/>
  <c r="G733" i="1"/>
  <c r="G683" i="1"/>
  <c r="G497" i="1"/>
  <c r="G296" i="1"/>
  <c r="D623" i="1"/>
  <c r="G110" i="1"/>
  <c r="G52" i="1"/>
  <c r="D280" i="1"/>
  <c r="D677" i="1"/>
  <c r="G295" i="1"/>
  <c r="D79" i="1"/>
  <c r="G359" i="1"/>
  <c r="G940" i="1"/>
  <c r="G898" i="1"/>
  <c r="G736" i="1"/>
  <c r="G89" i="1"/>
  <c r="G95" i="1"/>
  <c r="D363" i="1"/>
  <c r="D243" i="1"/>
  <c r="G919" i="1"/>
  <c r="G423" i="1"/>
  <c r="G598" i="1"/>
  <c r="G805" i="1"/>
  <c r="G373" i="1"/>
  <c r="G548" i="1"/>
  <c r="G763" i="1"/>
  <c r="G307" i="1"/>
  <c r="G554" i="1"/>
  <c r="G601" i="1"/>
  <c r="G800" i="1"/>
  <c r="G336" i="1"/>
  <c r="D880" i="1"/>
  <c r="G169" i="1"/>
  <c r="D695" i="1"/>
  <c r="D934" i="1"/>
  <c r="G183" i="1"/>
  <c r="G182" i="1"/>
  <c r="D716" i="1"/>
  <c r="G125" i="1"/>
  <c r="G354" i="1"/>
  <c r="D361" i="1"/>
  <c r="G147" i="1"/>
  <c r="D328" i="1"/>
  <c r="G108" i="1"/>
  <c r="D359" i="1"/>
  <c r="D785" i="1"/>
  <c r="D238" i="1"/>
  <c r="D526" i="1"/>
  <c r="D149" i="1"/>
  <c r="D476" i="1"/>
  <c r="G251" i="1"/>
  <c r="D347" i="1"/>
  <c r="D669" i="1"/>
  <c r="G895" i="1"/>
  <c r="G558" i="1"/>
  <c r="G508" i="1"/>
  <c r="G962" i="1"/>
  <c r="G577" i="1"/>
  <c r="G312" i="1"/>
  <c r="G113" i="1"/>
  <c r="D838" i="1"/>
  <c r="G126" i="1"/>
  <c r="G212" i="1"/>
  <c r="G51" i="1"/>
  <c r="D335" i="1"/>
  <c r="D125" i="1"/>
  <c r="D18" i="1"/>
  <c r="G550" i="1"/>
  <c r="G500" i="1"/>
  <c r="D840" i="1"/>
  <c r="G118" i="1"/>
  <c r="D329" i="1"/>
  <c r="D850" i="1"/>
  <c r="D469" i="1"/>
  <c r="D475" i="1"/>
  <c r="D533" i="1"/>
  <c r="G383" i="1"/>
  <c r="G948" i="1"/>
  <c r="G906" i="1"/>
  <c r="G744" i="1"/>
  <c r="G97" i="1"/>
  <c r="G119" i="1"/>
  <c r="G13" i="1"/>
  <c r="D953" i="1"/>
  <c r="D319" i="1"/>
  <c r="D461" i="1"/>
  <c r="G27" i="1"/>
  <c r="D458" i="1"/>
  <c r="G799" i="1"/>
  <c r="G725" i="1"/>
  <c r="G675" i="1"/>
  <c r="G489" i="1"/>
  <c r="D824" i="1"/>
  <c r="D15" i="1"/>
  <c r="D395" i="1"/>
  <c r="D275" i="1"/>
  <c r="G911" i="1"/>
  <c r="G415" i="1"/>
  <c r="G590" i="1"/>
  <c r="G524" i="1"/>
  <c r="G731" i="1"/>
  <c r="G299" i="1"/>
  <c r="G530" i="1"/>
  <c r="G593" i="1"/>
  <c r="G792" i="1"/>
  <c r="G328" i="1"/>
  <c r="D872" i="1"/>
  <c r="G161" i="1"/>
  <c r="D671" i="1"/>
  <c r="D918" i="1"/>
  <c r="G175" i="1"/>
  <c r="G174" i="1"/>
  <c r="D708" i="1"/>
  <c r="G109" i="1"/>
  <c r="G276" i="1"/>
  <c r="D353" i="1"/>
  <c r="G115" i="1"/>
  <c r="D320" i="1"/>
  <c r="G76" i="1"/>
  <c r="D351" i="1"/>
  <c r="D762" i="1"/>
  <c r="D230" i="1"/>
  <c r="D517" i="1"/>
  <c r="D141" i="1"/>
  <c r="D468" i="1"/>
  <c r="G219" i="1"/>
  <c r="D379" i="1"/>
  <c r="D27" i="1"/>
  <c r="D427" i="1"/>
  <c r="D307" i="1"/>
  <c r="G903" i="1"/>
  <c r="G407" i="1"/>
  <c r="G566" i="1"/>
  <c r="G789" i="1"/>
  <c r="G349" i="1"/>
  <c r="G516" i="1"/>
  <c r="G723" i="1"/>
  <c r="G291" i="1"/>
  <c r="G466" i="1"/>
  <c r="G585" i="1"/>
  <c r="G784" i="1"/>
  <c r="G320" i="1"/>
  <c r="D864" i="1"/>
  <c r="G121" i="1"/>
  <c r="D663" i="1"/>
  <c r="D910" i="1"/>
  <c r="G143" i="1"/>
  <c r="G134" i="1"/>
  <c r="D700" i="1"/>
  <c r="G53" i="1"/>
  <c r="G244" i="1"/>
  <c r="D345" i="1"/>
  <c r="G83" i="1"/>
  <c r="D312" i="1"/>
  <c r="D946" i="1"/>
  <c r="D343" i="1"/>
  <c r="D741" i="1"/>
  <c r="D222" i="1"/>
  <c r="D485" i="1"/>
  <c r="D133" i="1"/>
  <c r="D460" i="1"/>
  <c r="G187" i="1"/>
  <c r="D411" i="1"/>
  <c r="D37" i="1"/>
  <c r="D403" i="1"/>
  <c r="G399" i="1"/>
  <c r="G781" i="1"/>
  <c r="G341" i="1"/>
  <c r="G715" i="1"/>
  <c r="G442" i="1"/>
  <c r="G760" i="1"/>
  <c r="D856" i="1"/>
  <c r="D655" i="1"/>
  <c r="G135" i="1"/>
  <c r="G45" i="1"/>
  <c r="D337" i="1"/>
  <c r="D304" i="1"/>
  <c r="D721" i="1"/>
  <c r="D444" i="1"/>
  <c r="D59" i="1"/>
  <c r="D435" i="1"/>
  <c r="G391" i="1"/>
  <c r="G741" i="1"/>
  <c r="G691" i="1"/>
  <c r="G569" i="1"/>
  <c r="G304" i="1"/>
  <c r="D647" i="1"/>
  <c r="G127" i="1"/>
  <c r="D684" i="1"/>
  <c r="G148" i="1"/>
  <c r="D296" i="1"/>
  <c r="D698" i="1"/>
  <c r="D117" i="1"/>
  <c r="G91" i="1"/>
  <c r="D170" i="1"/>
  <c r="G542" i="1"/>
  <c r="G492" i="1"/>
  <c r="G426" i="1"/>
  <c r="D832" i="1"/>
  <c r="D822" i="1"/>
  <c r="D676" i="1"/>
  <c r="D321" i="1"/>
  <c r="D829" i="1"/>
  <c r="D190" i="1"/>
  <c r="D396" i="1"/>
  <c r="D542" i="1"/>
  <c r="D898" i="1"/>
  <c r="G526" i="1"/>
  <c r="G484" i="1"/>
  <c r="G418" i="1"/>
  <c r="G266" i="1"/>
  <c r="D615" i="1"/>
  <c r="G102" i="1"/>
  <c r="G5" i="1"/>
  <c r="G20" i="1"/>
  <c r="D306" i="1"/>
  <c r="D250" i="1"/>
  <c r="G631" i="1"/>
  <c r="G830" i="1"/>
  <c r="G965" i="1"/>
  <c r="G557" i="1"/>
  <c r="G772" i="1"/>
  <c r="G316" i="1"/>
  <c r="G483" i="1"/>
  <c r="G722" i="1"/>
  <c r="G809" i="1"/>
  <c r="G353" i="1"/>
  <c r="G528" i="1"/>
  <c r="G122" i="1"/>
  <c r="D664" i="1"/>
  <c r="D871" i="1"/>
  <c r="G144" i="1"/>
  <c r="D646" i="1"/>
  <c r="D925" i="1"/>
  <c r="D900" i="1"/>
  <c r="D827" i="1"/>
  <c r="D610" i="1"/>
  <c r="D137" i="1"/>
  <c r="D512" i="1"/>
  <c r="D128" i="1"/>
  <c r="D565" i="1"/>
  <c r="D127" i="1"/>
  <c r="D422" i="1"/>
  <c r="D293" i="1"/>
  <c r="D252" i="1"/>
  <c r="D587" i="1"/>
  <c r="D90" i="1"/>
  <c r="G60" i="1"/>
  <c r="D866" i="1"/>
  <c r="D282" i="1"/>
  <c r="G623" i="1"/>
  <c r="G957" i="1"/>
  <c r="G549" i="1"/>
  <c r="G764" i="1"/>
  <c r="G292" i="1"/>
  <c r="G475" i="1"/>
  <c r="G698" i="1"/>
  <c r="G785" i="1"/>
  <c r="G345" i="1"/>
  <c r="G520" i="1"/>
  <c r="G98" i="1"/>
  <c r="D656" i="1"/>
  <c r="D863" i="1"/>
  <c r="G136" i="1"/>
  <c r="D638" i="1"/>
  <c r="D917" i="1"/>
  <c r="D884" i="1"/>
  <c r="G253" i="1"/>
  <c r="D819" i="1"/>
  <c r="D597" i="1"/>
  <c r="D129" i="1"/>
  <c r="D504" i="1"/>
  <c r="D120" i="1"/>
  <c r="D119" i="1"/>
  <c r="D406" i="1"/>
  <c r="D906" i="1"/>
  <c r="D285" i="1"/>
  <c r="D673" i="1"/>
  <c r="D244" i="1"/>
  <c r="D577" i="1"/>
  <c r="D100" i="1"/>
  <c r="D6" i="1"/>
  <c r="G156" i="1"/>
  <c r="D314" i="1"/>
  <c r="G615" i="1"/>
  <c r="G806" i="1"/>
  <c r="G949" i="1"/>
  <c r="G541" i="1"/>
  <c r="G756" i="1"/>
  <c r="G963" i="1"/>
  <c r="G467" i="1"/>
  <c r="G690" i="1"/>
  <c r="G777" i="1"/>
  <c r="G297" i="1"/>
  <c r="G512" i="1"/>
  <c r="G90" i="1"/>
  <c r="D640" i="1"/>
  <c r="D823" i="1"/>
  <c r="G112" i="1"/>
  <c r="D630" i="1"/>
  <c r="D909" i="1"/>
  <c r="D876" i="1"/>
  <c r="G245" i="1"/>
  <c r="D803" i="1"/>
  <c r="D513" i="1"/>
  <c r="D105" i="1"/>
  <c r="D480" i="1"/>
  <c r="D112" i="1"/>
  <c r="D495" i="1"/>
  <c r="D111" i="1"/>
  <c r="D398" i="1"/>
  <c r="D845" i="1"/>
  <c r="D277" i="1"/>
  <c r="D650" i="1"/>
  <c r="D236" i="1"/>
  <c r="D110" i="1"/>
  <c r="D50" i="1"/>
  <c r="D60" i="1"/>
  <c r="D346" i="1"/>
  <c r="G591" i="1"/>
  <c r="G774" i="1"/>
  <c r="G941" i="1"/>
  <c r="G485" i="1"/>
  <c r="G748" i="1"/>
  <c r="G955" i="1"/>
  <c r="G459" i="1"/>
  <c r="G682" i="1"/>
  <c r="G769" i="1"/>
  <c r="G944" i="1"/>
  <c r="G504" i="1"/>
  <c r="G82" i="1"/>
  <c r="D632" i="1"/>
  <c r="D815" i="1"/>
  <c r="G104" i="1"/>
  <c r="D622" i="1"/>
  <c r="G370" i="1"/>
  <c r="D852" i="1"/>
  <c r="G237" i="1"/>
  <c r="D795" i="1"/>
  <c r="D497" i="1"/>
  <c r="D97" i="1"/>
  <c r="D472" i="1"/>
  <c r="D104" i="1"/>
  <c r="D487" i="1"/>
  <c r="G319" i="1"/>
  <c r="D390" i="1"/>
  <c r="D825" i="1"/>
  <c r="D633" i="1"/>
  <c r="D228" i="1"/>
  <c r="D3" i="1"/>
  <c r="D354" i="1"/>
  <c r="D394" i="1"/>
  <c r="D115" i="1"/>
  <c r="G583" i="1"/>
  <c r="G766" i="1"/>
  <c r="G461" i="1"/>
  <c r="G740" i="1"/>
  <c r="G891" i="1"/>
  <c r="G451" i="1"/>
  <c r="G650" i="1"/>
  <c r="G761" i="1"/>
  <c r="D7" i="1"/>
  <c r="D21" i="1"/>
  <c r="D474" i="1"/>
  <c r="G567" i="1"/>
  <c r="G710" i="1"/>
  <c r="G917" i="1"/>
  <c r="G445" i="1"/>
  <c r="G692" i="1"/>
  <c r="G875" i="1"/>
  <c r="G403" i="1"/>
  <c r="G634" i="1"/>
  <c r="G745" i="1"/>
  <c r="G904" i="1"/>
  <c r="G456" i="1"/>
  <c r="G58" i="1"/>
  <c r="G257" i="1"/>
  <c r="D791" i="1"/>
  <c r="G32" i="1"/>
  <c r="G270" i="1"/>
  <c r="D796" i="1"/>
  <c r="G213" i="1"/>
  <c r="D763" i="1"/>
  <c r="D473" i="1"/>
  <c r="D57" i="1"/>
  <c r="D448" i="1"/>
  <c r="D80" i="1"/>
  <c r="D463" i="1"/>
  <c r="G139" i="1"/>
  <c r="D366" i="1"/>
  <c r="D618" i="1"/>
  <c r="D245" i="1"/>
  <c r="D561" i="1"/>
  <c r="D196" i="1"/>
  <c r="D35" i="1"/>
  <c r="D450" i="1"/>
  <c r="D51" i="1"/>
  <c r="D31" i="1"/>
  <c r="D202" i="1"/>
  <c r="G559" i="1"/>
  <c r="G702" i="1"/>
  <c r="G909" i="1"/>
  <c r="G437" i="1"/>
  <c r="G684" i="1"/>
  <c r="G867" i="1"/>
  <c r="G379" i="1"/>
  <c r="G626" i="1"/>
  <c r="G737" i="1"/>
  <c r="G896" i="1"/>
  <c r="G432" i="1"/>
  <c r="G50" i="1"/>
  <c r="G249" i="1"/>
  <c r="D783" i="1"/>
  <c r="G24" i="1"/>
  <c r="G335" i="1"/>
  <c r="G262" i="1"/>
  <c r="D788" i="1"/>
  <c r="G205" i="1"/>
  <c r="D755" i="1"/>
  <c r="D465" i="1"/>
  <c r="D49" i="1"/>
  <c r="D440" i="1"/>
  <c r="D8" i="1"/>
  <c r="D455" i="1"/>
  <c r="G107" i="1"/>
  <c r="D358" i="1"/>
  <c r="D602" i="1"/>
  <c r="D237" i="1"/>
  <c r="D552" i="1"/>
  <c r="D180" i="1"/>
  <c r="D45" i="1"/>
  <c r="D482" i="1"/>
  <c r="D118" i="1"/>
  <c r="D75" i="1"/>
  <c r="D490" i="1"/>
  <c r="G694" i="1"/>
  <c r="G901" i="1"/>
  <c r="G429" i="1"/>
  <c r="G660" i="1"/>
  <c r="G859" i="1"/>
  <c r="G371" i="1"/>
  <c r="G618" i="1"/>
  <c r="G729" i="1"/>
  <c r="G888" i="1"/>
  <c r="G424" i="1"/>
  <c r="G42" i="1"/>
  <c r="D754" i="1"/>
  <c r="D300" i="1"/>
  <c r="D189" i="1"/>
  <c r="G196" i="1"/>
  <c r="D135" i="1"/>
  <c r="D609" i="1"/>
  <c r="D489" i="1"/>
  <c r="G181" i="1"/>
  <c r="G54" i="1"/>
  <c r="D678" i="1"/>
  <c r="D775" i="1"/>
  <c r="G10" i="1"/>
  <c r="G688" i="1"/>
  <c r="G929" i="1"/>
  <c r="G643" i="1"/>
  <c r="G892" i="1"/>
  <c r="G438" i="1"/>
  <c r="G695" i="1"/>
  <c r="D242" i="1"/>
  <c r="G74" i="1"/>
  <c r="G880" i="1"/>
  <c r="G586" i="1"/>
  <c r="G803" i="1"/>
  <c r="G389" i="1"/>
  <c r="G751" i="1"/>
  <c r="D99" i="1"/>
  <c r="D247" i="1"/>
  <c r="D921" i="1"/>
  <c r="G238" i="1"/>
  <c r="D790" i="1"/>
  <c r="D959" i="1"/>
  <c r="G928" i="1"/>
  <c r="G594" i="1"/>
  <c r="G811" i="1"/>
  <c r="G397" i="1"/>
  <c r="G518" i="1"/>
  <c r="G759" i="1"/>
  <c r="D74" i="1"/>
  <c r="D23" i="1"/>
  <c r="D349" i="1"/>
  <c r="D326" i="1"/>
  <c r="D255" i="1"/>
  <c r="D96" i="1"/>
  <c r="G351" i="1"/>
  <c r="D749" i="1"/>
  <c r="G277" i="1"/>
  <c r="G246" i="1"/>
  <c r="D798" i="1"/>
  <c r="D967" i="1"/>
  <c r="G146" i="1"/>
  <c r="G936" i="1"/>
  <c r="G642" i="1"/>
  <c r="G819" i="1"/>
  <c r="G405" i="1"/>
  <c r="G630" i="1"/>
  <c r="G783" i="1"/>
  <c r="D62" i="1"/>
  <c r="D13" i="1"/>
  <c r="D380" i="1"/>
  <c r="D365" i="1"/>
  <c r="D334" i="1"/>
  <c r="D263" i="1"/>
  <c r="D136" i="1"/>
  <c r="D9" i="1"/>
  <c r="D770" i="1"/>
  <c r="G285" i="1"/>
  <c r="G254" i="1"/>
  <c r="D806" i="1"/>
  <c r="G9" i="1"/>
  <c r="G170" i="1"/>
  <c r="G393" i="1"/>
  <c r="G730" i="1"/>
  <c r="G883" i="1"/>
  <c r="G413" i="1"/>
  <c r="G638" i="1"/>
  <c r="G791" i="1"/>
  <c r="D52" i="1"/>
  <c r="D388" i="1"/>
  <c r="D373" i="1"/>
  <c r="D342" i="1"/>
  <c r="D271" i="1"/>
  <c r="D152" i="1"/>
  <c r="D17" i="1"/>
  <c r="D793" i="1"/>
  <c r="G302" i="1"/>
  <c r="G278" i="1"/>
  <c r="G33" i="1"/>
  <c r="G178" i="1"/>
  <c r="G401" i="1"/>
  <c r="G738" i="1"/>
  <c r="G324" i="1"/>
  <c r="G646" i="1"/>
  <c r="G935" i="1"/>
  <c r="D30" i="1"/>
  <c r="D778" i="1"/>
  <c r="D584" i="1"/>
  <c r="D875" i="1"/>
  <c r="G184" i="1"/>
  <c r="G918" i="1"/>
  <c r="D387" i="1"/>
  <c r="D536" i="1"/>
  <c r="D265" i="1"/>
  <c r="G207" i="1"/>
  <c r="G488" i="1"/>
  <c r="G355" i="1"/>
  <c r="G958" i="1"/>
  <c r="D140" i="1"/>
  <c r="D761" i="1"/>
  <c r="D424" i="1"/>
  <c r="D891" i="1"/>
  <c r="G215" i="1"/>
  <c r="G536" i="1"/>
  <c r="G363" i="1"/>
  <c r="G845" i="1"/>
  <c r="D134" i="1"/>
  <c r="D58" i="1"/>
  <c r="D802" i="1"/>
  <c r="D554" i="1"/>
  <c r="D432" i="1"/>
  <c r="D305" i="1"/>
  <c r="D899" i="1"/>
  <c r="D844" i="1"/>
  <c r="G223" i="1"/>
  <c r="G224" i="1"/>
  <c r="D712" i="1"/>
  <c r="G560" i="1"/>
  <c r="G833" i="1"/>
  <c r="G443" i="1"/>
  <c r="G700" i="1"/>
  <c r="G853" i="1"/>
  <c r="G503" i="1"/>
  <c r="D38" i="1"/>
  <c r="D114" i="1"/>
  <c r="D46" i="1"/>
  <c r="D156" i="1"/>
  <c r="G67" i="1"/>
  <c r="D826" i="1"/>
  <c r="D658" i="1"/>
  <c r="D456" i="1"/>
  <c r="D313" i="1"/>
  <c r="D923" i="1"/>
  <c r="D908" i="1"/>
  <c r="G287" i="1"/>
  <c r="G289" i="1"/>
  <c r="D720" i="1"/>
  <c r="G841" i="1"/>
  <c r="G491" i="1"/>
  <c r="G780" i="1"/>
  <c r="G861" i="1"/>
  <c r="G188" i="1"/>
  <c r="D101" i="1"/>
  <c r="D36" i="1"/>
  <c r="D164" i="1"/>
  <c r="G99" i="1"/>
  <c r="G4" i="1"/>
  <c r="D849" i="1"/>
  <c r="D681" i="1"/>
  <c r="D464" i="1"/>
  <c r="D377" i="1"/>
  <c r="D931" i="1"/>
  <c r="D916" i="1"/>
  <c r="G306" i="1"/>
  <c r="G386" i="1"/>
  <c r="D728" i="1"/>
  <c r="G576" i="1"/>
  <c r="G865" i="1"/>
  <c r="G507" i="1"/>
  <c r="G788" i="1"/>
  <c r="G925" i="1"/>
  <c r="G535" i="1"/>
  <c r="D179" i="1"/>
  <c r="D91" i="1"/>
  <c r="D386" i="1"/>
  <c r="D581" i="1"/>
  <c r="D400" i="1"/>
  <c r="D764" i="1"/>
  <c r="G347" i="1"/>
  <c r="D426" i="1"/>
  <c r="D883" i="1"/>
  <c r="G200" i="1"/>
  <c r="G821" i="1"/>
  <c r="D291" i="1"/>
  <c r="D545" i="1"/>
  <c r="D92" i="1"/>
  <c r="D148" i="1"/>
  <c r="G36" i="1"/>
  <c r="D520" i="1"/>
  <c r="D939" i="1"/>
  <c r="D924" i="1"/>
  <c r="D607" i="1"/>
  <c r="D736" i="1"/>
  <c r="G584" i="1"/>
  <c r="G873" i="1"/>
  <c r="G515" i="1"/>
  <c r="G796" i="1"/>
  <c r="G543" i="1"/>
  <c r="D147" i="1"/>
  <c r="D961" i="1"/>
  <c r="D527" i="1"/>
  <c r="D257" i="1"/>
  <c r="G464" i="1"/>
  <c r="G572" i="1"/>
  <c r="D78" i="1"/>
  <c r="D592" i="1"/>
  <c r="D416" i="1"/>
  <c r="D772" i="1"/>
  <c r="D696" i="1"/>
  <c r="G644" i="1"/>
  <c r="D68" i="1"/>
  <c r="D821" i="1"/>
  <c r="D621" i="1"/>
  <c r="D289" i="1"/>
  <c r="D836" i="1"/>
  <c r="G208" i="1"/>
  <c r="D704" i="1"/>
  <c r="G753" i="1"/>
  <c r="G966" i="1"/>
  <c r="D842" i="1"/>
  <c r="D637" i="1"/>
  <c r="D26" i="1"/>
  <c r="D172" i="1"/>
  <c r="G131" i="1"/>
  <c r="D945" i="1"/>
  <c r="D701" i="1"/>
  <c r="D433" i="1"/>
  <c r="D14" i="1"/>
  <c r="D204" i="1"/>
  <c r="G163" i="1"/>
  <c r="G68" i="1"/>
  <c r="G11" i="1"/>
  <c r="D722" i="1"/>
  <c r="D566" i="1"/>
  <c r="D947" i="1"/>
  <c r="D932" i="1"/>
  <c r="D606" i="1"/>
  <c r="D744" i="1"/>
  <c r="G656" i="1"/>
  <c r="G881" i="1"/>
  <c r="G611" i="1"/>
  <c r="G804" i="1"/>
  <c r="G318" i="1"/>
  <c r="D95" i="1"/>
  <c r="D629" i="1"/>
  <c r="D523" i="1"/>
  <c r="D569" i="1"/>
  <c r="D578" i="1"/>
  <c r="D506" i="1"/>
  <c r="G775" i="1"/>
  <c r="G519" i="1"/>
  <c r="G878" i="1"/>
  <c r="G622" i="1"/>
  <c r="G366" i="1"/>
  <c r="G765" i="1"/>
  <c r="G509" i="1"/>
  <c r="G932" i="1"/>
  <c r="G676" i="1"/>
  <c r="G420" i="1"/>
  <c r="G843" i="1"/>
  <c r="G587" i="1"/>
  <c r="G331" i="1"/>
  <c r="G754" i="1"/>
  <c r="G498" i="1"/>
  <c r="G801" i="1"/>
  <c r="G545" i="1"/>
  <c r="G960" i="1"/>
  <c r="G704" i="1"/>
  <c r="G448" i="1"/>
  <c r="G226" i="1"/>
  <c r="D936" i="1"/>
  <c r="D680" i="1"/>
  <c r="G137" i="1"/>
  <c r="D847" i="1"/>
  <c r="G338" i="1"/>
  <c r="G48" i="1"/>
  <c r="D758" i="1"/>
  <c r="G239" i="1"/>
  <c r="D949" i="1"/>
  <c r="G158" i="1"/>
  <c r="D868" i="1"/>
  <c r="D612" i="1"/>
  <c r="G149" i="1"/>
  <c r="D859" i="1"/>
  <c r="G180" i="1"/>
  <c r="D505" i="1"/>
  <c r="D249" i="1"/>
  <c r="G275" i="1"/>
  <c r="D529" i="1"/>
  <c r="D272" i="1"/>
  <c r="D16" i="1"/>
  <c r="D555" i="1"/>
  <c r="D295" i="1"/>
  <c r="G43" i="1"/>
  <c r="D470" i="1"/>
  <c r="D214" i="1"/>
  <c r="D653" i="1"/>
  <c r="D357" i="1"/>
  <c r="G259" i="1"/>
  <c r="D525" i="1"/>
  <c r="D268" i="1"/>
  <c r="D865" i="1"/>
  <c r="D251" i="1"/>
  <c r="D290" i="1"/>
  <c r="D560" i="1"/>
  <c r="G870" i="1"/>
  <c r="G358" i="1"/>
  <c r="G757" i="1"/>
  <c r="G501" i="1"/>
  <c r="G668" i="1"/>
  <c r="G412" i="1"/>
  <c r="G835" i="1"/>
  <c r="G579" i="1"/>
  <c r="G323" i="1"/>
  <c r="G490" i="1"/>
  <c r="G793" i="1"/>
  <c r="G537" i="1"/>
  <c r="G952" i="1"/>
  <c r="G696" i="1"/>
  <c r="G218" i="1"/>
  <c r="D928" i="1"/>
  <c r="D672" i="1"/>
  <c r="D839" i="1"/>
  <c r="G310" i="1"/>
  <c r="G40" i="1"/>
  <c r="D750" i="1"/>
  <c r="D941" i="1"/>
  <c r="G150" i="1"/>
  <c r="D860" i="1"/>
  <c r="G220" i="1"/>
  <c r="D690" i="1"/>
  <c r="D713" i="1"/>
  <c r="D541" i="1"/>
  <c r="G767" i="1"/>
  <c r="G614" i="1"/>
  <c r="G924" i="1"/>
  <c r="G746" i="1"/>
  <c r="G440" i="1"/>
  <c r="G129" i="1"/>
  <c r="G231" i="1"/>
  <c r="D604" i="1"/>
  <c r="D47" i="1"/>
  <c r="D29" i="1"/>
  <c r="D42" i="1"/>
  <c r="D43" i="1"/>
  <c r="D22" i="1"/>
  <c r="G943" i="1"/>
  <c r="G687" i="1"/>
  <c r="G431" i="1"/>
  <c r="G790" i="1"/>
  <c r="G534" i="1"/>
  <c r="G677" i="1"/>
  <c r="G421" i="1"/>
  <c r="G844" i="1"/>
  <c r="G588" i="1"/>
  <c r="G332" i="1"/>
  <c r="G755" i="1"/>
  <c r="G499" i="1"/>
  <c r="G922" i="1"/>
  <c r="G666" i="1"/>
  <c r="G410" i="1"/>
  <c r="G713" i="1"/>
  <c r="G457" i="1"/>
  <c r="G872" i="1"/>
  <c r="G616" i="1"/>
  <c r="G360" i="1"/>
  <c r="D848" i="1"/>
  <c r="G343" i="1"/>
  <c r="G49" i="1"/>
  <c r="D759" i="1"/>
  <c r="G216" i="1"/>
  <c r="D926" i="1"/>
  <c r="D670" i="1"/>
  <c r="G151" i="1"/>
  <c r="D861" i="1"/>
  <c r="G70" i="1"/>
  <c r="D780" i="1"/>
  <c r="D524" i="1"/>
  <c r="G61" i="1"/>
  <c r="D771" i="1"/>
  <c r="D813" i="1"/>
  <c r="D417" i="1"/>
  <c r="D161" i="1"/>
  <c r="E16" i="1"/>
  <c r="E3" i="3"/>
  <c r="E8" i="1"/>
  <c r="E2" i="3"/>
  <c r="E5" i="1"/>
  <c r="E962" i="1"/>
  <c r="E954" i="1"/>
  <c r="E946" i="1"/>
  <c r="E938" i="1"/>
  <c r="E930" i="1"/>
  <c r="E922" i="1"/>
  <c r="E914" i="1"/>
  <c r="E906" i="1"/>
  <c r="E898" i="1"/>
  <c r="E890" i="1"/>
  <c r="E882" i="1"/>
  <c r="E874" i="1"/>
  <c r="E866" i="1"/>
  <c r="E858" i="1"/>
  <c r="E850" i="1"/>
  <c r="E842" i="1"/>
  <c r="E834" i="1"/>
  <c r="E826" i="1"/>
  <c r="E818" i="1"/>
  <c r="E810" i="1"/>
  <c r="E802" i="1"/>
  <c r="E794" i="1"/>
  <c r="E786" i="1"/>
  <c r="E778" i="1"/>
  <c r="E770" i="1"/>
  <c r="E762" i="1"/>
  <c r="E754" i="1"/>
  <c r="E746" i="1"/>
  <c r="E738" i="1"/>
  <c r="E730" i="1"/>
  <c r="E722" i="1"/>
  <c r="E714" i="1"/>
  <c r="E706" i="1"/>
  <c r="E698" i="1"/>
  <c r="E690" i="1"/>
  <c r="E682" i="1"/>
  <c r="E674" i="1"/>
  <c r="E666" i="1"/>
  <c r="E658" i="1"/>
  <c r="E650" i="1"/>
  <c r="E642" i="1"/>
  <c r="E634" i="1"/>
  <c r="E626" i="1"/>
  <c r="E618" i="1"/>
  <c r="E610" i="1"/>
  <c r="E602" i="1"/>
  <c r="E594" i="1"/>
  <c r="E586" i="1"/>
  <c r="E578" i="1"/>
  <c r="E570" i="1"/>
  <c r="E562" i="1"/>
  <c r="E554" i="1"/>
  <c r="E546" i="1"/>
  <c r="E538" i="1"/>
  <c r="E530" i="1"/>
  <c r="E522" i="1"/>
  <c r="E514" i="1"/>
  <c r="E506" i="1"/>
  <c r="E498" i="1"/>
  <c r="E490" i="1"/>
  <c r="E482" i="1"/>
  <c r="E474" i="1"/>
  <c r="E466" i="1"/>
  <c r="E458" i="1"/>
  <c r="E450" i="1"/>
  <c r="E442" i="1"/>
  <c r="E434" i="1"/>
  <c r="E426" i="1"/>
  <c r="E418" i="1"/>
  <c r="E410" i="1"/>
  <c r="E402" i="1"/>
  <c r="E394" i="1"/>
  <c r="E386" i="1"/>
  <c r="E378" i="1"/>
  <c r="E370" i="1"/>
  <c r="E362" i="1"/>
  <c r="E354" i="1"/>
  <c r="E346" i="1"/>
  <c r="E338" i="1"/>
  <c r="E330" i="1"/>
  <c r="E322" i="1"/>
  <c r="E314" i="1"/>
  <c r="E306" i="1"/>
  <c r="E298" i="1"/>
  <c r="E290" i="1"/>
  <c r="E961" i="1"/>
  <c r="E953" i="1"/>
  <c r="E945" i="1"/>
  <c r="E937" i="1"/>
  <c r="E929" i="1"/>
  <c r="E921" i="1"/>
  <c r="E913" i="1"/>
  <c r="E905" i="1"/>
  <c r="E897" i="1"/>
  <c r="E889" i="1"/>
  <c r="E881" i="1"/>
  <c r="E873" i="1"/>
  <c r="E865" i="1"/>
  <c r="E857" i="1"/>
  <c r="E849" i="1"/>
  <c r="E841" i="1"/>
  <c r="E833" i="1"/>
  <c r="E825" i="1"/>
  <c r="E817" i="1"/>
  <c r="E809" i="1"/>
  <c r="E801" i="1"/>
  <c r="E793" i="1"/>
  <c r="E785" i="1"/>
  <c r="E777" i="1"/>
  <c r="E769" i="1"/>
  <c r="E761" i="1"/>
  <c r="E753" i="1"/>
  <c r="E745" i="1"/>
  <c r="E737" i="1"/>
  <c r="E729" i="1"/>
  <c r="E721" i="1"/>
  <c r="E713" i="1"/>
  <c r="E705" i="1"/>
  <c r="E697" i="1"/>
  <c r="E689" i="1"/>
  <c r="E681" i="1"/>
  <c r="E673" i="1"/>
  <c r="E665" i="1"/>
  <c r="E657" i="1"/>
  <c r="E649" i="1"/>
  <c r="E641" i="1"/>
  <c r="E633" i="1"/>
  <c r="E625" i="1"/>
  <c r="E617" i="1"/>
  <c r="E609" i="1"/>
  <c r="E601" i="1"/>
  <c r="E593" i="1"/>
  <c r="E585" i="1"/>
  <c r="E577" i="1"/>
  <c r="E569" i="1"/>
  <c r="E561" i="1"/>
  <c r="E553" i="1"/>
  <c r="E545" i="1"/>
  <c r="E537" i="1"/>
  <c r="E529" i="1"/>
  <c r="E521" i="1"/>
  <c r="E513" i="1"/>
  <c r="E505" i="1"/>
  <c r="E497" i="1"/>
  <c r="E489" i="1"/>
  <c r="E481" i="1"/>
  <c r="E473" i="1"/>
  <c r="E465" i="1"/>
  <c r="E457" i="1"/>
  <c r="E449" i="1"/>
  <c r="E441" i="1"/>
  <c r="E433" i="1"/>
  <c r="E425" i="1"/>
  <c r="E417" i="1"/>
  <c r="E409" i="1"/>
  <c r="E401" i="1"/>
  <c r="E393" i="1"/>
  <c r="E385" i="1"/>
  <c r="E377" i="1"/>
  <c r="E369" i="1"/>
  <c r="E361" i="1"/>
  <c r="E353" i="1"/>
  <c r="E345" i="1"/>
  <c r="E337" i="1"/>
  <c r="E329" i="1"/>
  <c r="E321" i="1"/>
  <c r="E313" i="1"/>
  <c r="E305" i="1"/>
  <c r="E297" i="1"/>
  <c r="E289" i="1"/>
  <c r="E960" i="1"/>
  <c r="E952" i="1"/>
  <c r="E944" i="1"/>
  <c r="E936" i="1"/>
  <c r="E928" i="1"/>
  <c r="E920" i="1"/>
  <c r="E912" i="1"/>
  <c r="E904" i="1"/>
  <c r="E896" i="1"/>
  <c r="E888" i="1"/>
  <c r="E880" i="1"/>
  <c r="E872" i="1"/>
  <c r="E864" i="1"/>
  <c r="E856" i="1"/>
  <c r="E848" i="1"/>
  <c r="E840" i="1"/>
  <c r="E832" i="1"/>
  <c r="E824" i="1"/>
  <c r="E816" i="1"/>
  <c r="E808" i="1"/>
  <c r="E800" i="1"/>
  <c r="E792" i="1"/>
  <c r="E784" i="1"/>
  <c r="E776" i="1"/>
  <c r="E768" i="1"/>
  <c r="E760" i="1"/>
  <c r="E752" i="1"/>
  <c r="E744" i="1"/>
  <c r="E736" i="1"/>
  <c r="E728" i="1"/>
  <c r="E720" i="1"/>
  <c r="E712" i="1"/>
  <c r="E704" i="1"/>
  <c r="E696" i="1"/>
  <c r="E688" i="1"/>
  <c r="E680" i="1"/>
  <c r="E672" i="1"/>
  <c r="E664" i="1"/>
  <c r="E656" i="1"/>
  <c r="E648" i="1"/>
  <c r="E640" i="1"/>
  <c r="E632" i="1"/>
  <c r="E624" i="1"/>
  <c r="E616" i="1"/>
  <c r="E608" i="1"/>
  <c r="E600" i="1"/>
  <c r="E592" i="1"/>
  <c r="E584" i="1"/>
  <c r="E576" i="1"/>
  <c r="E568" i="1"/>
  <c r="E560" i="1"/>
  <c r="E552" i="1"/>
  <c r="E544" i="1"/>
  <c r="E536" i="1"/>
  <c r="E528" i="1"/>
  <c r="E520" i="1"/>
  <c r="E512" i="1"/>
  <c r="E504" i="1"/>
  <c r="E496" i="1"/>
  <c r="E488" i="1"/>
  <c r="E480" i="1"/>
  <c r="E472" i="1"/>
  <c r="E464" i="1"/>
  <c r="E456" i="1"/>
  <c r="E448" i="1"/>
  <c r="E440" i="1"/>
  <c r="E432" i="1"/>
  <c r="E424" i="1"/>
  <c r="E416" i="1"/>
  <c r="E408" i="1"/>
  <c r="E400" i="1"/>
  <c r="E392" i="1"/>
  <c r="E384" i="1"/>
  <c r="E376" i="1"/>
  <c r="E368" i="1"/>
  <c r="E360" i="1"/>
  <c r="E352" i="1"/>
  <c r="E344" i="1"/>
  <c r="E336" i="1"/>
  <c r="E328" i="1"/>
  <c r="E320" i="1"/>
  <c r="E312" i="1"/>
  <c r="E304" i="1"/>
  <c r="E296" i="1"/>
  <c r="E288" i="1"/>
  <c r="E967" i="1"/>
  <c r="E959" i="1"/>
  <c r="E951" i="1"/>
  <c r="E943" i="1"/>
  <c r="E935" i="1"/>
  <c r="E927" i="1"/>
  <c r="E919" i="1"/>
  <c r="E911" i="1"/>
  <c r="E903" i="1"/>
  <c r="E895" i="1"/>
  <c r="E887" i="1"/>
  <c r="E879" i="1"/>
  <c r="E871" i="1"/>
  <c r="E863" i="1"/>
  <c r="E855" i="1"/>
  <c r="E847" i="1"/>
  <c r="E839" i="1"/>
  <c r="E831" i="1"/>
  <c r="E823" i="1"/>
  <c r="E815" i="1"/>
  <c r="E807" i="1"/>
  <c r="E799" i="1"/>
  <c r="E791" i="1"/>
  <c r="E783" i="1"/>
  <c r="E775" i="1"/>
  <c r="E767" i="1"/>
  <c r="E759" i="1"/>
  <c r="E751" i="1"/>
  <c r="E743" i="1"/>
  <c r="E735" i="1"/>
  <c r="E727" i="1"/>
  <c r="E719" i="1"/>
  <c r="E711" i="1"/>
  <c r="E703" i="1"/>
  <c r="E695" i="1"/>
  <c r="E687" i="1"/>
  <c r="E679" i="1"/>
  <c r="E671" i="1"/>
  <c r="E663" i="1"/>
  <c r="E655" i="1"/>
  <c r="E647" i="1"/>
  <c r="E639" i="1"/>
  <c r="E631" i="1"/>
  <c r="E623" i="1"/>
  <c r="E615" i="1"/>
  <c r="E607" i="1"/>
  <c r="E599" i="1"/>
  <c r="E591" i="1"/>
  <c r="E583" i="1"/>
  <c r="E575" i="1"/>
  <c r="E567" i="1"/>
  <c r="E559" i="1"/>
  <c r="E551" i="1"/>
  <c r="E543" i="1"/>
  <c r="E535" i="1"/>
  <c r="E527" i="1"/>
  <c r="E519" i="1"/>
  <c r="E511" i="1"/>
  <c r="E503" i="1"/>
  <c r="E495" i="1"/>
  <c r="E487" i="1"/>
  <c r="E479" i="1"/>
  <c r="E471" i="1"/>
  <c r="E463" i="1"/>
  <c r="E455" i="1"/>
  <c r="E447" i="1"/>
  <c r="E439" i="1"/>
  <c r="E431" i="1"/>
  <c r="E423" i="1"/>
  <c r="E415" i="1"/>
  <c r="E407" i="1"/>
  <c r="E399" i="1"/>
  <c r="E391" i="1"/>
  <c r="E383" i="1"/>
  <c r="E375" i="1"/>
  <c r="E367" i="1"/>
  <c r="E359" i="1"/>
  <c r="E351" i="1"/>
  <c r="E343" i="1"/>
  <c r="E335" i="1"/>
  <c r="E327" i="1"/>
  <c r="E319" i="1"/>
  <c r="E311" i="1"/>
  <c r="E303" i="1"/>
  <c r="E295" i="1"/>
  <c r="E966" i="1"/>
  <c r="E958" i="1"/>
  <c r="E950" i="1"/>
  <c r="E942" i="1"/>
  <c r="E934" i="1"/>
  <c r="E926" i="1"/>
  <c r="E918" i="1"/>
  <c r="E910" i="1"/>
  <c r="E902" i="1"/>
  <c r="E894" i="1"/>
  <c r="E886" i="1"/>
  <c r="E878" i="1"/>
  <c r="E870" i="1"/>
  <c r="E862" i="1"/>
  <c r="E854" i="1"/>
  <c r="E846" i="1"/>
  <c r="E838" i="1"/>
  <c r="E830" i="1"/>
  <c r="E822" i="1"/>
  <c r="E814" i="1"/>
  <c r="E806" i="1"/>
  <c r="E798" i="1"/>
  <c r="E790" i="1"/>
  <c r="E782" i="1"/>
  <c r="E774" i="1"/>
  <c r="E766" i="1"/>
  <c r="E758" i="1"/>
  <c r="E750" i="1"/>
  <c r="E742" i="1"/>
  <c r="E734" i="1"/>
  <c r="E726" i="1"/>
  <c r="E718" i="1"/>
  <c r="E710" i="1"/>
  <c r="E702" i="1"/>
  <c r="E694" i="1"/>
  <c r="E686" i="1"/>
  <c r="E678" i="1"/>
  <c r="E670" i="1"/>
  <c r="E662" i="1"/>
  <c r="E654" i="1"/>
  <c r="E646" i="1"/>
  <c r="E638" i="1"/>
  <c r="E630" i="1"/>
  <c r="E622" i="1"/>
  <c r="E614" i="1"/>
  <c r="E606" i="1"/>
  <c r="E598" i="1"/>
  <c r="E590" i="1"/>
  <c r="E582" i="1"/>
  <c r="E574" i="1"/>
  <c r="E566" i="1"/>
  <c r="E558" i="1"/>
  <c r="E550" i="1"/>
  <c r="E542" i="1"/>
  <c r="E534" i="1"/>
  <c r="E526" i="1"/>
  <c r="E518" i="1"/>
  <c r="E510" i="1"/>
  <c r="E502" i="1"/>
  <c r="E494" i="1"/>
  <c r="E486" i="1"/>
  <c r="E478" i="1"/>
  <c r="E470" i="1"/>
  <c r="E462" i="1"/>
  <c r="E454" i="1"/>
  <c r="E446" i="1"/>
  <c r="E438" i="1"/>
  <c r="E430" i="1"/>
  <c r="E422" i="1"/>
  <c r="E414" i="1"/>
  <c r="E406" i="1"/>
  <c r="E398" i="1"/>
  <c r="E390" i="1"/>
  <c r="E382" i="1"/>
  <c r="E374" i="1"/>
  <c r="E366" i="1"/>
  <c r="E358" i="1"/>
  <c r="E350" i="1"/>
  <c r="E342" i="1"/>
  <c r="E334" i="1"/>
  <c r="E326" i="1"/>
  <c r="E318" i="1"/>
  <c r="E310" i="1"/>
  <c r="E302" i="1"/>
  <c r="E294" i="1"/>
  <c r="E965" i="1"/>
  <c r="E957" i="1"/>
  <c r="E949" i="1"/>
  <c r="E941" i="1"/>
  <c r="E933" i="1"/>
  <c r="E925" i="1"/>
  <c r="E917" i="1"/>
  <c r="E909" i="1"/>
  <c r="E901" i="1"/>
  <c r="E893" i="1"/>
  <c r="E885" i="1"/>
  <c r="E877" i="1"/>
  <c r="E869" i="1"/>
  <c r="E861" i="1"/>
  <c r="E853" i="1"/>
  <c r="E845" i="1"/>
  <c r="E837" i="1"/>
  <c r="E829" i="1"/>
  <c r="E821" i="1"/>
  <c r="E813" i="1"/>
  <c r="E805" i="1"/>
  <c r="E797" i="1"/>
  <c r="E789" i="1"/>
  <c r="E781" i="1"/>
  <c r="E773" i="1"/>
  <c r="E765" i="1"/>
  <c r="E757" i="1"/>
  <c r="E749" i="1"/>
  <c r="E741" i="1"/>
  <c r="E733" i="1"/>
  <c r="E725" i="1"/>
  <c r="E717" i="1"/>
  <c r="E709" i="1"/>
  <c r="E701" i="1"/>
  <c r="E693" i="1"/>
  <c r="E685" i="1"/>
  <c r="E677" i="1"/>
  <c r="E669" i="1"/>
  <c r="E661" i="1"/>
  <c r="E653" i="1"/>
  <c r="E645" i="1"/>
  <c r="E637" i="1"/>
  <c r="E629" i="1"/>
  <c r="E621" i="1"/>
  <c r="E613" i="1"/>
  <c r="E605" i="1"/>
  <c r="E597" i="1"/>
  <c r="E589" i="1"/>
  <c r="E581" i="1"/>
  <c r="E573" i="1"/>
  <c r="E565" i="1"/>
  <c r="E557" i="1"/>
  <c r="E549" i="1"/>
  <c r="E541" i="1"/>
  <c r="E533" i="1"/>
  <c r="E525" i="1"/>
  <c r="E517" i="1"/>
  <c r="E509" i="1"/>
  <c r="E501" i="1"/>
  <c r="E493" i="1"/>
  <c r="E485" i="1"/>
  <c r="E477" i="1"/>
  <c r="E469" i="1"/>
  <c r="E461" i="1"/>
  <c r="E453" i="1"/>
  <c r="E445" i="1"/>
  <c r="E437" i="1"/>
  <c r="E429" i="1"/>
  <c r="E421" i="1"/>
  <c r="E413" i="1"/>
  <c r="E405" i="1"/>
  <c r="E397" i="1"/>
  <c r="E389" i="1"/>
  <c r="E381" i="1"/>
  <c r="E373" i="1"/>
  <c r="E365" i="1"/>
  <c r="E357" i="1"/>
  <c r="E349" i="1"/>
  <c r="E341" i="1"/>
  <c r="E333" i="1"/>
  <c r="E325" i="1"/>
  <c r="E317" i="1"/>
  <c r="E309" i="1"/>
  <c r="E301" i="1"/>
  <c r="E293" i="1"/>
  <c r="E964" i="1"/>
  <c r="E956" i="1"/>
  <c r="E948" i="1"/>
  <c r="E940" i="1"/>
  <c r="E932" i="1"/>
  <c r="E924" i="1"/>
  <c r="E916" i="1"/>
  <c r="E908" i="1"/>
  <c r="E900" i="1"/>
  <c r="E892" i="1"/>
  <c r="E884" i="1"/>
  <c r="E876" i="1"/>
  <c r="E868" i="1"/>
  <c r="E860" i="1"/>
  <c r="E852" i="1"/>
  <c r="E844" i="1"/>
  <c r="E836" i="1"/>
  <c r="E828" i="1"/>
  <c r="E820" i="1"/>
  <c r="E812" i="1"/>
  <c r="E804" i="1"/>
  <c r="E796" i="1"/>
  <c r="E788" i="1"/>
  <c r="E780" i="1"/>
  <c r="E772" i="1"/>
  <c r="E764" i="1"/>
  <c r="E756" i="1"/>
  <c r="E748" i="1"/>
  <c r="E740" i="1"/>
  <c r="E732" i="1"/>
  <c r="E724" i="1"/>
  <c r="E716" i="1"/>
  <c r="E708" i="1"/>
  <c r="E700" i="1"/>
  <c r="E692" i="1"/>
  <c r="E684" i="1"/>
  <c r="E676" i="1"/>
  <c r="E668" i="1"/>
  <c r="E660" i="1"/>
  <c r="E652" i="1"/>
  <c r="E644" i="1"/>
  <c r="E636" i="1"/>
  <c r="E628" i="1"/>
  <c r="E620" i="1"/>
  <c r="E612" i="1"/>
  <c r="E604" i="1"/>
  <c r="E596" i="1"/>
  <c r="E588" i="1"/>
  <c r="E580" i="1"/>
  <c r="E572" i="1"/>
  <c r="E564" i="1"/>
  <c r="E556" i="1"/>
  <c r="E548" i="1"/>
  <c r="E540" i="1"/>
  <c r="E532" i="1"/>
  <c r="E524" i="1"/>
  <c r="E516" i="1"/>
  <c r="E508" i="1"/>
  <c r="E500" i="1"/>
  <c r="E492" i="1"/>
  <c r="E484" i="1"/>
  <c r="E476" i="1"/>
  <c r="E468" i="1"/>
  <c r="E460" i="1"/>
  <c r="E452" i="1"/>
  <c r="E444" i="1"/>
  <c r="E436" i="1"/>
  <c r="E428" i="1"/>
  <c r="E420" i="1"/>
  <c r="E412" i="1"/>
  <c r="E404" i="1"/>
  <c r="E396" i="1"/>
  <c r="E388" i="1"/>
  <c r="E380" i="1"/>
  <c r="E372" i="1"/>
  <c r="E364" i="1"/>
  <c r="E356" i="1"/>
  <c r="E348" i="1"/>
  <c r="E340" i="1"/>
  <c r="E332" i="1"/>
  <c r="E324" i="1"/>
  <c r="E316" i="1"/>
  <c r="E308" i="1"/>
  <c r="E300" i="1"/>
  <c r="E292" i="1"/>
  <c r="E963" i="1"/>
  <c r="E955" i="1"/>
  <c r="E947" i="1"/>
  <c r="E939" i="1"/>
  <c r="E931" i="1"/>
  <c r="E923" i="1"/>
  <c r="E915" i="1"/>
  <c r="E907" i="1"/>
  <c r="E899" i="1"/>
  <c r="E891" i="1"/>
  <c r="E883" i="1"/>
  <c r="E875" i="1"/>
  <c r="E867" i="1"/>
  <c r="E859" i="1"/>
  <c r="E851" i="1"/>
  <c r="E843" i="1"/>
  <c r="E835" i="1"/>
  <c r="E827" i="1"/>
  <c r="E819" i="1"/>
  <c r="E811" i="1"/>
  <c r="E803" i="1"/>
  <c r="E795" i="1"/>
  <c r="E787" i="1"/>
  <c r="E779" i="1"/>
  <c r="E771" i="1"/>
  <c r="E763" i="1"/>
  <c r="E755" i="1"/>
  <c r="E747" i="1"/>
  <c r="E739" i="1"/>
  <c r="E731" i="1"/>
  <c r="E723" i="1"/>
  <c r="E715" i="1"/>
  <c r="E707" i="1"/>
  <c r="E699" i="1"/>
  <c r="E691" i="1"/>
  <c r="E683" i="1"/>
  <c r="E675" i="1"/>
  <c r="E667" i="1"/>
  <c r="E659" i="1"/>
  <c r="E651" i="1"/>
  <c r="E643" i="1"/>
  <c r="E635" i="1"/>
  <c r="E627" i="1"/>
  <c r="E619" i="1"/>
  <c r="E611" i="1"/>
  <c r="E603" i="1"/>
  <c r="E595" i="1"/>
  <c r="E587" i="1"/>
  <c r="E579" i="1"/>
  <c r="E571" i="1"/>
  <c r="E563" i="1"/>
  <c r="E555" i="1"/>
  <c r="E547" i="1"/>
  <c r="E539" i="1"/>
  <c r="E531" i="1"/>
  <c r="E523" i="1"/>
  <c r="E515" i="1"/>
  <c r="E507" i="1"/>
  <c r="E499" i="1"/>
  <c r="E491" i="1"/>
  <c r="E483" i="1"/>
  <c r="E475" i="1"/>
  <c r="E467" i="1"/>
  <c r="E459" i="1"/>
  <c r="E451" i="1"/>
  <c r="E443" i="1"/>
  <c r="E435" i="1"/>
  <c r="E427" i="1"/>
  <c r="E419" i="1"/>
  <c r="E411" i="1"/>
  <c r="E403" i="1"/>
  <c r="E395" i="1"/>
  <c r="E387" i="1"/>
  <c r="E379" i="1"/>
  <c r="E371" i="1"/>
  <c r="E363" i="1"/>
  <c r="E355" i="1"/>
  <c r="E347" i="1"/>
  <c r="E339" i="1"/>
  <c r="E331" i="1"/>
  <c r="E323" i="1"/>
  <c r="E315" i="1"/>
  <c r="E307" i="1"/>
  <c r="E299" i="1"/>
  <c r="E291" i="1"/>
  <c r="E3" i="1"/>
  <c r="E11" i="1"/>
  <c r="E19" i="1"/>
  <c r="E27" i="1"/>
  <c r="E35" i="1"/>
  <c r="E43" i="1"/>
  <c r="E51" i="1"/>
  <c r="E59" i="1"/>
  <c r="E67" i="1"/>
  <c r="E75" i="1"/>
  <c r="E83" i="1"/>
  <c r="E91" i="1"/>
  <c r="E99" i="1"/>
  <c r="E107" i="1"/>
  <c r="E115" i="1"/>
  <c r="E123" i="1"/>
  <c r="E131" i="1"/>
  <c r="E139" i="1"/>
  <c r="E147" i="1"/>
  <c r="E155" i="1"/>
  <c r="E163" i="1"/>
  <c r="E171" i="1"/>
  <c r="E179" i="1"/>
  <c r="E187" i="1"/>
  <c r="E195" i="1"/>
  <c r="E203" i="1"/>
  <c r="E211" i="1"/>
  <c r="E219" i="1"/>
  <c r="E227" i="1"/>
  <c r="E235" i="1"/>
  <c r="E243" i="1"/>
  <c r="E251" i="1"/>
  <c r="E259" i="1"/>
  <c r="E267" i="1"/>
  <c r="E275" i="1"/>
  <c r="E283" i="1"/>
  <c r="E4" i="1"/>
  <c r="E12" i="1"/>
  <c r="E20" i="1"/>
  <c r="E28" i="1"/>
  <c r="E36" i="1"/>
  <c r="E44" i="1"/>
  <c r="E52" i="1"/>
  <c r="E60" i="1"/>
  <c r="E68" i="1"/>
  <c r="E76" i="1"/>
  <c r="E84" i="1"/>
  <c r="E92" i="1"/>
  <c r="E100" i="1"/>
  <c r="E108" i="1"/>
  <c r="E116" i="1"/>
  <c r="E124" i="1"/>
  <c r="E132" i="1"/>
  <c r="E140" i="1"/>
  <c r="E148" i="1"/>
  <c r="E156" i="1"/>
  <c r="E164" i="1"/>
  <c r="E172" i="1"/>
  <c r="E180" i="1"/>
  <c r="E188" i="1"/>
  <c r="E196" i="1"/>
  <c r="E204" i="1"/>
  <c r="E212" i="1"/>
  <c r="E220" i="1"/>
  <c r="E228" i="1"/>
  <c r="E236" i="1"/>
  <c r="E244" i="1"/>
  <c r="E252" i="1"/>
  <c r="E260" i="1"/>
  <c r="E268" i="1"/>
  <c r="E276" i="1"/>
  <c r="E284" i="1"/>
  <c r="E13" i="1"/>
  <c r="E21" i="1"/>
  <c r="E29" i="1"/>
  <c r="E37" i="1"/>
  <c r="E45" i="1"/>
  <c r="E53" i="1"/>
  <c r="E61" i="1"/>
  <c r="E69" i="1"/>
  <c r="E77" i="1"/>
  <c r="E85" i="1"/>
  <c r="E93" i="1"/>
  <c r="E101" i="1"/>
  <c r="E109" i="1"/>
  <c r="E117" i="1"/>
  <c r="E125" i="1"/>
  <c r="E133" i="1"/>
  <c r="E141" i="1"/>
  <c r="E149" i="1"/>
  <c r="E157" i="1"/>
  <c r="E165" i="1"/>
  <c r="E173" i="1"/>
  <c r="E181" i="1"/>
  <c r="E189" i="1"/>
  <c r="E197" i="1"/>
  <c r="E205" i="1"/>
  <c r="E213" i="1"/>
  <c r="E221" i="1"/>
  <c r="E229" i="1"/>
  <c r="E237" i="1"/>
  <c r="E245" i="1"/>
  <c r="E253" i="1"/>
  <c r="E261" i="1"/>
  <c r="E269" i="1"/>
  <c r="E277" i="1"/>
  <c r="E285" i="1"/>
  <c r="E6" i="1"/>
  <c r="E14" i="1"/>
  <c r="E22" i="1"/>
  <c r="E30" i="1"/>
  <c r="E38" i="1"/>
  <c r="E46" i="1"/>
  <c r="E54" i="1"/>
  <c r="E62" i="1"/>
  <c r="E70" i="1"/>
  <c r="E78" i="1"/>
  <c r="E86" i="1"/>
  <c r="E94" i="1"/>
  <c r="E102" i="1"/>
  <c r="E110" i="1"/>
  <c r="E118" i="1"/>
  <c r="E126" i="1"/>
  <c r="E134" i="1"/>
  <c r="E142" i="1"/>
  <c r="E150" i="1"/>
  <c r="E158" i="1"/>
  <c r="E166" i="1"/>
  <c r="E174" i="1"/>
  <c r="E182" i="1"/>
  <c r="E190" i="1"/>
  <c r="E198" i="1"/>
  <c r="E206" i="1"/>
  <c r="E214" i="1"/>
  <c r="E222" i="1"/>
  <c r="E230" i="1"/>
  <c r="E238" i="1"/>
  <c r="E246" i="1"/>
  <c r="E254" i="1"/>
  <c r="E262" i="1"/>
  <c r="E270" i="1"/>
  <c r="E278" i="1"/>
  <c r="E286" i="1"/>
  <c r="E7" i="1"/>
  <c r="E15" i="1"/>
  <c r="E23" i="1"/>
  <c r="E31" i="1"/>
  <c r="E39" i="1"/>
  <c r="E47" i="1"/>
  <c r="E55" i="1"/>
  <c r="E63" i="1"/>
  <c r="E71" i="1"/>
  <c r="E79" i="1"/>
  <c r="E87" i="1"/>
  <c r="E95" i="1"/>
  <c r="E103" i="1"/>
  <c r="E111" i="1"/>
  <c r="E119" i="1"/>
  <c r="E127" i="1"/>
  <c r="E135" i="1"/>
  <c r="E143" i="1"/>
  <c r="E151" i="1"/>
  <c r="E159" i="1"/>
  <c r="E167" i="1"/>
  <c r="E175" i="1"/>
  <c r="E183" i="1"/>
  <c r="E191" i="1"/>
  <c r="E199" i="1"/>
  <c r="E207" i="1"/>
  <c r="E215" i="1"/>
  <c r="E223" i="1"/>
  <c r="E231" i="1"/>
  <c r="E239" i="1"/>
  <c r="E247" i="1"/>
  <c r="E255" i="1"/>
  <c r="E263" i="1"/>
  <c r="E271" i="1"/>
  <c r="E279" i="1"/>
  <c r="E287" i="1"/>
  <c r="E24" i="1"/>
  <c r="E32" i="1"/>
  <c r="E40" i="1"/>
  <c r="E48" i="1"/>
  <c r="E56" i="1"/>
  <c r="E64" i="1"/>
  <c r="E72" i="1"/>
  <c r="E80" i="1"/>
  <c r="E88" i="1"/>
  <c r="E96" i="1"/>
  <c r="E104" i="1"/>
  <c r="E112" i="1"/>
  <c r="E120" i="1"/>
  <c r="E128" i="1"/>
  <c r="E136" i="1"/>
  <c r="E144" i="1"/>
  <c r="E152" i="1"/>
  <c r="E160" i="1"/>
  <c r="E168" i="1"/>
  <c r="E176" i="1"/>
  <c r="E184" i="1"/>
  <c r="E192" i="1"/>
  <c r="E200" i="1"/>
  <c r="E208" i="1"/>
  <c r="E216" i="1"/>
  <c r="E224" i="1"/>
  <c r="E232" i="1"/>
  <c r="E240" i="1"/>
  <c r="E248" i="1"/>
  <c r="E256" i="1"/>
  <c r="E264" i="1"/>
  <c r="E272" i="1"/>
  <c r="E280" i="1"/>
  <c r="E9" i="1"/>
  <c r="E17" i="1"/>
  <c r="E25" i="1"/>
  <c r="E33" i="1"/>
  <c r="E41" i="1"/>
  <c r="E49" i="1"/>
  <c r="E57" i="1"/>
  <c r="E65" i="1"/>
  <c r="E73" i="1"/>
  <c r="E81" i="1"/>
  <c r="E89" i="1"/>
  <c r="E97" i="1"/>
  <c r="E105" i="1"/>
  <c r="E113" i="1"/>
  <c r="E121" i="1"/>
  <c r="E129" i="1"/>
  <c r="E137" i="1"/>
  <c r="E145" i="1"/>
  <c r="E153" i="1"/>
  <c r="E161" i="1"/>
  <c r="E169" i="1"/>
  <c r="E177" i="1"/>
  <c r="E185" i="1"/>
  <c r="E193" i="1"/>
  <c r="E201" i="1"/>
  <c r="E209" i="1"/>
  <c r="E217" i="1"/>
  <c r="E225" i="1"/>
  <c r="E233" i="1"/>
  <c r="E241" i="1"/>
  <c r="E249" i="1"/>
  <c r="E257" i="1"/>
  <c r="E265" i="1"/>
  <c r="E273" i="1"/>
  <c r="E281" i="1"/>
  <c r="E2" i="1"/>
  <c r="E10" i="1"/>
  <c r="E18" i="1"/>
  <c r="E26" i="1"/>
  <c r="E34" i="1"/>
  <c r="E42" i="1"/>
  <c r="E50" i="1"/>
  <c r="E58" i="1"/>
  <c r="E66" i="1"/>
  <c r="E74" i="1"/>
  <c r="E82" i="1"/>
  <c r="E90" i="1"/>
  <c r="E98" i="1"/>
  <c r="E106" i="1"/>
  <c r="E114" i="1"/>
  <c r="E122" i="1"/>
  <c r="E130" i="1"/>
  <c r="E138" i="1"/>
  <c r="E146" i="1"/>
  <c r="E154" i="1"/>
  <c r="E162" i="1"/>
  <c r="E170" i="1"/>
  <c r="E178" i="1"/>
  <c r="E186" i="1"/>
  <c r="E194" i="1"/>
  <c r="E202" i="1"/>
  <c r="E210" i="1"/>
  <c r="E218" i="1"/>
  <c r="E226" i="1"/>
  <c r="E234" i="1"/>
  <c r="E242" i="1"/>
  <c r="E250" i="1"/>
  <c r="E258" i="1"/>
  <c r="E266" i="1"/>
  <c r="E274" i="1"/>
  <c r="E282" i="1"/>
</calcChain>
</file>

<file path=xl/sharedStrings.xml><?xml version="1.0" encoding="utf-8"?>
<sst xmlns="http://schemas.openxmlformats.org/spreadsheetml/2006/main" count="3571" uniqueCount="1319">
  <si>
    <t>Samit Member Name</t>
  </si>
  <si>
    <t>Assigned Person</t>
  </si>
  <si>
    <t>Mobile Number</t>
  </si>
  <si>
    <t>Shri Narayanji Chandak</t>
  </si>
  <si>
    <t>Sandeep Subhash Agiwal</t>
  </si>
  <si>
    <t>Shri Manojji Laddha</t>
  </si>
  <si>
    <t>Anand Jugalkishor Asawa</t>
  </si>
  <si>
    <t>Jyoti Omprakash Gaggar</t>
  </si>
  <si>
    <t>Anil Jugalkishor Asawa</t>
  </si>
  <si>
    <t>Shri Yogendraji Karwa</t>
  </si>
  <si>
    <t>Omshankar Harikishan Assawa</t>
  </si>
  <si>
    <t>Shri Gulabji Jaju</t>
  </si>
  <si>
    <t>Rahul Omshankar Assawa</t>
  </si>
  <si>
    <t>Shri Satyaprakashji Malpani</t>
  </si>
  <si>
    <t>Amitji Rameshwar Bajaj</t>
  </si>
  <si>
    <t>Shri Gopalji Gattani</t>
  </si>
  <si>
    <t>Brijmohan Hardevdas Bajaj</t>
  </si>
  <si>
    <t>Shri Sampatkumarji Bhattad</t>
  </si>
  <si>
    <t>Inderchand Bhavarlal Bajaj</t>
  </si>
  <si>
    <t>Shri Anilji Asava</t>
  </si>
  <si>
    <t>Tarachand Satyanarayan Bajaj</t>
  </si>
  <si>
    <t>Shri Miteshji Tawari</t>
  </si>
  <si>
    <t>Sureshkumar Shrivallabh Balduva</t>
  </si>
  <si>
    <t>Shri Sureshkumarji Jaju</t>
  </si>
  <si>
    <t>Rahul Mohandas Bangard</t>
  </si>
  <si>
    <t>Shri Riteshji Chandak</t>
  </si>
  <si>
    <t>Sachin Narendra Bangur</t>
  </si>
  <si>
    <t>Shri Dilipji Jhawar</t>
  </si>
  <si>
    <t>Anil Ganeshilal Bharadia</t>
  </si>
  <si>
    <t>Ankit Sureshchandra Kabra</t>
  </si>
  <si>
    <t>Dilip Ganeshilal Bharadia</t>
  </si>
  <si>
    <t>Shri Premji Taparia</t>
  </si>
  <si>
    <t>Ganeshilal Ramkishan Bharadia</t>
  </si>
  <si>
    <t>Shri Nikhilji Chandak</t>
  </si>
  <si>
    <t>Sunilkumar Ganeshilal Bharadia</t>
  </si>
  <si>
    <t>Shri Rameshji Mundhra</t>
  </si>
  <si>
    <t>Govind Kanhaiyalal Bhattad</t>
  </si>
  <si>
    <t>Shri Sanjayji Innani</t>
  </si>
  <si>
    <t>Ramchandra Jainarayan Bhattad</t>
  </si>
  <si>
    <t>Shri Kapilji Baheti</t>
  </si>
  <si>
    <t>Ravindra Ramchandra Bhattad</t>
  </si>
  <si>
    <t>Jagdish Rameshchand Lahoti</t>
  </si>
  <si>
    <t>Vithaldas Tejmal Bhattad</t>
  </si>
  <si>
    <t>Shri Vijayji Rathi</t>
  </si>
  <si>
    <t>Mahesh Shankarlal Bhattar</t>
  </si>
  <si>
    <t>Shri Harnarayanji Jaju</t>
  </si>
  <si>
    <t>Navneet Shivkumar Bhatter</t>
  </si>
  <si>
    <t>Shri Ratishji Mundhra</t>
  </si>
  <si>
    <t>Pooja Navneet Bhatter</t>
  </si>
  <si>
    <t>Shri Purshottamji Kalantri</t>
  </si>
  <si>
    <t>Amit Bulakidas Bihani</t>
  </si>
  <si>
    <t>Shri Sumeetji Maheshwari</t>
  </si>
  <si>
    <t>Dinesh Shivshankar Bihani</t>
  </si>
  <si>
    <t>Shri Rajeshji Mundhra</t>
  </si>
  <si>
    <t>Harsh Laxmikant Bihani</t>
  </si>
  <si>
    <t>Prateek Ramesh Dhoot</t>
  </si>
  <si>
    <t>Narayan Shivshanker Bihani</t>
  </si>
  <si>
    <t>Varun Kanhaiyalal Darak</t>
  </si>
  <si>
    <t>Arun Shankarlal Binani</t>
  </si>
  <si>
    <t>Aditya Daga</t>
  </si>
  <si>
    <t>Parag Arun Binani</t>
  </si>
  <si>
    <t>Vipin Saboo</t>
  </si>
  <si>
    <t>Ashok Dwarkaprasad Binnani</t>
  </si>
  <si>
    <t>Sagar Sampat Bhattad</t>
  </si>
  <si>
    <t>Alok Natwarlal Birla</t>
  </si>
  <si>
    <t xml:space="preserve">Samriddhi Nishant Soni </t>
  </si>
  <si>
    <t>Natwarlal Chandmal Birla</t>
  </si>
  <si>
    <t>Suman Rittesh Rathi</t>
  </si>
  <si>
    <t>Akshay Narottam Biyani</t>
  </si>
  <si>
    <t>Rahul Praveen Heda -Paden</t>
  </si>
  <si>
    <t>Baboolal Mangalchand Biyani</t>
  </si>
  <si>
    <t>Anand Omprakash Daliya</t>
  </si>
  <si>
    <t>Kailash Shyamsunder Biyani</t>
  </si>
  <si>
    <t>Varun Sanjeev Maheshwari</t>
  </si>
  <si>
    <t>Shivbhagwan Mohanlal Biyani</t>
  </si>
  <si>
    <t>Ronak Rjendra Karwa</t>
  </si>
  <si>
    <t>Narayan Kanhaiyalal Boob</t>
  </si>
  <si>
    <t>Ashok Harnarain Chandak</t>
  </si>
  <si>
    <t>Akansha Rahul Somani</t>
  </si>
  <si>
    <t>Dinesh Devikishan Chandak</t>
  </si>
  <si>
    <t>Ishan Mundra</t>
  </si>
  <si>
    <t>Harnarain Chandmal Chandak</t>
  </si>
  <si>
    <t>Anjali Ishan Mundhra</t>
  </si>
  <si>
    <t>Narayandas Ganeshdas Chandak</t>
  </si>
  <si>
    <t>Khushboo Sachin Dhoot</t>
  </si>
  <si>
    <t>Retesh Krishankumar Chandak</t>
  </si>
  <si>
    <t>Harsh Deepak Rathi</t>
  </si>
  <si>
    <t>Sandip Ghanshyam Chandak</t>
  </si>
  <si>
    <t>Ankit krishnagopal Taparia</t>
  </si>
  <si>
    <t>Aditya Devendra Daga</t>
  </si>
  <si>
    <t>Sharad Pankaj Kabra</t>
  </si>
  <si>
    <t>Devendra Gopikishan Daga</t>
  </si>
  <si>
    <t>Chanchal Bajaj</t>
  </si>
  <si>
    <t>Gopikishan Shivkishan Daga</t>
  </si>
  <si>
    <t>Vedant Pankaj Biyani</t>
  </si>
  <si>
    <t>Manojkumar Sohanlal Daga</t>
  </si>
  <si>
    <t>Prachi Ankit Kabra</t>
  </si>
  <si>
    <t>Pawan Champalal Daga</t>
  </si>
  <si>
    <t>Sohanlal Mohanlal Daga</t>
  </si>
  <si>
    <t>Sunilkumar Bhawarlal Daga</t>
  </si>
  <si>
    <t>Brijkumar  Shivratan Damani</t>
  </si>
  <si>
    <t>Manmohan Madanlal Damani</t>
  </si>
  <si>
    <t>Lalchand Kedarmal Darak</t>
  </si>
  <si>
    <t>Mukesh Shankarlal Deopura</t>
  </si>
  <si>
    <t>Laxminivas Kishangopal Dhoot</t>
  </si>
  <si>
    <t>Naresh Dayaram Dhoot</t>
  </si>
  <si>
    <t>Omprakash Chandanmal Dhoot</t>
  </si>
  <si>
    <t>Ramanuj Kishangopal Dhoot</t>
  </si>
  <si>
    <t>Sachin Suresh Dhoot</t>
  </si>
  <si>
    <t>Sanket Suresh Dhoot</t>
  </si>
  <si>
    <t>Sharad Jugalkishor Dhoot</t>
  </si>
  <si>
    <t>Suresh Bhagwandas Dhoot</t>
  </si>
  <si>
    <t>Suresh Shubhkaran Dhoot</t>
  </si>
  <si>
    <t>Rajendra Ramkrishna Falod</t>
  </si>
  <si>
    <t>Gajanand Ganpatrai Gaggar</t>
  </si>
  <si>
    <t>Ramavtar Gajanand Gaggar</t>
  </si>
  <si>
    <t>Tarachand Gajanand Gaggar</t>
  </si>
  <si>
    <t>Alekh Jaggannath Gandhi</t>
  </si>
  <si>
    <t>Piyush Ramesh Gattani</t>
  </si>
  <si>
    <t>Suresh Maikulal Gupta</t>
  </si>
  <si>
    <t>Ashish Ashokkumar Hurkat</t>
  </si>
  <si>
    <t>Rajesh Babulal Hurkat</t>
  </si>
  <si>
    <t>Sampatkumar Krishnagopal Jajoo</t>
  </si>
  <si>
    <t>Sudhir Satyanarayan Jajoo</t>
  </si>
  <si>
    <t>Sanjiv Laxminarayan Jaju</t>
  </si>
  <si>
    <t>Vipul Arun Jaju</t>
  </si>
  <si>
    <t>Vikas Purshottam Jakhotia</t>
  </si>
  <si>
    <t>Alok Omprakash Jhawar</t>
  </si>
  <si>
    <t>Basantkumar Gangaram Jhawar</t>
  </si>
  <si>
    <t>Biharilal Satynarayan Jhawar</t>
  </si>
  <si>
    <t>Hanuman Gulabchand Jhawar</t>
  </si>
  <si>
    <t>Jagdishkumar Gangaram Jhawar</t>
  </si>
  <si>
    <t>Jayprakash Mohanlal Jhawar</t>
  </si>
  <si>
    <t>Jugalkishor Mohanlal Jhawar</t>
  </si>
  <si>
    <t>Ramavtar Satyanaryan Jhawar</t>
  </si>
  <si>
    <t>Dhruv Vrijesh Kabra</t>
  </si>
  <si>
    <t>Gaurav Sunil Kabra</t>
  </si>
  <si>
    <t>Murlimanohar Ramshankar Kabra</t>
  </si>
  <si>
    <t>Nagarmal Dindayal Kabra</t>
  </si>
  <si>
    <t>Omprakash Chiranjilal Kabra</t>
  </si>
  <si>
    <t>Pradeep Satyanarayan Kabra</t>
  </si>
  <si>
    <t>Prashant Pradeep Kabra</t>
  </si>
  <si>
    <t>Sagar Subhash Kabra</t>
  </si>
  <si>
    <t>Sandeep Ranglal Kabra</t>
  </si>
  <si>
    <t>Subhash Hargovind Kabra</t>
  </si>
  <si>
    <t>Sunil Satyanarayan Kabra</t>
  </si>
  <si>
    <t>Surendra Maheshchandra Kabra</t>
  </si>
  <si>
    <t>Vrijesh Nagarmal Kabra</t>
  </si>
  <si>
    <t>Umesh Gopikishan Kalani</t>
  </si>
  <si>
    <t>Ramanuj Chandrashekhar Kankani</t>
  </si>
  <si>
    <t>Ronak Rajendra Kumar Karwa</t>
  </si>
  <si>
    <t>Heeralal Balchand Kasat</t>
  </si>
  <si>
    <t>Suresh Ramnarayan Kasat</t>
  </si>
  <si>
    <t>Vikas Radheshyam Kasat</t>
  </si>
  <si>
    <t>Nandkishore Bansilal Khatod</t>
  </si>
  <si>
    <t>Ghanshyam Jawarilal Laddha</t>
  </si>
  <si>
    <t>Harish  Laddha</t>
  </si>
  <si>
    <t>Narendra Shyamsundar Laddha</t>
  </si>
  <si>
    <t>Shyamsunder Thakurdas Laddha</t>
  </si>
  <si>
    <t>Deepak Ghanshyam Ladha</t>
  </si>
  <si>
    <t>Abhishek Prahladrai Lahoti</t>
  </si>
  <si>
    <t>Nandkishor Badrinarayan Lahoti</t>
  </si>
  <si>
    <t>Raj Tolaram Lahoti</t>
  </si>
  <si>
    <t>Girdharlal Kanhiyala Lakhotia</t>
  </si>
  <si>
    <t>Abhinav Narendrakumar Maheshwari</t>
  </si>
  <si>
    <t>Dinesh Kishangopal Maheshwari</t>
  </si>
  <si>
    <t>Tarunkumar Brijvallabh Maheshwari</t>
  </si>
  <si>
    <t>Varun Sanjeev  Maheshwari</t>
  </si>
  <si>
    <t>Sachin Prakash Malpani</t>
  </si>
  <si>
    <t>Sanjay Bhanwarlal Malpani</t>
  </si>
  <si>
    <t>Sashibala Satyanarayan Malpani</t>
  </si>
  <si>
    <t>Satyaprakash Bhanwarlal Malpani</t>
  </si>
  <si>
    <t>Gajadher Kesharimal Mandhania</t>
  </si>
  <si>
    <t>Gautam Gajadher Mandhania</t>
  </si>
  <si>
    <t>Satish Radheshyam Mandowara</t>
  </si>
  <si>
    <t>Gaurav Manoharlal Manihar</t>
  </si>
  <si>
    <t>Manohar Kishanlal MANIHAR</t>
  </si>
  <si>
    <t>Alok Surajmal Mantri</t>
  </si>
  <si>
    <t>Gajendra Ramvallabh Mantri</t>
  </si>
  <si>
    <t>Ishwarprakash Sohanlal Mantri</t>
  </si>
  <si>
    <t>Jagdishchandra Sohanlal Mantri</t>
  </si>
  <si>
    <t>Pushkar Sohanlal Mantri</t>
  </si>
  <si>
    <t>Satishkumar Sohanlal Mantri</t>
  </si>
  <si>
    <t>Nirmal Manishankar Maroo</t>
  </si>
  <si>
    <t>Madhusudan Surajratan Mimani</t>
  </si>
  <si>
    <t>Shrikumar Surajratan Mimani</t>
  </si>
  <si>
    <t>Madhuri Sandeep Modi</t>
  </si>
  <si>
    <t>Ratish  Ramswaroop Moondra</t>
  </si>
  <si>
    <t>Ankkur Sunil Muchhal</t>
  </si>
  <si>
    <t>Bhupendra Mohanlal Mundada</t>
  </si>
  <si>
    <t>Rajesh Nathulal Mundhra</t>
  </si>
  <si>
    <t>Santoshkumar Mannalal Mundhra</t>
  </si>
  <si>
    <t>Shreekishan Mannalal Mundhra</t>
  </si>
  <si>
    <t>Shyamkumar Kanhaiyalal Mundhra</t>
  </si>
  <si>
    <t>Rajesh Shyamshroop Mundra</t>
  </si>
  <si>
    <t>Umesh Ramvallabh Mundra</t>
  </si>
  <si>
    <t>Shwetang Ashok Murke</t>
  </si>
  <si>
    <t>Shyam Sunder Kojori Malji Palod</t>
  </si>
  <si>
    <t>Sohanlal Kajorimal Palod</t>
  </si>
  <si>
    <t>Dev Suresh Pasari</t>
  </si>
  <si>
    <t>Ghanshyamlal Ramchandar Pasari</t>
  </si>
  <si>
    <t>Suresh GhanshyamLal Pasari</t>
  </si>
  <si>
    <t>Kamlesh Pukhraj Phophaliya</t>
  </si>
  <si>
    <t>Dilip Ramjeevan Puglia</t>
  </si>
  <si>
    <t>Hitesh Tarachand Puglia</t>
  </si>
  <si>
    <t>Akshay Sunil Rathi</t>
  </si>
  <si>
    <t>Bhupendra Ghanshyandas Rathi</t>
  </si>
  <si>
    <t>Gopal Rameshwarlal Rathi</t>
  </si>
  <si>
    <t>Harish Ranchoddas Rathi</t>
  </si>
  <si>
    <t>Harsh Harish Rathi</t>
  </si>
  <si>
    <t>Kamal Bhawarniwas Rathi</t>
  </si>
  <si>
    <t>Prakash Ranchhoddas Rathi</t>
  </si>
  <si>
    <t>Rajesh Bhagwandas Rathi</t>
  </si>
  <si>
    <t>Rajesh Harish Rathi</t>
  </si>
  <si>
    <t>Ramanlal Ramkishan Rathi</t>
  </si>
  <si>
    <t>Rittesh Jayprakash Rathi</t>
  </si>
  <si>
    <t>Sameer Shriniwas Rathi</t>
  </si>
  <si>
    <t>Saurabh Suresh Rathi</t>
  </si>
  <si>
    <t>Vikas Sashimohan Rathi</t>
  </si>
  <si>
    <t>Visnhu Sagarmal Rathi</t>
  </si>
  <si>
    <t>Animesh Mahendrakumar Saboo</t>
  </si>
  <si>
    <t>Lakshminarayan Gopiram Saboo</t>
  </si>
  <si>
    <t>Mahendrakumar Satyanarayn Saboo</t>
  </si>
  <si>
    <t>Ravindrakumar Ghanshyam Saboo</t>
  </si>
  <si>
    <t>Somesh Mahendrakumar Saboo</t>
  </si>
  <si>
    <t>Subhash Nathmal Saboo</t>
  </si>
  <si>
    <t>Rajesh Shankarlal Sadani</t>
  </si>
  <si>
    <t>Alok Santoshkumar Sarda</t>
  </si>
  <si>
    <t>Bajranglal Nathulal Sarda</t>
  </si>
  <si>
    <t>Sohan Hansraj Sarda</t>
  </si>
  <si>
    <t>Vatsal Bajranglal Sarda</t>
  </si>
  <si>
    <t>Sanjeev Dhanraj Sawal</t>
  </si>
  <si>
    <t>Harinarayan Sitaram Sodhani</t>
  </si>
  <si>
    <t>Ramshankar Gorishanker Sodhani</t>
  </si>
  <si>
    <t>Amit Shyamsunder Somani</t>
  </si>
  <si>
    <t>Jagdishprasad Chunilal Somani</t>
  </si>
  <si>
    <t>Omprakash Bhawarlal Somani</t>
  </si>
  <si>
    <t>Rohit Radheyshyam Somani</t>
  </si>
  <si>
    <t>Rupesh Ramkisan Somani</t>
  </si>
  <si>
    <t>Ashwin Premnarayan Soni</t>
  </si>
  <si>
    <t>Brijeshkumar Shivbux Soni</t>
  </si>
  <si>
    <t>Pradeepkumar Jeevandas Soni</t>
  </si>
  <si>
    <t>Ravi Shriniwas Soni</t>
  </si>
  <si>
    <t>Rajesh Ghanshyamdas Taori</t>
  </si>
  <si>
    <t>Ankit Krishna Gopal Taparia</t>
  </si>
  <si>
    <t>Indarchand Chhogalal Taparia</t>
  </si>
  <si>
    <t>Bharat Krishnagopal Tawari</t>
  </si>
  <si>
    <t>Mitesh Rameshchandra Tawari</t>
  </si>
  <si>
    <t>Nilesh Bharat Tawari</t>
  </si>
  <si>
    <t>Namita Sunil Tawri</t>
  </si>
  <si>
    <t>Mukesh Ramjas Toshniwal</t>
  </si>
  <si>
    <t>Sandeep Satyanarayan Toshniwal</t>
  </si>
  <si>
    <t>Sumit Balkishan Toshniwal</t>
  </si>
  <si>
    <t>Suryaprakash Ramgopal Toshniwal</t>
  </si>
  <si>
    <t>Satish Labhchand Totla</t>
  </si>
  <si>
    <t>Rajendraprasad Ballaram Agiwal</t>
  </si>
  <si>
    <t>Govindlal Narayanlal Asawa</t>
  </si>
  <si>
    <t>Bharatkumar Ambalal Bahedia</t>
  </si>
  <si>
    <t>Rajesh Purushottam Bang</t>
  </si>
  <si>
    <t>Gangaram Hazarimal Bangur</t>
  </si>
  <si>
    <t>Piyush Ghanshyam Bhandari</t>
  </si>
  <si>
    <t>Purshottamdas Radhakishan Bhandari</t>
  </si>
  <si>
    <t>Omprakash Loonkaran Bhattad</t>
  </si>
  <si>
    <t>Sampatkumar Murlidhar Bhattad</t>
  </si>
  <si>
    <t>Shreekrishna Loonkaran Bhattad</t>
  </si>
  <si>
    <t>Shubham Sampat Bhattad</t>
  </si>
  <si>
    <t>Thakurdas Ramvilas Bhattad</t>
  </si>
  <si>
    <t>Mahesh Shivprakash Bhootra</t>
  </si>
  <si>
    <t>Atul Jagdish Bhutada</t>
  </si>
  <si>
    <t>Bimal Lal Bhutada</t>
  </si>
  <si>
    <t>Lokesh Jagdish Bhutra</t>
  </si>
  <si>
    <t>Shreeram Birdichand Bhutra</t>
  </si>
  <si>
    <t>Mahesh Bhanwarlal Binani</t>
  </si>
  <si>
    <t>Dhiraj Jugalkishore Birla</t>
  </si>
  <si>
    <t>Prashant Shankarlal Chandak</t>
  </si>
  <si>
    <t>Saurabh Shankarlal Chandak</t>
  </si>
  <si>
    <t>Shankarlal Suganchandji Chandak</t>
  </si>
  <si>
    <t>Jagdishprasad Babulal Chitlangia</t>
  </si>
  <si>
    <t>Ramkishore Joharimal Chitlangia</t>
  </si>
  <si>
    <t>Jaiprakash Jugalkishor Daga</t>
  </si>
  <si>
    <t>Anand Shyamlal Damani</t>
  </si>
  <si>
    <t>Anuj Anand Damani</t>
  </si>
  <si>
    <t>Sarvottam Shyamlal Damani</t>
  </si>
  <si>
    <t>Shyamlal Kishanlal Damani</t>
  </si>
  <si>
    <t>Manoj Haridas Dangra</t>
  </si>
  <si>
    <t>Shrikant Hanumandas Dangra</t>
  </si>
  <si>
    <t>Ankit Hariprakash Dhoot</t>
  </si>
  <si>
    <t>Hariprakash Brijmohan Dhoot</t>
  </si>
  <si>
    <t>Nilesh Rajkumar Dhoot</t>
  </si>
  <si>
    <t>Omprakash Brijmohan Dhoot</t>
  </si>
  <si>
    <t>Bharat Surajmal Gaggad</t>
  </si>
  <si>
    <t>Satyanarayan Jankilal Gaggad</t>
  </si>
  <si>
    <t>Yogesh Satyanarayan Gaggad</t>
  </si>
  <si>
    <t>Mahesh Ramjas  Gattani</t>
  </si>
  <si>
    <t>Rahul Praveen Heda</t>
  </si>
  <si>
    <t>Surendra Ghanshyam Heda</t>
  </si>
  <si>
    <t>Shri Satyanarayan Keshulal Jhanwar</t>
  </si>
  <si>
    <t>Gauri Saurabh Jhawar</t>
  </si>
  <si>
    <t>Jyotiprasad Shivbhagwan Jhawar</t>
  </si>
  <si>
    <t>Saurabh Shrikant Jhawar</t>
  </si>
  <si>
    <t>Shrikant Rajmal Jhawar</t>
  </si>
  <si>
    <t>Dinesh Hariprasad Kabra</t>
  </si>
  <si>
    <t>Lalitmohan Hariprasad Kabra</t>
  </si>
  <si>
    <t>Narendra Ghanshyambhai Kabra</t>
  </si>
  <si>
    <t>Ramsahay Ramratan Kabra</t>
  </si>
  <si>
    <t>Harinarayan Champalal Karnani</t>
  </si>
  <si>
    <t>Yogendra Champalal Karwa</t>
  </si>
  <si>
    <t>Gopal Ghanshyamdas Kela</t>
  </si>
  <si>
    <t>Jugalkishor Damodardas Kela</t>
  </si>
  <si>
    <t>Dineshchand Madanlal Kothari</t>
  </si>
  <si>
    <t>Gautam Ravikumar Kothari</t>
  </si>
  <si>
    <t>Sanjay Gopaldas Kothari</t>
  </si>
  <si>
    <t>Saurabh Sanjay Kothari</t>
  </si>
  <si>
    <t>Siddhant Kishan Ladda</t>
  </si>
  <si>
    <t>Ramkisan Hariram Laddha</t>
  </si>
  <si>
    <t>Sandeep Jawaharlalji Ladha</t>
  </si>
  <si>
    <t>Jitendrakumar Purshotamdas Lahoti</t>
  </si>
  <si>
    <t>Kunj Bihari Ramchandra Lahoti</t>
  </si>
  <si>
    <t>Maheshkumar Ramchandra Lahoti</t>
  </si>
  <si>
    <t>Dilip Kanhaiyalal Lakhotia</t>
  </si>
  <si>
    <t>Gaurishankar Govardhan Lohia</t>
  </si>
  <si>
    <t>Hemant Gaurishankar Lohia</t>
  </si>
  <si>
    <t>Kamalkishore Govardhan LOHIA</t>
  </si>
  <si>
    <t>Mahesh Govardhan Lohia</t>
  </si>
  <si>
    <t>Ravi Kamalkishore LOHIA</t>
  </si>
  <si>
    <t>Rohit Gaurishankar Lohia</t>
  </si>
  <si>
    <t>Ankit Kailashchandra Maheshwari</t>
  </si>
  <si>
    <t>Anup - Maheshwari</t>
  </si>
  <si>
    <t>Girrajkishor Badriprasad Maheshwari</t>
  </si>
  <si>
    <t>Hitesh Govindram Maheshwari</t>
  </si>
  <si>
    <t>Suresh Lalchand Maheshwari</t>
  </si>
  <si>
    <t>Vatan Deokinandan Maheshwari</t>
  </si>
  <si>
    <t>Vinod Laxminarayan Maheshwari</t>
  </si>
  <si>
    <t>Nilesh Kapurchand Malani</t>
  </si>
  <si>
    <t>Rajeev Dayanand Malani</t>
  </si>
  <si>
    <t>Gangabisan Ramnath Maloo</t>
  </si>
  <si>
    <t>Narayan Rambilas Malpani</t>
  </si>
  <si>
    <t>Satish Sitaram Malpani</t>
  </si>
  <si>
    <t>Vinay Sushil Malpani</t>
  </si>
  <si>
    <t>Yogesh Ramkishor Malpani</t>
  </si>
  <si>
    <t>Ashok Phulchandji Mandhania</t>
  </si>
  <si>
    <t>Rajesh Radheshyam Mandovra</t>
  </si>
  <si>
    <t>Gopal Suganchand Mantri</t>
  </si>
  <si>
    <t>Sourabh Bhagwandas Mantri</t>
  </si>
  <si>
    <t>Subhashchandra Shivcharan Mundhra</t>
  </si>
  <si>
    <t>Umesh Sudhirkumar Mundhra</t>
  </si>
  <si>
    <t>Yogesh Ashok Mundhra</t>
  </si>
  <si>
    <t>Murlimanohar Narayandas Mundra</t>
  </si>
  <si>
    <t>Roshanlal Deepchand Mundra</t>
  </si>
  <si>
    <t>Anil Shantilal Nawal</t>
  </si>
  <si>
    <t>Jaiprakash Radheshyam Parwal</t>
  </si>
  <si>
    <t>Girish Radhakishan Phaphat</t>
  </si>
  <si>
    <t>Ashish Gopallal Pugalia</t>
  </si>
  <si>
    <t>Vinod Ramswaroop Pungalia</t>
  </si>
  <si>
    <t>Ashish Nandkishore Rathi</t>
  </si>
  <si>
    <t>Bachhraj Murlidhar Rathi</t>
  </si>
  <si>
    <t>Deepak Chandratan Rathi</t>
  </si>
  <si>
    <t>Devendra Gangavishan Rathi</t>
  </si>
  <si>
    <t>Dhruvnarayan Murlimanohar Rathi</t>
  </si>
  <si>
    <t>Jitendra Nandkishore Rathi</t>
  </si>
  <si>
    <t>Mukeshkumar Shridhar Rathi</t>
  </si>
  <si>
    <t>Nandkishore Premraj Rathi</t>
  </si>
  <si>
    <t>Nitendra Chandratan Rathi</t>
  </si>
  <si>
    <t>Pankaj Maganlal Rathi</t>
  </si>
  <si>
    <t>Pradeep Shriniwasji Rathi</t>
  </si>
  <si>
    <t>Rakeshkumar Shridhar Rathi</t>
  </si>
  <si>
    <t>Ramanujdas Satyanarayan Rathi</t>
  </si>
  <si>
    <t>Ramnarayan Tarakchand Rathi</t>
  </si>
  <si>
    <t>Surendrakumar Ramprasad Rathi</t>
  </si>
  <si>
    <t>Ramavtar Kanhaiyalal Saboo</t>
  </si>
  <si>
    <t>Kalyanmal Lakhmichand Sarda</t>
  </si>
  <si>
    <t>Ramniwas Mansaram Sarda</t>
  </si>
  <si>
    <t>Tarun Kalyanmal Sarda</t>
  </si>
  <si>
    <t>Abhishek Radheshyam Somani</t>
  </si>
  <si>
    <t>Manoj Radheshyam Somani</t>
  </si>
  <si>
    <t>Radheshyam Ramakishan Somani</t>
  </si>
  <si>
    <t>Satyanarayan Radheshyam Somani</t>
  </si>
  <si>
    <t>Sureshchandra Ramniwas Somani</t>
  </si>
  <si>
    <t>Ankit Rampal Soni</t>
  </si>
  <si>
    <t>Lalitkumar Mangalchand Soni</t>
  </si>
  <si>
    <t>Narendra Premnarayan Soni</t>
  </si>
  <si>
    <t>Rajesh Rampal Soni</t>
  </si>
  <si>
    <t>Sagar Lalit Soni</t>
  </si>
  <si>
    <t>Puneet Omprakash Thirani</t>
  </si>
  <si>
    <t>Manoj Omprakash Toshniwal</t>
  </si>
  <si>
    <t>Satyanarayan Ramakishan Toshniwal</t>
  </si>
  <si>
    <t>Suresh Narayan Toshniwal</t>
  </si>
  <si>
    <t>Vishnu Satyanarayan Toshniwal</t>
  </si>
  <si>
    <t>Rohit Radheshayamji Zanwar</t>
  </si>
  <si>
    <t>Jayesh Anantlal Zaveri</t>
  </si>
  <si>
    <t>PARESH  PARWAL</t>
  </si>
  <si>
    <t>Chandan Jawaharlal Bihani</t>
  </si>
  <si>
    <t>Jawaharlal Badrinarayan Bihani</t>
  </si>
  <si>
    <t>Kalpana Jawaharlal Bihani</t>
  </si>
  <si>
    <t>Rajesh Balkrishan Birla</t>
  </si>
  <si>
    <t>Ramanuj Babulal Dad</t>
  </si>
  <si>
    <t>Navaneetlal Kanhaiyalal Damani</t>
  </si>
  <si>
    <t>Bhavesh Suresh Jajoo</t>
  </si>
  <si>
    <t>Manoj Champalal Jajoo</t>
  </si>
  <si>
    <t>Sureshkumar Ramniwas Jajoo</t>
  </si>
  <si>
    <t>Murlimanohar Bodulaal Kasat</t>
  </si>
  <si>
    <t>Mukesh Bankatlal Laddha</t>
  </si>
  <si>
    <t>Lalitkumar Mahadevprasad Somani</t>
  </si>
  <si>
    <t>Rajeev Tarachand Ajmera</t>
  </si>
  <si>
    <t>Sunil Roshanlal Ajmera</t>
  </si>
  <si>
    <t>Bajranglal Bansilal Asawa</t>
  </si>
  <si>
    <t>Deepak Bajranglal Asawa</t>
  </si>
  <si>
    <t>Amit Omprakash Bahedia</t>
  </si>
  <si>
    <t>Ashish DIneshchandra Baheti</t>
  </si>
  <si>
    <t>Laxminarayan Ramchand Baheti</t>
  </si>
  <si>
    <t>Ramchand Mohanlal Baheti</t>
  </si>
  <si>
    <t>Vaibhav Jagdishprasad Baheti</t>
  </si>
  <si>
    <t>Ashok  Kumar  Bajaj</t>
  </si>
  <si>
    <t>Satish Balkishan Bajaj</t>
  </si>
  <si>
    <t>Manish Madan Balduwa</t>
  </si>
  <si>
    <t>Alok Purshottamlal Bang</t>
  </si>
  <si>
    <t>Jugal Kishore Shankarlal Bang</t>
  </si>
  <si>
    <t>Kamalkishore Shankarlal Bang</t>
  </si>
  <si>
    <t>Purshotamlal Mishrilal Bang</t>
  </si>
  <si>
    <t>Rajkishor Shankarlal Bang</t>
  </si>
  <si>
    <t>Ravi Mukundas Bhaiya</t>
  </si>
  <si>
    <t>Nimish Vijaykumar Bihani</t>
  </si>
  <si>
    <t>Nitin Vijaykumar Bihani</t>
  </si>
  <si>
    <t>Prakash Bhanwarlal Bihani</t>
  </si>
  <si>
    <t>Vijaykumar Manikchand Bihani</t>
  </si>
  <si>
    <t>Nikhil Pabudan Chandak</t>
  </si>
  <si>
    <t>Sanjay Satyaprakash Chhaparwal</t>
  </si>
  <si>
    <t>Sunil Satyaprakash Chhaparwal</t>
  </si>
  <si>
    <t>Hari Dwarikadas Daga</t>
  </si>
  <si>
    <t>Anil Ghanshyam Darak</t>
  </si>
  <si>
    <t>Manish  Nandkishore Darak</t>
  </si>
  <si>
    <t>Manoj Nandkishore Darak</t>
  </si>
  <si>
    <t>Sanjeev Venugopal Darak</t>
  </si>
  <si>
    <t>Anurag Natwarlal Dhoot</t>
  </si>
  <si>
    <t>Bhawani Shankar Suvalalji Dhoot</t>
  </si>
  <si>
    <t>Manojkumar Bhawanishankar Dhoot</t>
  </si>
  <si>
    <t>Yugal Brijkishor Dhoot</t>
  </si>
  <si>
    <t>Arvind Arjunlal Falod</t>
  </si>
  <si>
    <t>Omprakash Shivdayal Falod</t>
  </si>
  <si>
    <t>Samatkumar Rameshwar Gaggar</t>
  </si>
  <si>
    <t>Sudhir Sampat Gaggar</t>
  </si>
  <si>
    <t>Jitendra Kamalkishor Gandhi</t>
  </si>
  <si>
    <t>Kamalkishore Lunkaran Gandhi</t>
  </si>
  <si>
    <t>Subhash Loonkaran Gandhi</t>
  </si>
  <si>
    <t>Girdharilal Maniklal Gilda</t>
  </si>
  <si>
    <t>Hariram Maneklal Gilda</t>
  </si>
  <si>
    <t>Naveen Ramvilas Hurkat</t>
  </si>
  <si>
    <t>Prakash Ramvilas Hurkat</t>
  </si>
  <si>
    <t>Rahul Rajaram Hurkat</t>
  </si>
  <si>
    <t>Rajaram Shankarlal Hurkat</t>
  </si>
  <si>
    <t>Ramvilas Shankarlal Hurkat</t>
  </si>
  <si>
    <t>Sanjay Rajaram Hurkat</t>
  </si>
  <si>
    <t>Vikas Ramvilas Hurkat</t>
  </si>
  <si>
    <t>Deepak Basantilal Inani</t>
  </si>
  <si>
    <t>Gulab Bhanwar Jajoo</t>
  </si>
  <si>
    <t>Harnarayan Rameshwarprasad Jaju</t>
  </si>
  <si>
    <t>Laxminiwas Raghunath Prasad Jaju</t>
  </si>
  <si>
    <t>Dilip Chandanmal Jhanwar</t>
  </si>
  <si>
    <t>Dinesh Rajendraprasad Jhanwar</t>
  </si>
  <si>
    <t>Jagdish Ramkaran Jhanwar</t>
  </si>
  <si>
    <t>Vijaykumar S Jhanwar</t>
  </si>
  <si>
    <t>Akhilesh Kishan Jhawar</t>
  </si>
  <si>
    <t>Kishangopal Ghanshyamdas Jhawar</t>
  </si>
  <si>
    <t>Rajendraprasad  Jhawar</t>
  </si>
  <si>
    <t>Girdharlal Brijvallab Kabra</t>
  </si>
  <si>
    <t>Girish Rajkumar Kabra</t>
  </si>
  <si>
    <t>Mahendrda Mohan Kabra</t>
  </si>
  <si>
    <t>Nandkumar Girdharlal Kabra</t>
  </si>
  <si>
    <t>Rajesh Satyanarayan Kabra</t>
  </si>
  <si>
    <t>Shyamsunder Ramvallabh Kabra</t>
  </si>
  <si>
    <t>Yash Kamal Kabra</t>
  </si>
  <si>
    <t>Dinesh Ratanlal Kacholia</t>
  </si>
  <si>
    <t>Abhishek Vijaykumar Kalyani</t>
  </si>
  <si>
    <t>Harishankar Shrirampal Kankani</t>
  </si>
  <si>
    <t>Madhur Harishankar Kankani</t>
  </si>
  <si>
    <t>Ashokkumar Tolaram Karnani</t>
  </si>
  <si>
    <t>Adarsh Damodar Karwa</t>
  </si>
  <si>
    <t>Amit Jayprakash Karwa</t>
  </si>
  <si>
    <t>Devesh Manoj Laddha</t>
  </si>
  <si>
    <t>Ghanshyamdas Maniklal Laddha</t>
  </si>
  <si>
    <t>Manoj Ghanshyamdas Laddha</t>
  </si>
  <si>
    <t>Nandlal Ramgopal Laddha</t>
  </si>
  <si>
    <t>Prakash Satyanarayan Laddha</t>
  </si>
  <si>
    <t>Pushpak Manoj Laddha</t>
  </si>
  <si>
    <t>Radheshyam Jawarilal Laddha</t>
  </si>
  <si>
    <t>Bitthaldas Ramgopal Lahoti</t>
  </si>
  <si>
    <t>Anant Ashok Lahotia</t>
  </si>
  <si>
    <t>Akhilesh Rakeshkumar Lakhotia</t>
  </si>
  <si>
    <t>Madhusudan Ramdhar Lakhotia</t>
  </si>
  <si>
    <t>Rakesh Kumar Balkrishna Lakhotia</t>
  </si>
  <si>
    <t>Saurabh Harshvardhan Lakhotiya</t>
  </si>
  <si>
    <t>Babulal Ramjas Lavti</t>
  </si>
  <si>
    <t>Abhishek Ashok Lohiya</t>
  </si>
  <si>
    <t>Mahendra Kailashchandra Machhar</t>
  </si>
  <si>
    <t>Mehul Dilip Maheshwari</t>
  </si>
  <si>
    <t>Anupam Madanlalji Malpani</t>
  </si>
  <si>
    <t>Sandeep Sitaram Malpani</t>
  </si>
  <si>
    <t>Ashok Kumar Om Prakash Mandhana</t>
  </si>
  <si>
    <t>Manish Damodarlal Mandhania</t>
  </si>
  <si>
    <t>Nitin Ashok Maniyar</t>
  </si>
  <si>
    <t>Damodar Sohanlal Mantri</t>
  </si>
  <si>
    <t>Shailendra Kumar Devendra Kumar Mantri</t>
  </si>
  <si>
    <t>Yogesh Nathmal Mantri</t>
  </si>
  <si>
    <t>Kishorekumar Sunderlal Mohatta</t>
  </si>
  <si>
    <t>Devkishan Mannalal Mundhra</t>
  </si>
  <si>
    <t>Gokuldas Rameshwar Mundhra</t>
  </si>
  <si>
    <t>Govindlal Ganeshlal Mundhra</t>
  </si>
  <si>
    <t>Hanuman Harikishan Mundhra</t>
  </si>
  <si>
    <t>Ishan Nandkishore  Mundhra</t>
  </si>
  <si>
    <t>Madanlal Manicklal Mundhra</t>
  </si>
  <si>
    <t>Maheshkumar Chaturbhuj Mundhra</t>
  </si>
  <si>
    <t>Nandkishore Manaklal Mundhra</t>
  </si>
  <si>
    <t>Ramesh Devkishan Mundhra</t>
  </si>
  <si>
    <t>Shyamsunder Asharam Mundhra</t>
  </si>
  <si>
    <t>Dipak Nirmal Mundra</t>
  </si>
  <si>
    <t>Niranjan Omprakash Mundra</t>
  </si>
  <si>
    <t>Siddharth Vijay Mundra</t>
  </si>
  <si>
    <t>Sanjay Shrikisan Navandar</t>
  </si>
  <si>
    <t>Manoj Gaurishankar Rander</t>
  </si>
  <si>
    <t>Ankit Ramswarup Rathi</t>
  </si>
  <si>
    <t>Jagdish Rajgopal Rathi</t>
  </si>
  <si>
    <t>Jagdishchandra Shri Chaturbhuji Rathi</t>
  </si>
  <si>
    <t>Kamalkishore Thanmal Rathi</t>
  </si>
  <si>
    <t>Laxminarayan  Pawan Kumar Rathi</t>
  </si>
  <si>
    <t>Madanmohan Gangavishan Rathi</t>
  </si>
  <si>
    <t>Mahesh Bhikhulal Rathi</t>
  </si>
  <si>
    <t>Navneet Kisangopal Rathi</t>
  </si>
  <si>
    <t>Pawankumar Hulashchand Rathi</t>
  </si>
  <si>
    <t>Prashant Sitaram Rathi</t>
  </si>
  <si>
    <t>Rajendra Deepchand Rathi</t>
  </si>
  <si>
    <t>Rajgopal Chunilal Rathi</t>
  </si>
  <si>
    <t>Rajkumar Omprakash Rathi</t>
  </si>
  <si>
    <t>Rameshwar Rajgopal Rathi</t>
  </si>
  <si>
    <t>Sriram Pawankumar Rathi</t>
  </si>
  <si>
    <t>Tansukh Kanahiyalal Rathi</t>
  </si>
  <si>
    <t>Vijaykumar Bhanshi Rathi</t>
  </si>
  <si>
    <t>Vishal Nandkishor Rathi</t>
  </si>
  <si>
    <t>Arun Shivkumar Saboo</t>
  </si>
  <si>
    <t>Rajkumar Shyamsunder Saboo</t>
  </si>
  <si>
    <t>Vasudev Madanlal Saboo</t>
  </si>
  <si>
    <t>Vipin Harikishan Saboo</t>
  </si>
  <si>
    <t>Harish  Kumar Sarda</t>
  </si>
  <si>
    <t>Madhusudan Narayanlal Sarda</t>
  </si>
  <si>
    <t>Pannechand Fatehchand  Sarda</t>
  </si>
  <si>
    <t>Roshan Ramesh Sarda</t>
  </si>
  <si>
    <t>Sureshkumar Girdharilal Sarda</t>
  </si>
  <si>
    <t>Vinay Vithalprasad Sarda</t>
  </si>
  <si>
    <t>Vithalprasad Mishrilal Sarda</t>
  </si>
  <si>
    <t>Satish Manaklal Sawana</t>
  </si>
  <si>
    <t>Hardik Naanakram Sodhani</t>
  </si>
  <si>
    <t>Harsh Naanakram Sodhani</t>
  </si>
  <si>
    <t>Nanakram Satyanarayan Sodhani</t>
  </si>
  <si>
    <t>Rajesh Ramawatar Sodhani</t>
  </si>
  <si>
    <t>Rishi Dinesh Sodhani</t>
  </si>
  <si>
    <t>Shyam Rajesh Sodhani</t>
  </si>
  <si>
    <t>Dilip Jagdishchandra Somani</t>
  </si>
  <si>
    <t>Jagdishchandra Shivnarayan Somani</t>
  </si>
  <si>
    <t>Rajkumar Jagdishchandra Somani</t>
  </si>
  <si>
    <t>Ramnivas Badrilal Somani</t>
  </si>
  <si>
    <t>Subhash Ramsahay Somani</t>
  </si>
  <si>
    <t>Radheyshyam Bankatlal Soni</t>
  </si>
  <si>
    <t>Jagdish Rameshwarlal Agal</t>
  </si>
  <si>
    <t>Milind Balmukund Agal</t>
  </si>
  <si>
    <t>Ankit Maheshchand Asawa</t>
  </si>
  <si>
    <t>Manish Madangopal Asawa</t>
  </si>
  <si>
    <t>Nandkishore Kanhaiyalal Attal</t>
  </si>
  <si>
    <t>Ramswaroop Jamkulal Bagla</t>
  </si>
  <si>
    <t>Satyanarayan Govardhanlal Bagla</t>
  </si>
  <si>
    <t>Brijmohan Harikishan Bagri</t>
  </si>
  <si>
    <t>Poonamchand Ratanchand Bagri</t>
  </si>
  <si>
    <t>Ravi Shivkumar Bagri</t>
  </si>
  <si>
    <t>Shree Raman Chaturbhugh Bagri</t>
  </si>
  <si>
    <t>Hemantkumar Shyamsundar Bahedia</t>
  </si>
  <si>
    <t>Jayesh Premkishore Baheti</t>
  </si>
  <si>
    <t>Kapil Kasturchand Baheti</t>
  </si>
  <si>
    <t>Nandkishor  Kailashchand  Baheti</t>
  </si>
  <si>
    <t>Jugalkishor Ganpatlal Bajaj</t>
  </si>
  <si>
    <t>Ankit Dwarkadas Baldawa</t>
  </si>
  <si>
    <t>Lalit Purshottam Bang</t>
  </si>
  <si>
    <t>Omprakash Shrivallabh Bang</t>
  </si>
  <si>
    <t>Purshottam R Bang</t>
  </si>
  <si>
    <t>Ravindrakumar Purshottam Bang</t>
  </si>
  <si>
    <t>Sunil Kumar Bangar</t>
  </si>
  <si>
    <t>Shyamlal Kanakmal Bhadada</t>
  </si>
  <si>
    <t>Vaibhav Shyamlal Bhadada</t>
  </si>
  <si>
    <t>Vivek Shyamlal Bhadada</t>
  </si>
  <si>
    <t>Unmesh Shrikant Bhandari</t>
  </si>
  <si>
    <t>Amith Bhagwandas Bharadiya</t>
  </si>
  <si>
    <t>Arun Shreegopal Bhattad</t>
  </si>
  <si>
    <t>Malay Laxminarayan Bhattar</t>
  </si>
  <si>
    <t>Sumit Mohanlal Bhutra</t>
  </si>
  <si>
    <t>Pawan Jeevanmal Bihani</t>
  </si>
  <si>
    <t>Rishbh Rajendrakumar Birla</t>
  </si>
  <si>
    <t>Dilip Chandulal Biyani</t>
  </si>
  <si>
    <t>Mayur Dilip Biyani</t>
  </si>
  <si>
    <t>Naresh Girdhar Biyani</t>
  </si>
  <si>
    <t>Vijaykumar Nathmal Chandak</t>
  </si>
  <si>
    <t>Vivek Ramesh Chechani</t>
  </si>
  <si>
    <t>Neeraj Rajendra Dad</t>
  </si>
  <si>
    <t>Rajesh Rikhabdas Daga</t>
  </si>
  <si>
    <t>Ramdas Girdhardas Daga</t>
  </si>
  <si>
    <t>Rikhabdas Narsinghdas Daga</t>
  </si>
  <si>
    <t>Sandeep Ramdas Daga</t>
  </si>
  <si>
    <t>Suratram Ramjas Dakheda</t>
  </si>
  <si>
    <t>Gopal Makhanlal Damani</t>
  </si>
  <si>
    <t>Ghanshyam Chandmal Darak</t>
  </si>
  <si>
    <t>Lalit Bansilal Dhupad</t>
  </si>
  <si>
    <t>Omprakash Bansilal Dhupad</t>
  </si>
  <si>
    <t>Manoj Nandkishore Falor</t>
  </si>
  <si>
    <t>Sudha Manoj Falor</t>
  </si>
  <si>
    <t>Kamlesh Dineshkumar Gaggar</t>
  </si>
  <si>
    <t>Sanjay Surajmal Gaggar</t>
  </si>
  <si>
    <t>Shivratan Bhanvarlal Gaggar</t>
  </si>
  <si>
    <t>Sunil Jugalkishore Gaggar</t>
  </si>
  <si>
    <t>Satyanarayan Ramchandra Gagrani</t>
  </si>
  <si>
    <t>Gopal Gajadhar Gattani</t>
  </si>
  <si>
    <t>Rajesh Ramnarayan Gattani</t>
  </si>
  <si>
    <t>Vijay Gajadhar Gattani</t>
  </si>
  <si>
    <t>Sumeet Suresh Chandra Gilda</t>
  </si>
  <si>
    <t>Rajnish Sureshchand Godani</t>
  </si>
  <si>
    <t>Krishnagopal Nathulal Inani</t>
  </si>
  <si>
    <t>Sanjay kumar Satyanarayan Inani</t>
  </si>
  <si>
    <t>Anil Bherulal Jagetiya</t>
  </si>
  <si>
    <t>Sandeep Ramakant Jajoo</t>
  </si>
  <si>
    <t>Sanjay Satyanarayan Jajoo</t>
  </si>
  <si>
    <t>Satyanarayan Harnarayanji Jajoo</t>
  </si>
  <si>
    <t>Abhishek Radheshyam Jaju</t>
  </si>
  <si>
    <t>Sarita Avinash Jaju</t>
  </si>
  <si>
    <t>Banwarilal Shivdayal Jethaliya</t>
  </si>
  <si>
    <t>Ajay Satyaprakash Jhawar</t>
  </si>
  <si>
    <t>Durgaprasad Mahavirprasad Jhawar</t>
  </si>
  <si>
    <t>Harish Dineshkumar Jhawar</t>
  </si>
  <si>
    <t>Arpit Jagdish Kabra</t>
  </si>
  <si>
    <t>Ashok Nathmal Kabra</t>
  </si>
  <si>
    <t>Govindlal Brijvallabh Kabra</t>
  </si>
  <si>
    <t>Jagdishchandra Dilsukhrai Kabra</t>
  </si>
  <si>
    <t>Kailash Chandmal Kabra</t>
  </si>
  <si>
    <t>Lalit Sitaram Kabra</t>
  </si>
  <si>
    <t>Nareshkumar Ramchandra Kabra</t>
  </si>
  <si>
    <t>Pawan Chandmal Kabra</t>
  </si>
  <si>
    <t>Prahladrai Banshilal Kabra</t>
  </si>
  <si>
    <t>Pravin Omprakash Kabra</t>
  </si>
  <si>
    <t>Sachin Shyamsunder Kabra</t>
  </si>
  <si>
    <t>Sanjay Madangopal Kabra</t>
  </si>
  <si>
    <t>Shyamsunder Jaikishan Kabra</t>
  </si>
  <si>
    <t>Suresh Chandra Bansilal Kabra</t>
  </si>
  <si>
    <t>Vaibhav Bhagatraj Kabra</t>
  </si>
  <si>
    <t>Vimal Nathmal Kabra</t>
  </si>
  <si>
    <t>Yogendrakumar Nandlal Kabra</t>
  </si>
  <si>
    <t>Rajesh Ramjilal Kalani</t>
  </si>
  <si>
    <t>Purushottam Shreegopal Kalantri</t>
  </si>
  <si>
    <t>Satish Purushottam Kalantri</t>
  </si>
  <si>
    <t>Umesh Purushottam Kalantri</t>
  </si>
  <si>
    <t>Anand Shree Karan Kankani</t>
  </si>
  <si>
    <t>Rajaram Bankatlal Kankani</t>
  </si>
  <si>
    <t>Manish Jaigopal Kasat</t>
  </si>
  <si>
    <t>Niraj Rajesh Khemani</t>
  </si>
  <si>
    <t>Rakesh  Kumar Kogta</t>
  </si>
  <si>
    <t>Vinod Omprakash Kothari</t>
  </si>
  <si>
    <t>Manish Manmal Laddha</t>
  </si>
  <si>
    <t>Praveen Radheshyam Laddha</t>
  </si>
  <si>
    <t>Sachin Sadanand Laddha</t>
  </si>
  <si>
    <t>Rajendra Jamnalal Ladha</t>
  </si>
  <si>
    <t>Murli Radheshyam Lahoti</t>
  </si>
  <si>
    <t>Navneet Harikrishan Lahoti</t>
  </si>
  <si>
    <t>Radheyshyam Sitaram Lahoti</t>
  </si>
  <si>
    <t>Satyendra Kailashchandra Lahoti</t>
  </si>
  <si>
    <t>Yogesh Dinesh Kumar Lahoti</t>
  </si>
  <si>
    <t>Brijmohan Ramgopal Lakhotia</t>
  </si>
  <si>
    <t>Ramesh Shivprasad Lakhotia</t>
  </si>
  <si>
    <t>Shivprasad Faujmal Lakhotia</t>
  </si>
  <si>
    <t>Suryakant Mahavirprasad Lakhotia</t>
  </si>
  <si>
    <t>Rakesh Narayandas Lakhotiya</t>
  </si>
  <si>
    <t>Piyush Maheshkumar LOYA</t>
  </si>
  <si>
    <t>Girdharilal Devikishan Maheshwari</t>
  </si>
  <si>
    <t>Hitesh Jagdishprasad Maheshwari</t>
  </si>
  <si>
    <t>Kaushal Krishnadas Maheshwari</t>
  </si>
  <si>
    <t>Kunjbihari Govind Maheshwari</t>
  </si>
  <si>
    <t>Rajesh Badrilal Maheshwari</t>
  </si>
  <si>
    <t>Rutesh Anantlal Maheshwari</t>
  </si>
  <si>
    <t>Shyam Chandramohan Maheshwari</t>
  </si>
  <si>
    <t>Vinit Rameshchandra Maheshwari</t>
  </si>
  <si>
    <t>Roshanlal Badrilal Maloo</t>
  </si>
  <si>
    <t>Aditya Govind Malpani</t>
  </si>
  <si>
    <t>Chandramohan Raghuveerprasad Malpani</t>
  </si>
  <si>
    <t>Dilip Balkrishna Mandhana</t>
  </si>
  <si>
    <t>Ravi Bansilal Mandovra</t>
  </si>
  <si>
    <t>Rakesh Kumar Madanlal Mandowara</t>
  </si>
  <si>
    <t>Pankaj Satyanrayan Maniar</t>
  </si>
  <si>
    <t>Hanumanprasad Shivraj Maniyar</t>
  </si>
  <si>
    <t>Naval Kamalkishore Maniyar</t>
  </si>
  <si>
    <t>Neeraj Ashok Maniyar</t>
  </si>
  <si>
    <t>Akhilesh Premkishan Mantri</t>
  </si>
  <si>
    <t>Anand Gulabchand Mantri</t>
  </si>
  <si>
    <t>Gulabchand Malchand Mantri</t>
  </si>
  <si>
    <t>Kuldeep Gulabchand Mantri</t>
  </si>
  <si>
    <t>Naresh Rameshwarlal Mantri</t>
  </si>
  <si>
    <t>Rajkumar Ramprasad Mantri</t>
  </si>
  <si>
    <t>Sunil Radheshyam Mantri</t>
  </si>
  <si>
    <t>Ranchhoddas Hariprasad Maru</t>
  </si>
  <si>
    <t>Amit Gokuldas Mohta</t>
  </si>
  <si>
    <t>Anil Bulakidasji Mohta</t>
  </si>
  <si>
    <t>Raju Gwaldas Mohta</t>
  </si>
  <si>
    <t>Sanjeev Purshottam Mohta</t>
  </si>
  <si>
    <t>Rajesh Radheshyam Moondra</t>
  </si>
  <si>
    <t>Balkishan Giriraj Muchhal</t>
  </si>
  <si>
    <t>Ramakant Govardhandas Mundada</t>
  </si>
  <si>
    <t>Anilkumar Shannimal Mundhra</t>
  </si>
  <si>
    <t>Ashok Nooratmal Mundhra</t>
  </si>
  <si>
    <t>Bhawanishankar Radhakishan Mundhra</t>
  </si>
  <si>
    <t>Chandkaran Ladhuram Mundhra</t>
  </si>
  <si>
    <t>Alok Shrikishan Mundra</t>
  </si>
  <si>
    <t>Dinesh Ramrshchandra Mundra</t>
  </si>
  <si>
    <t>Harish Shyamlal Mundra</t>
  </si>
  <si>
    <t>RAJESH KUMAR Mundra</t>
  </si>
  <si>
    <t>Ramesh Shyamsunder Mundra</t>
  </si>
  <si>
    <t>Vijay Natwarlal Mundra</t>
  </si>
  <si>
    <t>Arun Ramdayal Nawal</t>
  </si>
  <si>
    <t>Kishore Ramdayal Nawal</t>
  </si>
  <si>
    <t>Kamlesh Nathulal Nyati</t>
  </si>
  <si>
    <t>Manish Bhagchand Nyati</t>
  </si>
  <si>
    <t>Arvindkumar Basantkumar Pachisia</t>
  </si>
  <si>
    <t>Ashokkumar Basantkumar Pachisia</t>
  </si>
  <si>
    <t>Shivbhagwan Bhairulal Palod</t>
  </si>
  <si>
    <t>Manish Ramdas Patwari</t>
  </si>
  <si>
    <t>Anil Murlidhar Phalod</t>
  </si>
  <si>
    <t>Shyamsunder Mohanlal Phophalia</t>
  </si>
  <si>
    <t>Shaligram Ganpatlal Rander</t>
  </si>
  <si>
    <t>Abhishek Nandkishor Rathi</t>
  </si>
  <si>
    <t>Abhishek Ramesh Chandra Rathi</t>
  </si>
  <si>
    <t>Ajay Bhawanishankar Rathi</t>
  </si>
  <si>
    <t>Gopal Ramniwas Rathi</t>
  </si>
  <si>
    <t>Harshit Jaiprakash Rathi</t>
  </si>
  <si>
    <t>Jayprakash Madanlal Rathi</t>
  </si>
  <si>
    <t>Naresh Gordhan Rathi</t>
  </si>
  <si>
    <t>Pankajkumar Radheshyam Rathi</t>
  </si>
  <si>
    <t>Prakash Girdhardas Rathi</t>
  </si>
  <si>
    <t>Prawal Anandswaroop Rathi</t>
  </si>
  <si>
    <t>Ramchandra Jivanlal Rathi</t>
  </si>
  <si>
    <t>Shivraj Mohanlal Rathi</t>
  </si>
  <si>
    <t>Vishal Vijaykumar Rathi</t>
  </si>
  <si>
    <t>Deepak Rupnarayan Saboo</t>
  </si>
  <si>
    <t>Govindnarayan Shrigopal Saboo</t>
  </si>
  <si>
    <t>Prakash Purshottamlal Saboo</t>
  </si>
  <si>
    <t>Adityakumar Bansilal Samaria</t>
  </si>
  <si>
    <t>Sanjeev Premlal Samariya</t>
  </si>
  <si>
    <t>Giriraj Govindlal Samdani</t>
  </si>
  <si>
    <t>Lakshman Gopaldas Sarda</t>
  </si>
  <si>
    <t>Manish Laxman Sarda</t>
  </si>
  <si>
    <t>Nareshchandra Kailashchandra Sarda</t>
  </si>
  <si>
    <t>Navin Ratanlal Sarda</t>
  </si>
  <si>
    <t>Preet Premswaroop Sikchi</t>
  </si>
  <si>
    <t>Premswaroop Prakashchandra Sikchi</t>
  </si>
  <si>
    <t>Ashish Shivnarayan Sodani</t>
  </si>
  <si>
    <t>Dinesh Banshilal Sodani</t>
  </si>
  <si>
    <t>Bhavaishankar Hariram Sodhani</t>
  </si>
  <si>
    <t>Vishnukumar Mangalchand Sodhani</t>
  </si>
  <si>
    <t>Gopallal Ghisulal Somani</t>
  </si>
  <si>
    <t>Maheshkumar Bansidhar Somani</t>
  </si>
  <si>
    <t>Pankaj Shyam lal Somani</t>
  </si>
  <si>
    <t>Pradeep Suresh Chandra Somani</t>
  </si>
  <si>
    <t>Prahladrai Jugalkishore Somani</t>
  </si>
  <si>
    <t>Prakash Chandra Bhagatram Somani</t>
  </si>
  <si>
    <t>Radheshyam Harakhlal Somani</t>
  </si>
  <si>
    <t>Sanwariya  Radheyshyam Somani</t>
  </si>
  <si>
    <t>Shailash Prahlad Somani</t>
  </si>
  <si>
    <t>Sunil Prahladrai Somani</t>
  </si>
  <si>
    <t>Sunil Radheshyam Somani</t>
  </si>
  <si>
    <t>Suresh Banshidhar Somani</t>
  </si>
  <si>
    <t>Vinay Shailesh Somani</t>
  </si>
  <si>
    <t>Premnarayan Chhogalal Taparia</t>
  </si>
  <si>
    <t>Anuj Krishanchandra Tawani</t>
  </si>
  <si>
    <t>Ajay Bodulal Toshniwal</t>
  </si>
  <si>
    <t>Anil Satyanarayan Toshniwal</t>
  </si>
  <si>
    <t>Dinesh Chandrabhan Toshniwal</t>
  </si>
  <si>
    <t>Gaurishankar Motilal Toshniwal</t>
  </si>
  <si>
    <t>Gopalkishan Madanlalji Toshniwal</t>
  </si>
  <si>
    <t>Kamal Bodulal Toshniwal</t>
  </si>
  <si>
    <t>Pranav Jagdishchandra Toshniwal</t>
  </si>
  <si>
    <t>Sandeep Ghanshyam Toshniwal</t>
  </si>
  <si>
    <t>Parmeshwar Satyanarayan Malpani</t>
  </si>
  <si>
    <t>Ramanuj Ramakishan Soni</t>
  </si>
  <si>
    <t>Sushila Pradeep Kabra</t>
  </si>
  <si>
    <t>Laxmi Subhash Agiwal</t>
  </si>
  <si>
    <t>Shakuntala Bajranglal Maheshwari</t>
  </si>
  <si>
    <t>Anuradha Madanmohan Baheti</t>
  </si>
  <si>
    <t>Kaushalyadevi Dineshkumar Gaggad</t>
  </si>
  <si>
    <t>Kiran Tarachand Bajaj</t>
  </si>
  <si>
    <t>Sheetal Narendra Laddha</t>
  </si>
  <si>
    <t>Vidhi Tarachand Bajaj</t>
  </si>
  <si>
    <t>Shobha Kanhaiyalal Darak</t>
  </si>
  <si>
    <t>Sulochanadevi Sureshkumar Baldawa</t>
  </si>
  <si>
    <t>Manju Jagdishchandra Kabra</t>
  </si>
  <si>
    <t>Aruna Sachin Bangur</t>
  </si>
  <si>
    <t>Chanchal Deepak Rathi</t>
  </si>
  <si>
    <t>Rekha Ramanuj Bhandari</t>
  </si>
  <si>
    <t>Deepika Nilesh Tawari</t>
  </si>
  <si>
    <t>Shradha Ramanuj Bhandari</t>
  </si>
  <si>
    <t>Jyotsna Sohan Sarda</t>
  </si>
  <si>
    <t>Durga Gajanand Bharadia</t>
  </si>
  <si>
    <t>Meenu Lalit Soni</t>
  </si>
  <si>
    <t>Swati Dilip Bharadia</t>
  </si>
  <si>
    <t>Sharmila Dilip Jhawar</t>
  </si>
  <si>
    <t>Kalavati Govind Bhattad</t>
  </si>
  <si>
    <t>Shobha Nikhil Chandak</t>
  </si>
  <si>
    <t>Shantidevi Ramchandra Bhattad</t>
  </si>
  <si>
    <t>Neelam Gourishankar Toshniwal</t>
  </si>
  <si>
    <t>Bharati Vithaldas Bhattar</t>
  </si>
  <si>
    <t>Shobha Sunil Somani</t>
  </si>
  <si>
    <t>Ranu Mahesh Bhattar</t>
  </si>
  <si>
    <t>Jyoti Venkatesh Sarda</t>
  </si>
  <si>
    <t>Veena Kailash Bhattar</t>
  </si>
  <si>
    <t>Pooja Vishnu Kumar Sodhani</t>
  </si>
  <si>
    <t>Aruna Arun BINANI</t>
  </si>
  <si>
    <t>Kavita Sandeep Kabra</t>
  </si>
  <si>
    <t>Devshree Parag BINANI</t>
  </si>
  <si>
    <t>Tulika Arun Binani</t>
  </si>
  <si>
    <t>Pushpa Kamalkishore Biyani</t>
  </si>
  <si>
    <t>Urmila Sushil Kumar Biyani</t>
  </si>
  <si>
    <t>Madhu Mahesh Charkha</t>
  </si>
  <si>
    <t>Pushpa Gopikishan Daga</t>
  </si>
  <si>
    <t>Sakshi Aditya Daga</t>
  </si>
  <si>
    <t>Shashi Devendra Daga</t>
  </si>
  <si>
    <t>Vinadevi Navratan Damani</t>
  </si>
  <si>
    <t>Megha Naresh Dhoot</t>
  </si>
  <si>
    <t>Santosh Suresh Dhoot</t>
  </si>
  <si>
    <t>Deepali Ramavtar Gaggar</t>
  </si>
  <si>
    <t>Dropati Gajanand Gaggar</t>
  </si>
  <si>
    <t>Harshada Alekh Gandhi</t>
  </si>
  <si>
    <t>Pooja Ramesh Gattani</t>
  </si>
  <si>
    <t>Priti Piyush Gattani</t>
  </si>
  <si>
    <t>Shashi Ramesh Gattani</t>
  </si>
  <si>
    <t>Madhu Sampatkumar Jajoo</t>
  </si>
  <si>
    <t>Ranjana Arun Jaju</t>
  </si>
  <si>
    <t>Usha Jugalkishor Jhavar</t>
  </si>
  <si>
    <t>Pinal Pratik Jhawar</t>
  </si>
  <si>
    <t>Shashi Jagdish Jhawar</t>
  </si>
  <si>
    <t>Urmila Biharilal Jhawar</t>
  </si>
  <si>
    <t>Aparna Vrijesh Kabra</t>
  </si>
  <si>
    <t>Ayushi Sunil Kabra</t>
  </si>
  <si>
    <t>Divya Sunil Kabra</t>
  </si>
  <si>
    <t>Kanta Nagarmal Kabra</t>
  </si>
  <si>
    <t>Kusum Naresh Kabra</t>
  </si>
  <si>
    <t>Mangla Murlimanohar Kabra</t>
  </si>
  <si>
    <t>Minal Pradeep Kabra</t>
  </si>
  <si>
    <t>Priya Pradip Kabra</t>
  </si>
  <si>
    <t>Rinku Rajgopal Kabra</t>
  </si>
  <si>
    <t>Rupal Pradip Kabra</t>
  </si>
  <si>
    <t>Surekha Sunil Kabra</t>
  </si>
  <si>
    <t>Sapana Nilesh Kalantri</t>
  </si>
  <si>
    <t>Jyoti Vikas Kasat</t>
  </si>
  <si>
    <t>Sunita Shrikishan Kasat</t>
  </si>
  <si>
    <t>Preeti Ashish Khator</t>
  </si>
  <si>
    <t>Anuradha Mahesh Laddha</t>
  </si>
  <si>
    <t>Nandadevi Shyamsundar Laddha</t>
  </si>
  <si>
    <t>Kanchan Surendra Maheshwari</t>
  </si>
  <si>
    <t>Santosh Anand Maheshwari</t>
  </si>
  <si>
    <t>Sheetal Gajanand Maheshwari</t>
  </si>
  <si>
    <t>Ranjana Sanjay Malpani</t>
  </si>
  <si>
    <t>Rashmi  Gautam  Mandhania</t>
  </si>
  <si>
    <t>Shalini Ratish MOONDRA</t>
  </si>
  <si>
    <t>Anushka Shwetang Murke</t>
  </si>
  <si>
    <t>Jyoti  Suresh Pasari</t>
  </si>
  <si>
    <t>Kavita Dilip Puglia</t>
  </si>
  <si>
    <t>Sushma Ajay Puglia</t>
  </si>
  <si>
    <t>Bhagyashree Akshay Rathi</t>
  </si>
  <si>
    <t>Geeta Amit Rathi</t>
  </si>
  <si>
    <t>Kantadevi Sagarmal Rathi</t>
  </si>
  <si>
    <t>Parvati Jaikishan Rathi</t>
  </si>
  <si>
    <t>Swati Vishnu Rathi</t>
  </si>
  <si>
    <t>Vina Gopal Rathi</t>
  </si>
  <si>
    <t>Ayodhya Ramesh Saboo</t>
  </si>
  <si>
    <t>Veena Mahendrakumar Saboo</t>
  </si>
  <si>
    <t>Ruchi Pankaj Sodhani</t>
  </si>
  <si>
    <t>Kaushlya Omprakash Somani</t>
  </si>
  <si>
    <t>Samriddhi Nishant Soni</t>
  </si>
  <si>
    <t>Shweta Ashwin Soni</t>
  </si>
  <si>
    <t>Shobha Vijay Taparia</t>
  </si>
  <si>
    <t>Vandana Satish Taparia</t>
  </si>
  <si>
    <t>Vimala Rameshchandra Tawari</t>
  </si>
  <si>
    <t>Anju Sunil Toshniwal</t>
  </si>
  <si>
    <t>Rajshree Rajendraprasad Agiwal</t>
  </si>
  <si>
    <t>Kanchan Atul Bhutada</t>
  </si>
  <si>
    <t>Sushma Milind Biyani</t>
  </si>
  <si>
    <t>Ajita Saurabh Chandak</t>
  </si>
  <si>
    <t>Kalpanadevi Shankarlal Chandak</t>
  </si>
  <si>
    <t>Madhu Balmukund Dakhera</t>
  </si>
  <si>
    <t>Anushree Anand Damani</t>
  </si>
  <si>
    <t>Bimala Shyamlal Damani</t>
  </si>
  <si>
    <t>Priyanka Sarvottam Damani</t>
  </si>
  <si>
    <t>Pushpa Ramlal Gattani</t>
  </si>
  <si>
    <t>Ganga Navalkishor Jakhotia</t>
  </si>
  <si>
    <t>Sheetal Rajesh Jakhotiya</t>
  </si>
  <si>
    <t>Arti Vishnu Kabra</t>
  </si>
  <si>
    <t>Madhuri Gautam Kothari</t>
  </si>
  <si>
    <t>Diti Ravi LOHIA</t>
  </si>
  <si>
    <t>Kiran Gaurishankar Lohia</t>
  </si>
  <si>
    <t>Leeladevi Kamalkishore Lohia</t>
  </si>
  <si>
    <t>Madhuri Mahesh Lohia</t>
  </si>
  <si>
    <t>Poonam Kamalkishore LOHIA</t>
  </si>
  <si>
    <t>Surbhi Rohit Lohia</t>
  </si>
  <si>
    <t>Manju Sushil Malpani</t>
  </si>
  <si>
    <t>Mansi Suyog Mundada</t>
  </si>
  <si>
    <t>Jankidevi Chandratan Rathi</t>
  </si>
  <si>
    <t>Rukhmani Jasraj Rathi</t>
  </si>
  <si>
    <t>Varsha Nitendra Rathi</t>
  </si>
  <si>
    <t>Samiksha Vinod Sarda</t>
  </si>
  <si>
    <t>Sangeeta Tarun Sarda</t>
  </si>
  <si>
    <t>Suryakanta Kalyanmal Sarda</t>
  </si>
  <si>
    <t>Vandana Abhishek Somani</t>
  </si>
  <si>
    <t>Veena Narendra Soni</t>
  </si>
  <si>
    <t>Mukta Chandan Bihani</t>
  </si>
  <si>
    <t>Chandradevi Narayandas Daga</t>
  </si>
  <si>
    <t>Indradevi Bankatlal Laddha</t>
  </si>
  <si>
    <t>Pratibha Mukesh Laddha</t>
  </si>
  <si>
    <t>Pushpadevi Rajkumar Baheti</t>
  </si>
  <si>
    <t>Sadhana Satish Bajaj</t>
  </si>
  <si>
    <t>Pushpa Kamalkishore Bang</t>
  </si>
  <si>
    <t>Sharda Laxminarayan Bhattad</t>
  </si>
  <si>
    <t>Jayashree Subhash Gandhi</t>
  </si>
  <si>
    <t>Vandana Vikas Hurkat</t>
  </si>
  <si>
    <t>Sarla Laxminiwas Jaju</t>
  </si>
  <si>
    <t>Sunita Rajesh Jakhotia</t>
  </si>
  <si>
    <t>Kanta Kamal Kabra</t>
  </si>
  <si>
    <t>Hemlata Dinesh Kacholia</t>
  </si>
  <si>
    <t>Abha Damodar Karwa</t>
  </si>
  <si>
    <t>Shilpa Adarsh Karwa</t>
  </si>
  <si>
    <t>Kavita Manoj Laddha</t>
  </si>
  <si>
    <t>Prerna Manoj Laddha</t>
  </si>
  <si>
    <t>Rupali Pushpak Laddha</t>
  </si>
  <si>
    <t>Chetna Harshal Lathi</t>
  </si>
  <si>
    <t>Priyanka Sunil Maheshwari</t>
  </si>
  <si>
    <t>Laxmidevi Sitaram Malani</t>
  </si>
  <si>
    <t>Varsha Anupam Malpani</t>
  </si>
  <si>
    <t>Kiran Manish Mandhania</t>
  </si>
  <si>
    <t>Pushplata Damodarlal Mandhania</t>
  </si>
  <si>
    <t>Anjana Ashish Mandhnia</t>
  </si>
  <si>
    <t>Yashodadevi Sunderlal Mohatta</t>
  </si>
  <si>
    <t>Chandrika Ramesh Mundhra</t>
  </si>
  <si>
    <t>Saroj Gokuldas Mundhra</t>
  </si>
  <si>
    <t>Ekta Sanjay Mundra</t>
  </si>
  <si>
    <t>Janki Jagdishchand Rathi</t>
  </si>
  <si>
    <t>Monika Mahesh Rathi</t>
  </si>
  <si>
    <t>Sunita Lalit Rathi</t>
  </si>
  <si>
    <t>Sunita Madhusudan Sarda</t>
  </si>
  <si>
    <t>Sangeeta Vinaykumar Sharda</t>
  </si>
  <si>
    <t>Jyoti Nanakram Sodhani</t>
  </si>
  <si>
    <t>Minal Rajesh Sodhani</t>
  </si>
  <si>
    <t>Rishika Dinesh Sodhani</t>
  </si>
  <si>
    <t>Seema Dinesh Sodhani</t>
  </si>
  <si>
    <t>Yashodadevi Ramparmeshwar Sodhani</t>
  </si>
  <si>
    <t>Tanushree Bagree Toshniwal</t>
  </si>
  <si>
    <t>Neeru Manish Asawa</t>
  </si>
  <si>
    <t>Kalpana Sanjeev Attal</t>
  </si>
  <si>
    <t>Seema Satyanarayan Bagla</t>
  </si>
  <si>
    <t>Radha Shreekumar Bagri</t>
  </si>
  <si>
    <t>Rupa  Ravi Bagri</t>
  </si>
  <si>
    <t>Deepa Anil Baheti</t>
  </si>
  <si>
    <t>Sunita Dilipkumar Baheti</t>
  </si>
  <si>
    <t>Manju Lalitkumar Bang</t>
  </si>
  <si>
    <t>Manju Omprakash Bang</t>
  </si>
  <si>
    <t>Shruti Lalit Bang</t>
  </si>
  <si>
    <t>Vaijayanti Ravindra Bang</t>
  </si>
  <si>
    <t>Kusum Shyamlal Bhadada</t>
  </si>
  <si>
    <t>Jyoti Deepak Bhala</t>
  </si>
  <si>
    <t>Gayatri Narendrakumar Chitlangia</t>
  </si>
  <si>
    <t>Sushila Ramdas Daga</t>
  </si>
  <si>
    <t>Kunjlata Sushilkumar Damani</t>
  </si>
  <si>
    <t>Meena Manish Gattani</t>
  </si>
  <si>
    <t>Premlata Banwarilal Jethaliya</t>
  </si>
  <si>
    <t>Krishna Prahladrai Kabra</t>
  </si>
  <si>
    <t>Preeti Suhas Kabra</t>
  </si>
  <si>
    <t>Ranu Arun Kabra</t>
  </si>
  <si>
    <t>Saroj Gokul Kabra</t>
  </si>
  <si>
    <t>Sneha Sanjay Kabra</t>
  </si>
  <si>
    <t>Komal Arpit Kalani</t>
  </si>
  <si>
    <t>Vidhya Rajaram Kankani</t>
  </si>
  <si>
    <t>Kala Jaygopal Kasat</t>
  </si>
  <si>
    <t>Suman Rajesh Kothari</t>
  </si>
  <si>
    <t>Kamala Dinesh Lahoti</t>
  </si>
  <si>
    <t>Lalita Naresh Maheshwari</t>
  </si>
  <si>
    <t>Sunita Kunjbihari Maheshwari</t>
  </si>
  <si>
    <t>Anita Avinash Mantri</t>
  </si>
  <si>
    <t>Manju Sampatkumar Mantri</t>
  </si>
  <si>
    <t>Purva Krishna Mantri</t>
  </si>
  <si>
    <t>Devki Durgesh Marda</t>
  </si>
  <si>
    <t>Jaishree Anil Mohta</t>
  </si>
  <si>
    <t>Reena Vijaykumar Mundada</t>
  </si>
  <si>
    <t>Kalpita Anand Mundhra</t>
  </si>
  <si>
    <t>Aruna Suresh Parwal</t>
  </si>
  <si>
    <t>Shanta Murlidhar Phalod</t>
  </si>
  <si>
    <t>Shriya Anil Phalod</t>
  </si>
  <si>
    <t>Shashi Sushil Phophalia</t>
  </si>
  <si>
    <t>Aarti Vishal Rathi</t>
  </si>
  <si>
    <t>Archana Prakash Rathi</t>
  </si>
  <si>
    <t>Rajkumari Girdhardas Rathi</t>
  </si>
  <si>
    <t>Uma Manish Rathi</t>
  </si>
  <si>
    <t>Vandana Prawal Rathi</t>
  </si>
  <si>
    <t>Sanjana Abhishek Saboo</t>
  </si>
  <si>
    <t>Sudhadevi Govindnaryan Saboo</t>
  </si>
  <si>
    <t>Veena Premswaroop Sikchi</t>
  </si>
  <si>
    <t>Neelam Dinesh Sodani</t>
  </si>
  <si>
    <t>Akanksha Rahul Somani</t>
  </si>
  <si>
    <t>Jamnadevi Prahladrai Somani</t>
  </si>
  <si>
    <t>Status</t>
  </si>
  <si>
    <t>Ronak karwa</t>
  </si>
  <si>
    <t>Ramesh Mundhra</t>
  </si>
  <si>
    <t># OF People</t>
  </si>
  <si>
    <t>Mob</t>
  </si>
  <si>
    <t>Name</t>
  </si>
  <si>
    <t>Confirmed Presence ✅</t>
  </si>
  <si>
    <t>Not Reachable</t>
  </si>
  <si>
    <t>Maybe Attending 🤔</t>
  </si>
  <si>
    <t>Not Coming 🚫</t>
  </si>
  <si>
    <t>Volunteer Name</t>
  </si>
  <si>
    <t>Person Contacted</t>
  </si>
  <si>
    <t>Phone</t>
  </si>
  <si>
    <t>Samiti Member Phone Number</t>
  </si>
  <si>
    <t>Registered</t>
  </si>
  <si>
    <t>Timestamp</t>
  </si>
  <si>
    <t>Email Address</t>
  </si>
  <si>
    <t>Phone Number</t>
  </si>
  <si>
    <t>Call Status ?</t>
  </si>
  <si>
    <t>Remarks</t>
  </si>
  <si>
    <t>Out of station</t>
  </si>
  <si>
    <t>Phone Busy</t>
  </si>
  <si>
    <t>Not received</t>
  </si>
  <si>
    <t>Switch off mobile</t>
  </si>
  <si>
    <t>Yugalji mobile no. Changed</t>
  </si>
  <si>
    <t>Wrong no</t>
  </si>
  <si>
    <t>Invalid no</t>
  </si>
  <si>
    <t>No reply</t>
  </si>
  <si>
    <t>Going to Rajasthan</t>
  </si>
  <si>
    <t>Number not Valid</t>
  </si>
  <si>
    <t>5 Members</t>
  </si>
  <si>
    <t>Didn’t pick up</t>
  </si>
  <si>
    <t>Didn’t pickup</t>
  </si>
  <si>
    <t>Call going to Voicemail</t>
  </si>
  <si>
    <t>Travelling</t>
  </si>
  <si>
    <t>Can't receive incoming calls</t>
  </si>
  <si>
    <t>Didn't pick up phone</t>
  </si>
  <si>
    <t>Exams going on</t>
  </si>
  <si>
    <t>Nikhilji Chandak</t>
  </si>
  <si>
    <t>3 adult +1 child ll join our program</t>
  </si>
  <si>
    <t>2 people have confirmed</t>
  </si>
  <si>
    <t>Confirmed for 3 people. He is available for any volunteer activities.</t>
  </si>
  <si>
    <t>Phone no is not in use</t>
  </si>
  <si>
    <t>Going to attend a marriage function</t>
  </si>
  <si>
    <t>Phone Number Formula</t>
  </si>
  <si>
    <r>
      <t xml:space="preserve">👥 </t>
    </r>
    <r>
      <rPr>
        <b/>
        <sz val="10"/>
        <color rgb="FFFFFFFF"/>
        <rFont val="Roboto"/>
      </rPr>
      <t>How many members from your family will be attending?</t>
    </r>
    <r>
      <rPr>
        <sz val="10"/>
        <color rgb="FFFFFFFF"/>
        <rFont val="Roboto"/>
      </rPr>
      <t xml:space="preserve"> 🎉 </t>
    </r>
    <r>
      <rPr>
        <i/>
        <sz val="10"/>
        <color rgb="FFFFFFFF"/>
        <rFont val="Roboto"/>
      </rPr>
      <t>(Including yourself!)</t>
    </r>
    <r>
      <rPr>
        <sz val="10"/>
        <color rgb="FFFFFFFF"/>
        <rFont val="Roboto"/>
      </rPr>
      <t xml:space="preserve">
आपके परिवार से कितने सदस्य उपस्थित रहेंगे? (स्वयं को मिलाकर!)</t>
    </r>
  </si>
  <si>
    <r>
      <t xml:space="preserve">📱 </t>
    </r>
    <r>
      <rPr>
        <b/>
        <i/>
        <sz val="10"/>
        <color rgb="FFFFFFFF"/>
        <rFont val="Roboto"/>
      </rPr>
      <t>WhatsApp Number</t>
    </r>
    <r>
      <rPr>
        <b/>
        <sz val="10"/>
        <color rgb="FFFFFFFF"/>
        <rFont val="Roboto"/>
      </rPr>
      <t xml:space="preserve"> </t>
    </r>
    <r>
      <rPr>
        <sz val="10"/>
        <color rgb="FFFFFFFF"/>
        <rFont val="Roboto"/>
      </rPr>
      <t>📞</t>
    </r>
  </si>
  <si>
    <r>
      <t xml:space="preserve">📝 </t>
    </r>
    <r>
      <rPr>
        <b/>
        <sz val="10"/>
        <color rgb="FFFFFFFF"/>
        <rFont val="Roboto"/>
      </rPr>
      <t>Your Name</t>
    </r>
  </si>
  <si>
    <r>
      <t xml:space="preserve">📍 </t>
    </r>
    <r>
      <rPr>
        <b/>
        <sz val="10"/>
        <color rgb="FFFFFFFF"/>
        <rFont val="Roboto"/>
      </rPr>
      <t>Your Location</t>
    </r>
    <r>
      <rPr>
        <sz val="10"/>
        <color rgb="FFFFFFFF"/>
        <rFont val="Roboto"/>
      </rPr>
      <t xml:space="preserve">🌍 </t>
    </r>
  </si>
  <si>
    <t>UPI Transaction ID (Last 5 Digits please)</t>
  </si>
  <si>
    <t>Column 7</t>
  </si>
  <si>
    <t>Registration ID</t>
  </si>
  <si>
    <t>ronakkarwa@gmail.com</t>
  </si>
  <si>
    <t>Kandivali - Malad Area</t>
  </si>
  <si>
    <t>REG-2025-00115</t>
  </si>
  <si>
    <t>rameshmundhra123@gmail.com</t>
  </si>
  <si>
    <t>REG-2025-00116</t>
  </si>
  <si>
    <t>rslahoti1@gmail.com</t>
  </si>
  <si>
    <t>Radheshyam Lahoti</t>
  </si>
  <si>
    <t>REG-2025-00117</t>
  </si>
  <si>
    <t>sarlatoshniwal63@gmail.com</t>
  </si>
  <si>
    <t>Sarla Toshniwal</t>
  </si>
  <si>
    <t>REG-2025-00118</t>
  </si>
  <si>
    <t>dbaocr@gmail.com</t>
  </si>
  <si>
    <t>Ravi Soni</t>
  </si>
  <si>
    <t>REG-2025-00119</t>
  </si>
  <si>
    <t>mayurbiyani2003@gmail.com</t>
  </si>
  <si>
    <t>REG-2025-00120</t>
  </si>
  <si>
    <t>umeshkalantri@gmail.com</t>
  </si>
  <si>
    <t>Purushottam Kalantri</t>
  </si>
  <si>
    <t>REG-2025-00121</t>
  </si>
  <si>
    <t>meghmasti@gmail.com</t>
  </si>
  <si>
    <t>Naresh Dhoot</t>
  </si>
  <si>
    <t>REG-2025-00122</t>
  </si>
  <si>
    <t>rinkukabra74@gmail.com</t>
  </si>
  <si>
    <t>REG-2025-00123</t>
  </si>
  <si>
    <t>ram.gaggar@gmail.com</t>
  </si>
  <si>
    <t>Ramavtar Gaggar</t>
  </si>
  <si>
    <t>REG-2025-00124</t>
  </si>
  <si>
    <t>priyankapkakani@gmail.com</t>
  </si>
  <si>
    <t>Priyanka singhi</t>
  </si>
  <si>
    <t>REG-2025-00125</t>
  </si>
  <si>
    <t>rzanwar103@gmail.com</t>
  </si>
  <si>
    <t>Rohit Zanwar</t>
  </si>
  <si>
    <t>REG-2025-00126</t>
  </si>
  <si>
    <t>shilpipolymers@gmail.com</t>
  </si>
  <si>
    <t>PUSHKAR SOHANLAL MANTRI</t>
  </si>
  <si>
    <t>REG-2025-00127</t>
  </si>
  <si>
    <t>maheshlohia@gmail.com</t>
  </si>
  <si>
    <t>Mahesh Lohia</t>
  </si>
  <si>
    <t>REG-2025-00128</t>
  </si>
  <si>
    <t>h.s.bahedia@gmail.com</t>
  </si>
  <si>
    <t>Hemant Bahedia</t>
  </si>
  <si>
    <t>REG-2025-00129</t>
  </si>
  <si>
    <t>akshaymahesh10@gmail.com</t>
  </si>
  <si>
    <t>Anuradha Laddha</t>
  </si>
  <si>
    <t>REG-2025-00130</t>
  </si>
  <si>
    <t>anjumaheshwari70@gmail.com</t>
  </si>
  <si>
    <t>Anju Maheshwari</t>
  </si>
  <si>
    <t>REG-2025-00131</t>
  </si>
  <si>
    <t>pankajmrathi1@gmail.com</t>
  </si>
  <si>
    <t>Pankaj rathi</t>
  </si>
  <si>
    <t>REG-2025-00132</t>
  </si>
  <si>
    <t>cheerspallavi@gmail.com</t>
  </si>
  <si>
    <t>Pallavi Kasat</t>
  </si>
  <si>
    <t>REG-2025-00133</t>
  </si>
  <si>
    <t>Incorrect number</t>
  </si>
  <si>
    <t>Change the contact number</t>
  </si>
  <si>
    <t>Mobile switch off number changed</t>
  </si>
  <si>
    <t>3 member</t>
  </si>
  <si>
    <t>Sure 3 members</t>
  </si>
  <si>
    <t>Registration done</t>
  </si>
  <si>
    <t>Wrong number</t>
  </si>
  <si>
    <t>Vijay rathi</t>
  </si>
  <si>
    <t>Yes</t>
  </si>
  <si>
    <t>3 members</t>
  </si>
  <si>
    <t>Out of station delhi</t>
  </si>
  <si>
    <t>2 people may attend</t>
  </si>
  <si>
    <t>Didnt attend call. Have dropped a message</t>
  </si>
  <si>
    <t>4 confirmed presence</t>
  </si>
  <si>
    <t>Duplicate</t>
  </si>
  <si>
    <t>Ravindra Bhattad</t>
  </si>
  <si>
    <t>Shri Avinash Mantri</t>
  </si>
  <si>
    <t>Address</t>
  </si>
  <si>
    <t>31/10/2025 11:07:53</t>
  </si>
  <si>
    <t>ronak.karwa@lendenclub.com</t>
  </si>
  <si>
    <t>31/10/2025 11:24:48</t>
  </si>
  <si>
    <t>toshniwalvishnu8@gmail.com</t>
  </si>
  <si>
    <t>31/10/2025 12:35:57</t>
  </si>
  <si>
    <t>raunakrathi20@gmail.com</t>
  </si>
  <si>
    <t>31/10/2025 12:46:30</t>
  </si>
  <si>
    <t>dineshkabra200@gmail.com</t>
  </si>
  <si>
    <t>31/10/2025 17:18:24</t>
  </si>
  <si>
    <t>dhootkhush@gmail.com</t>
  </si>
  <si>
    <t>31/10/2025 17:33:46</t>
  </si>
  <si>
    <t>rupesh.mailbox@gmail.com</t>
  </si>
  <si>
    <t>31/10/2025 17:39:44</t>
  </si>
  <si>
    <t>malaniyash2806@gmail.com</t>
  </si>
  <si>
    <t>31/10/2025 20:26:47</t>
  </si>
  <si>
    <t>tawari.nilesh2@gmail.com</t>
  </si>
  <si>
    <t>31/10/2025 22:34:32</t>
  </si>
  <si>
    <t>caabhishekrathi19@gmail.com</t>
  </si>
  <si>
    <t>31/10/2025 22:38:58</t>
  </si>
  <si>
    <t>khushbu.malpani@gmail.com</t>
  </si>
  <si>
    <t>31/10/2025 23:23:58</t>
  </si>
  <si>
    <t>ramanuj.in@gmail.com</t>
  </si>
  <si>
    <t>casanwariya@gmail.com</t>
  </si>
  <si>
    <t>rtrnavneetkabra@gmail.com</t>
  </si>
  <si>
    <t>kkankkbr2025@gmail.com</t>
  </si>
  <si>
    <t>haribhootra@gmail.com</t>
  </si>
  <si>
    <t>gaggarsratan@gmail.com</t>
  </si>
  <si>
    <t>neelam.toshniwal@gmail.com</t>
  </si>
  <si>
    <t>sumitssomani@gmail.com</t>
  </si>
  <si>
    <t>rathijp56@gmail.com</t>
  </si>
  <si>
    <t>ramesh.mundra1@gmail.com</t>
  </si>
  <si>
    <t>rishabh.syn@gmail.com</t>
  </si>
  <si>
    <t>ajbhutada@gmail.com</t>
  </si>
  <si>
    <t>arcsinghi@gmail.com</t>
  </si>
  <si>
    <t>magicaltouchmumbai@gmail.com</t>
  </si>
  <si>
    <t>jsawna20@gmail.com</t>
  </si>
  <si>
    <t>impt85@gmail.com</t>
  </si>
  <si>
    <t>deepaknawal@rediffmail.com</t>
  </si>
  <si>
    <t>jhanwarajay@gmail.com</t>
  </si>
  <si>
    <t>shailendra@belisharma.in</t>
  </si>
  <si>
    <t>dimpusher@gmail.com</t>
  </si>
  <si>
    <t>dilipsjt@gmail.com</t>
  </si>
  <si>
    <t>ankit.urmil@gmail.com</t>
  </si>
  <si>
    <t>ankitd70@gmail.com</t>
  </si>
  <si>
    <t>biyanipankaj@gmail.com</t>
  </si>
  <si>
    <t>Nidhi taparia</t>
  </si>
  <si>
    <t>Vishnu Toshniwal</t>
  </si>
  <si>
    <t>Raunak Rathi</t>
  </si>
  <si>
    <t>Dinesh Hari Kabra</t>
  </si>
  <si>
    <t>Santosh Dhoot</t>
  </si>
  <si>
    <t>Rupesh Somani</t>
  </si>
  <si>
    <t>Yash Malani</t>
  </si>
  <si>
    <t>Nilesh Tawari</t>
  </si>
  <si>
    <t>Abhishek Rathi</t>
  </si>
  <si>
    <t>Khushbu bhala</t>
  </si>
  <si>
    <t>Ramanuj Dad</t>
  </si>
  <si>
    <t>Sanwariya Somani</t>
  </si>
  <si>
    <t>Naresh Kabra</t>
  </si>
  <si>
    <t>Ankit Kabra</t>
  </si>
  <si>
    <t>Harish Bhootra</t>
  </si>
  <si>
    <t>Shivratan gaggar</t>
  </si>
  <si>
    <t>Neelam Toshniwal</t>
  </si>
  <si>
    <t>Sumit Somani</t>
  </si>
  <si>
    <t>Jai Prakash Rathi</t>
  </si>
  <si>
    <t>Ramesh Mundra</t>
  </si>
  <si>
    <t>Nandkishore Attal</t>
  </si>
  <si>
    <t>Atul Bhutada</t>
  </si>
  <si>
    <t>Archana Singhi</t>
  </si>
  <si>
    <t>Yogaysh Lahoti</t>
  </si>
  <si>
    <t>Jaishree Sawna</t>
  </si>
  <si>
    <t>PREM</t>
  </si>
  <si>
    <t>Deepak nawal</t>
  </si>
  <si>
    <t>Ajay Jhanwar</t>
  </si>
  <si>
    <t>Shailendra Beli</t>
  </si>
  <si>
    <t>Ujwala gattani</t>
  </si>
  <si>
    <t>Dilip Maheshwari</t>
  </si>
  <si>
    <t>Ankit Rathi</t>
  </si>
  <si>
    <t>Ankit Dhoot</t>
  </si>
  <si>
    <t>Rupali Biyani</t>
  </si>
  <si>
    <t>Other</t>
  </si>
  <si>
    <t>31/10/2025 11:45:03</t>
  </si>
  <si>
    <t>ratishmoondra@gmail.com</t>
  </si>
  <si>
    <t>Not on whatsapp</t>
  </si>
  <si>
    <t>31/10/2025 11:49:22</t>
  </si>
  <si>
    <t>ratishmoondra2025@gmail.com</t>
  </si>
  <si>
    <t>31/10/2025 11:53:47</t>
  </si>
  <si>
    <t>31/10/2025 21:44:16</t>
  </si>
  <si>
    <t>nikechandak@gmail.com</t>
  </si>
  <si>
    <t>Confirmed Presence</t>
  </si>
  <si>
    <t>2 member ll join</t>
  </si>
  <si>
    <t>31/10/2025 21:51:19</t>
  </si>
  <si>
    <t>31/10/2025 21:53:46</t>
  </si>
  <si>
    <t>3 member ll join</t>
  </si>
  <si>
    <t>31/10/2025 21:56:58</t>
  </si>
  <si>
    <t>No is not taking incoming calls</t>
  </si>
  <si>
    <t>31/10/2025 21:57:30</t>
  </si>
  <si>
    <t>31/10/2025 22:02:07</t>
  </si>
  <si>
    <t>3 people have confirmed</t>
  </si>
  <si>
    <t>31/10/2025 22:02:55</t>
  </si>
  <si>
    <t>31/10/2025 22:08:42</t>
  </si>
  <si>
    <t>4 people have confirmed</t>
  </si>
  <si>
    <t>31/10/2025 22:10:15</t>
  </si>
  <si>
    <t>Not Coming</t>
  </si>
  <si>
    <t>31/10/2025 22:18:00</t>
  </si>
  <si>
    <t>ravibhattad@gmail.com</t>
  </si>
  <si>
    <t>Already Registered</t>
  </si>
  <si>
    <t>onlinevdarak@gmail.com</t>
  </si>
  <si>
    <t>Not in town</t>
  </si>
  <si>
    <t>jagdish.lahoti92@gmail.com</t>
  </si>
  <si>
    <t>arkmantri@gmail.com</t>
  </si>
  <si>
    <t>Number doesn't exist</t>
  </si>
  <si>
    <t>May be Attending</t>
  </si>
  <si>
    <t>Will let us know</t>
  </si>
  <si>
    <t>Will register</t>
  </si>
  <si>
    <t>khushboodhoot22@gmail.com</t>
  </si>
  <si>
    <t>Incorrect phone no. Given</t>
  </si>
  <si>
    <t>trysachin@gmail.com</t>
  </si>
  <si>
    <t>Wrong Number</t>
  </si>
  <si>
    <t>Out of town</t>
  </si>
  <si>
    <t>Will decide at last moment</t>
  </si>
  <si>
    <t>Not answering call</t>
  </si>
  <si>
    <t>Shifted to Pune</t>
  </si>
  <si>
    <t>Already registered</t>
  </si>
  <si>
    <t>Will ask their children to register</t>
  </si>
  <si>
    <t>Rajendra Ji</t>
  </si>
  <si>
    <t>As per list</t>
  </si>
  <si>
    <t>Not coming - Not in mumbai</t>
  </si>
  <si>
    <t>caprachirathi@gmail.com</t>
  </si>
  <si>
    <t>He mentioned that it is done ✅</t>
  </si>
  <si>
    <t>He said he will do the registration and wanted to upload the child's marksheet for 10 th std</t>
  </si>
  <si>
    <t>Busy with some other RSS event.</t>
  </si>
  <si>
    <t>Death at home in last 5 days</t>
  </si>
  <si>
    <t>3-4 people and son's marksheet submitted by him</t>
  </si>
  <si>
    <t>He is out of town, wife might attend.</t>
  </si>
  <si>
    <t>Number invalid</t>
  </si>
  <si>
    <t>If other program is cancelled, they might attend.</t>
  </si>
  <si>
    <t>Daughter in law might attend</t>
  </si>
  <si>
    <t>Not in Mumbai</t>
  </si>
  <si>
    <t>Call not picked</t>
  </si>
  <si>
    <t>Seems incorrect number</t>
  </si>
  <si>
    <t>Number out of service</t>
  </si>
  <si>
    <t>Not coming</t>
  </si>
  <si>
    <t>akajainca@gmail.com</t>
  </si>
  <si>
    <t>vipin0785@gmail.com</t>
  </si>
  <si>
    <t>Not sure. If free 2 would be attending</t>
  </si>
  <si>
    <t>jyotis1311@gmail.com</t>
  </si>
  <si>
    <t>Not picked up</t>
  </si>
  <si>
    <t>On Voice mail</t>
  </si>
  <si>
    <t>Coming</t>
  </si>
  <si>
    <t>Have a family function on same day</t>
  </si>
  <si>
    <t>Said will be attending</t>
  </si>
  <si>
    <t>No marksheets</t>
  </si>
  <si>
    <t>rassawa@gmail.com</t>
  </si>
  <si>
    <t>Issue in submitting Marksheet</t>
  </si>
  <si>
    <t>Busy in pune, will try to attend if possible</t>
  </si>
  <si>
    <t>Shifted to Jamnagar Gujarat. Please remove their name for future calling lists</t>
  </si>
  <si>
    <t>Wrong nunber</t>
  </si>
  <si>
    <t>Number not available</t>
  </si>
  <si>
    <t>Number does not exist. Needs correction/revision in calling list</t>
  </si>
  <si>
    <t>Will try again</t>
  </si>
  <si>
    <t>Will be attending</t>
  </si>
  <si>
    <t>Unsure if he would be coming</t>
  </si>
  <si>
    <t>Phone not reachable</t>
  </si>
  <si>
    <t>Did not attending the call</t>
  </si>
  <si>
    <t>Not reachable</t>
  </si>
  <si>
    <t>Not available</t>
  </si>
  <si>
    <t>Not sure if he would be able to attend</t>
  </si>
  <si>
    <t>caananddaliya@gmail.com</t>
  </si>
  <si>
    <t>Did not pick the call</t>
  </si>
  <si>
    <t>Incoming call not active</t>
  </si>
  <si>
    <t>Will confirm in few days</t>
  </si>
  <si>
    <t>2 Confirmation</t>
  </si>
  <si>
    <t>Will confirm soon</t>
  </si>
  <si>
    <t>Switch off</t>
  </si>
  <si>
    <t>swatichandak90@gmail.com</t>
  </si>
  <si>
    <t>Will be out of station that time</t>
  </si>
  <si>
    <t>prdhoot@gmail.com</t>
  </si>
  <si>
    <t>said will register</t>
  </si>
  <si>
    <t>phone is with some other person</t>
  </si>
  <si>
    <t>phone not picking</t>
  </si>
  <si>
    <t>phone switched off</t>
  </si>
  <si>
    <t>shifted to lower parel</t>
  </si>
  <si>
    <t>not in mumbai</t>
  </si>
  <si>
    <t>invalid number</t>
  </si>
  <si>
    <t>veenasarda20@gmail.com</t>
  </si>
  <si>
    <t>Veena Sarda</t>
  </si>
  <si>
    <t>sagar.bhattad066@gmail.com</t>
  </si>
  <si>
    <t>Registered for 2</t>
  </si>
  <si>
    <t>Registered for 1</t>
  </si>
  <si>
    <t>soniminu71@gmail.com</t>
  </si>
  <si>
    <t>Email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</si>
</sst>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\ hh:mm:ss\ AM/PM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434343"/>
      <name val="Roboto"/>
    </font>
    <font>
      <sz val="10"/>
      <color rgb="FFFFFFFF"/>
      <name val="Roboto"/>
    </font>
    <font>
      <sz val="10"/>
      <color theme="1"/>
      <name val="Arial"/>
      <family val="2"/>
    </font>
    <font>
      <b/>
      <sz val="10"/>
      <color rgb="FFFFFFFF"/>
      <name val="Roboto"/>
    </font>
    <font>
      <i/>
      <sz val="10"/>
      <color rgb="FFFFFFFF"/>
      <name val="Roboto"/>
    </font>
    <font>
      <b/>
      <i/>
      <sz val="10"/>
      <color rgb="FFFFFFFF"/>
      <name val="Roboto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5B3F86"/>
        <bgColor indexed="64"/>
      </patternFill>
    </fill>
  </fills>
  <borders count="2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442F65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F8F9FA"/>
      </bottom>
      <diagonal/>
    </border>
    <border>
      <left style="medium">
        <color rgb="FFCCCCCC"/>
      </left>
      <right/>
      <top/>
      <bottom/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FFFFFF"/>
      </left>
      <right style="medium">
        <color rgb="FF442F65"/>
      </right>
      <top style="medium">
        <color rgb="FF442F65"/>
      </top>
      <bottom style="medium">
        <color rgb="FFF8F9FA"/>
      </bottom>
      <diagonal/>
    </border>
    <border>
      <left style="medium">
        <color rgb="FFF8F9FA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442F65"/>
      </right>
      <top style="medium">
        <color rgb="FFCCCCCC"/>
      </top>
      <bottom style="medium">
        <color rgb="FF442F65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76">
    <xf numFmtId="0" fontId="0" fillId="0" borderId="0" xfId="0"/>
    <xf numFmtId="0" fontId="3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0" fontId="3" fillId="3" borderId="4" xfId="0" applyFont="1" applyFill="1" applyBorder="1" applyAlignment="1">
      <alignment horizontal="right" vertical="center" wrapText="1"/>
    </xf>
    <xf numFmtId="0" fontId="3" fillId="3" borderId="4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horizontal="right" vertical="center" wrapText="1"/>
    </xf>
    <xf numFmtId="0" fontId="3" fillId="3" borderId="6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horizontal="right" vertical="center" wrapText="1"/>
    </xf>
    <xf numFmtId="0" fontId="0" fillId="0" borderId="0" xfId="0" applyAlignment="1">
      <alignment vertical="center" wrapText="1"/>
    </xf>
    <xf numFmtId="0" fontId="4" fillId="6" borderId="8" xfId="0" applyFont="1" applyFill="1" applyBorder="1" applyAlignment="1">
      <alignment vertical="center" wrapText="1"/>
    </xf>
    <xf numFmtId="0" fontId="4" fillId="6" borderId="9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11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vertical="center" wrapText="1"/>
    </xf>
    <xf numFmtId="0" fontId="5" fillId="4" borderId="11" xfId="0" applyFont="1" applyFill="1" applyBorder="1" applyAlignment="1">
      <alignment vertical="center" wrapText="1"/>
    </xf>
    <xf numFmtId="0" fontId="3" fillId="4" borderId="11" xfId="0" applyFont="1" applyFill="1" applyBorder="1" applyAlignment="1">
      <alignment vertical="center" wrapText="1"/>
    </xf>
    <xf numFmtId="0" fontId="3" fillId="3" borderId="11" xfId="0" applyFont="1" applyFill="1" applyBorder="1" applyAlignment="1">
      <alignment vertical="center" wrapText="1"/>
    </xf>
    <xf numFmtId="164" fontId="4" fillId="6" borderId="7" xfId="0" applyNumberFormat="1" applyFont="1" applyFill="1" applyBorder="1" applyAlignment="1">
      <alignment vertical="center" wrapText="1"/>
    </xf>
    <xf numFmtId="164" fontId="0" fillId="0" borderId="0" xfId="0" applyNumberFormat="1"/>
    <xf numFmtId="0" fontId="5" fillId="4" borderId="2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right" vertical="center" wrapText="1"/>
    </xf>
    <xf numFmtId="0" fontId="3" fillId="3" borderId="5" xfId="0" applyFont="1" applyFill="1" applyBorder="1" applyAlignment="1">
      <alignment horizontal="right" vertical="center" wrapText="1"/>
    </xf>
    <xf numFmtId="0" fontId="4" fillId="6" borderId="7" xfId="0" applyFont="1" applyFill="1" applyBorder="1" applyAlignment="1">
      <alignment vertical="center" wrapText="1"/>
    </xf>
    <xf numFmtId="22" fontId="3" fillId="3" borderId="10" xfId="0" applyNumberFormat="1" applyFont="1" applyFill="1" applyBorder="1" applyAlignment="1">
      <alignment horizontal="right" vertical="center" wrapText="1"/>
    </xf>
    <xf numFmtId="22" fontId="3" fillId="4" borderId="12" xfId="0" applyNumberFormat="1" applyFont="1" applyFill="1" applyBorder="1" applyAlignment="1">
      <alignment horizontal="right" vertical="center" wrapText="1"/>
    </xf>
    <xf numFmtId="22" fontId="3" fillId="3" borderId="14" xfId="0" applyNumberFormat="1" applyFont="1" applyFill="1" applyBorder="1" applyAlignment="1">
      <alignment horizontal="right" vertical="center" wrapText="1"/>
    </xf>
    <xf numFmtId="22" fontId="3" fillId="3" borderId="15" xfId="0" applyNumberFormat="1" applyFont="1" applyFill="1" applyBorder="1" applyAlignment="1">
      <alignment horizontal="right" vertical="center" wrapText="1"/>
    </xf>
    <xf numFmtId="0" fontId="5" fillId="3" borderId="4" xfId="0" applyFont="1" applyFill="1" applyBorder="1" applyAlignment="1">
      <alignment vertical="center" wrapText="1"/>
    </xf>
    <xf numFmtId="0" fontId="5" fillId="3" borderId="16" xfId="0" applyFont="1" applyFill="1" applyBorder="1" applyAlignment="1">
      <alignment vertical="center" wrapText="1"/>
    </xf>
    <xf numFmtId="22" fontId="3" fillId="4" borderId="10" xfId="0" applyNumberFormat="1" applyFont="1" applyFill="1" applyBorder="1" applyAlignment="1">
      <alignment horizontal="right" vertical="center" wrapText="1"/>
    </xf>
    <xf numFmtId="22" fontId="3" fillId="3" borderId="12" xfId="0" applyNumberFormat="1" applyFont="1" applyFill="1" applyBorder="1" applyAlignment="1">
      <alignment horizontal="right" vertical="center" wrapText="1"/>
    </xf>
    <xf numFmtId="0" fontId="4" fillId="6" borderId="17" xfId="0" applyFont="1" applyFill="1" applyBorder="1" applyAlignment="1">
      <alignment vertical="center" wrapText="1"/>
    </xf>
    <xf numFmtId="0" fontId="0" fillId="2" borderId="0" xfId="1" applyFont="1" applyBorder="1"/>
    <xf numFmtId="0" fontId="2" fillId="5" borderId="0" xfId="0" applyFont="1" applyFill="1" applyBorder="1"/>
    <xf numFmtId="0" fontId="0" fillId="0" borderId="0" xfId="0" applyBorder="1"/>
    <xf numFmtId="0" fontId="4" fillId="6" borderId="0" xfId="0" applyFont="1" applyFill="1" applyBorder="1" applyAlignment="1">
      <alignment vertical="center" wrapText="1"/>
    </xf>
    <xf numFmtId="0" fontId="6" fillId="6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horizontal="right" vertical="center" wrapText="1"/>
    </xf>
    <xf numFmtId="0" fontId="3" fillId="3" borderId="0" xfId="0" applyFont="1" applyFill="1" applyBorder="1" applyAlignment="1">
      <alignment vertical="center" wrapText="1"/>
    </xf>
    <xf numFmtId="22" fontId="3" fillId="3" borderId="0" xfId="0" applyNumberFormat="1" applyFont="1" applyFill="1" applyBorder="1" applyAlignment="1">
      <alignment horizontal="right" vertical="center" wrapText="1"/>
    </xf>
    <xf numFmtId="0" fontId="5" fillId="3" borderId="0" xfId="0" applyFont="1" applyFill="1" applyBorder="1" applyAlignment="1">
      <alignment vertical="center" wrapText="1"/>
    </xf>
    <xf numFmtId="22" fontId="3" fillId="4" borderId="0" xfId="0" applyNumberFormat="1" applyFont="1" applyFill="1" applyBorder="1" applyAlignment="1">
      <alignment horizontal="right" vertical="center" wrapText="1"/>
    </xf>
    <xf numFmtId="0" fontId="3" fillId="4" borderId="0" xfId="0" applyFont="1" applyFill="1" applyBorder="1" applyAlignment="1">
      <alignment vertical="center" wrapText="1"/>
    </xf>
    <xf numFmtId="0" fontId="3" fillId="4" borderId="0" xfId="0" applyFont="1" applyFill="1" applyBorder="1" applyAlignment="1">
      <alignment horizontal="right" vertical="center" wrapText="1"/>
    </xf>
    <xf numFmtId="0" fontId="5" fillId="4" borderId="0" xfId="0" applyFont="1" applyFill="1" applyBorder="1" applyAlignment="1">
      <alignment vertical="center" wrapText="1"/>
    </xf>
    <xf numFmtId="0" fontId="3" fillId="3" borderId="15" xfId="0" applyFont="1" applyFill="1" applyBorder="1" applyAlignment="1">
      <alignment horizontal="right" vertical="center" wrapText="1"/>
    </xf>
    <xf numFmtId="0" fontId="3" fillId="4" borderId="12" xfId="0" applyFont="1" applyFill="1" applyBorder="1" applyAlignment="1">
      <alignment horizontal="right" vertical="center" wrapText="1"/>
    </xf>
    <xf numFmtId="0" fontId="3" fillId="3" borderId="10" xfId="0" applyFont="1" applyFill="1" applyBorder="1" applyAlignment="1">
      <alignment horizontal="right" vertical="center" wrapText="1"/>
    </xf>
    <xf numFmtId="22" fontId="3" fillId="4" borderId="18" xfId="0" applyNumberFormat="1" applyFont="1" applyFill="1" applyBorder="1" applyAlignment="1">
      <alignment horizontal="right" vertical="center" wrapText="1"/>
    </xf>
    <xf numFmtId="0" fontId="3" fillId="4" borderId="19" xfId="0" applyFont="1" applyFill="1" applyBorder="1" applyAlignment="1">
      <alignment vertical="center" wrapText="1"/>
    </xf>
    <xf numFmtId="0" fontId="3" fillId="4" borderId="20" xfId="0" applyFont="1" applyFill="1" applyBorder="1" applyAlignment="1">
      <alignment horizontal="right" vertical="center" wrapText="1"/>
    </xf>
    <xf numFmtId="0" fontId="3" fillId="3" borderId="21" xfId="0" applyFont="1" applyFill="1" applyBorder="1" applyAlignment="1">
      <alignment horizontal="right" vertical="center" wrapText="1"/>
    </xf>
    <xf numFmtId="0" fontId="3" fillId="4" borderId="22" xfId="0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vertical="center" wrapText="1"/>
    </xf>
    <xf numFmtId="0" fontId="3" fillId="4" borderId="20" xfId="0" applyFont="1" applyFill="1" applyBorder="1" applyAlignment="1">
      <alignment vertical="center" wrapText="1"/>
    </xf>
    <xf numFmtId="0" fontId="3" fillId="3" borderId="21" xfId="0" applyFont="1" applyFill="1" applyBorder="1" applyAlignment="1">
      <alignment vertical="center" wrapText="1"/>
    </xf>
    <xf numFmtId="0" fontId="3" fillId="4" borderId="22" xfId="0" applyFont="1" applyFill="1" applyBorder="1" applyAlignment="1">
      <alignment vertical="center" wrapText="1"/>
    </xf>
    <xf numFmtId="0" fontId="3" fillId="3" borderId="23" xfId="0" applyFont="1" applyFill="1" applyBorder="1" applyAlignment="1">
      <alignment horizontal="right" vertical="center" wrapText="1"/>
    </xf>
    <xf numFmtId="0" fontId="3" fillId="4" borderId="24" xfId="0" applyFont="1" applyFill="1" applyBorder="1" applyAlignment="1">
      <alignment horizontal="right" vertical="center" wrapText="1"/>
    </xf>
    <xf numFmtId="0" fontId="3" fillId="3" borderId="25" xfId="0" applyFont="1" applyFill="1" applyBorder="1" applyAlignment="1">
      <alignment horizontal="right" vertical="center" wrapText="1"/>
    </xf>
    <xf numFmtId="0" fontId="3" fillId="4" borderId="24" xfId="0" applyFont="1" applyFill="1" applyBorder="1" applyAlignment="1">
      <alignment vertical="center" wrapText="1"/>
    </xf>
    <xf numFmtId="0" fontId="3" fillId="4" borderId="26" xfId="0" applyFont="1" applyFill="1" applyBorder="1" applyAlignment="1">
      <alignment horizontal="right" vertical="center" wrapText="1"/>
    </xf>
    <xf numFmtId="0" fontId="3" fillId="3" borderId="16" xfId="0" applyFont="1" applyFill="1" applyBorder="1" applyAlignment="1">
      <alignment vertical="center" wrapText="1"/>
    </xf>
    <xf numFmtId="0" fontId="3" fillId="3" borderId="11" xfId="0" applyFont="1" applyFill="1" applyBorder="1" applyAlignment="1">
      <alignment horizontal="right" vertical="center" wrapText="1"/>
    </xf>
    <xf numFmtId="0" fontId="5" fillId="3" borderId="13" xfId="0" applyFont="1" applyFill="1" applyBorder="1" applyAlignment="1">
      <alignment vertical="center" wrapText="1"/>
    </xf>
    <xf numFmtId="22" fontId="3" fillId="4" borderId="15" xfId="0" applyNumberFormat="1" applyFont="1" applyFill="1" applyBorder="1" applyAlignment="1">
      <alignment horizontal="right" vertical="center" wrapText="1"/>
    </xf>
    <xf numFmtId="0" fontId="3" fillId="4" borderId="4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0" fontId="5" fillId="4" borderId="16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vertical="center" wrapText="1"/>
    </xf>
    <xf numFmtId="0" fontId="3" fillId="4" borderId="16" xfId="0" applyFont="1" applyFill="1" applyBorder="1" applyAlignment="1">
      <alignment vertical="center" wrapText="1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Ratish\Code\maladutsav2025\Malad%204th%20Oct.xlsx" TargetMode="External"/><Relationship Id="rId1" Type="http://schemas.openxmlformats.org/officeDocument/2006/relationships/externalLinkPath" Target="Malad%204th%20O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F1" t="str">
            <v>Mobile Number</v>
          </cell>
          <cell r="G1" t="str">
            <v>Email</v>
          </cell>
          <cell r="H1" t="str">
            <v>Address</v>
          </cell>
        </row>
        <row r="2">
          <cell r="F2">
            <v>7208190170</v>
          </cell>
          <cell r="G2" t="str">
            <v>ssagiwal71@gmail.com</v>
          </cell>
          <cell r="H2" t="str">
            <v>Galaxy Apartment B/205   Mith Chowki, Marve Road, Malad (W</v>
          </cell>
        </row>
        <row r="3">
          <cell r="F3">
            <v>9821381810</v>
          </cell>
          <cell r="G3" t="str">
            <v>ssagiwal71@gmail.com</v>
          </cell>
          <cell r="H3" t="str">
            <v>Galaxy CHSL. B-205, Mith Chowky, Marve Road, Malad (W</v>
          </cell>
        </row>
        <row r="4">
          <cell r="F4">
            <v>9324420871</v>
          </cell>
          <cell r="G4" t="str">
            <v>Info@jagdambapaper.Com</v>
          </cell>
          <cell r="H4" t="str">
            <v>F/102  Krishna Residency Behind Sunder Nagar  S.V.Road</v>
          </cell>
        </row>
        <row r="5">
          <cell r="F5">
            <v>9820265640</v>
          </cell>
          <cell r="G5" t="str">
            <v>anilasawa80@gmail.com</v>
          </cell>
          <cell r="H5" t="str">
            <v>F/102,  Krishna Residency, Behind Sunder Nagar, Malad (W</v>
          </cell>
        </row>
        <row r="6">
          <cell r="H6" t="str">
            <v>F/102  Krishna Residency Behind Sunder Nagar  S.V.Road</v>
          </cell>
        </row>
        <row r="7">
          <cell r="F7">
            <v>9821460734</v>
          </cell>
          <cell r="G7" t="str">
            <v>omassawa@gmail.com</v>
          </cell>
          <cell r="H7" t="str">
            <v>C/403  KINGSTON HEIGHTS Chincholi Bunder Road, Malad (W</v>
          </cell>
        </row>
        <row r="8">
          <cell r="F8">
            <v>9820454734</v>
          </cell>
          <cell r="G8" t="str">
            <v>rassawa@gmail.com</v>
          </cell>
          <cell r="H8" t="str">
            <v>C-403, Kingston Heights Chincholi Bunder Road, Malad (W</v>
          </cell>
        </row>
        <row r="9">
          <cell r="F9">
            <v>9930396192</v>
          </cell>
          <cell r="G9" t="str">
            <v>priyabaheti@gmail.com</v>
          </cell>
          <cell r="H9" t="str">
            <v>P1/2, Deep Sadan Society, Sunder Nagar, S.V.Road, Malad (W</v>
          </cell>
        </row>
        <row r="10">
          <cell r="H10" t="str">
            <v>Hemtara Building 3rd Floor Jitendra Road Malad (W  -</v>
          </cell>
        </row>
        <row r="11">
          <cell r="H11" t="str">
            <v>E-104  Krishna Residency  Atamarm Compound  Near Sunder Nagar</v>
          </cell>
        </row>
        <row r="12">
          <cell r="F12">
            <v>9920318503</v>
          </cell>
          <cell r="G12" t="str">
            <v>bajaj.a@outlook.com</v>
          </cell>
          <cell r="H12" t="str">
            <v>G-504  Krishna Residency  Atmaram Compound  Near Dalmiya College  Behind Sunder Nagar  Malad (W</v>
          </cell>
        </row>
        <row r="13">
          <cell r="F13">
            <v>9322854440</v>
          </cell>
          <cell r="H13" t="str">
            <v>209 Malad Shoppint Centre  Near Sai Mandir S.V.Road</v>
          </cell>
        </row>
        <row r="14">
          <cell r="H14" t="str">
            <v>Building Block No. 6 Kwari Road  Opp. Tipko Company</v>
          </cell>
        </row>
        <row r="15">
          <cell r="F15">
            <v>9892486921</v>
          </cell>
          <cell r="G15" t="str">
            <v>bajajinderchand@gmail.com</v>
          </cell>
          <cell r="H15" t="str">
            <v>Sunder Nagar</v>
          </cell>
        </row>
        <row r="16">
          <cell r="F16">
            <v>9869136046</v>
          </cell>
          <cell r="G16" t="str">
            <v>kiranbajaj@gmail.com</v>
          </cell>
          <cell r="H16" t="str">
            <v>K-106  Kanchan Nalanda CHS Ltd.  Sunder Nagar  S.V. Road  Malad (W</v>
          </cell>
        </row>
        <row r="17">
          <cell r="F17">
            <v>9869309871</v>
          </cell>
          <cell r="G17" t="str">
            <v>tarachandbajaj00@gmail.com</v>
          </cell>
          <cell r="H17" t="str">
            <v>Flat No.106  The Kanchan Nalanda Chs. Sundar Nagar  S.V. Road, Malad (W</v>
          </cell>
        </row>
        <row r="18">
          <cell r="F18">
            <v>7506795317</v>
          </cell>
          <cell r="G18" t="str">
            <v>vidhibajaj2001@gmail.com</v>
          </cell>
          <cell r="H18" t="str">
            <v>106, Kanchan Nalanda Soc.</v>
          </cell>
        </row>
        <row r="19">
          <cell r="F19">
            <v>9920151221</v>
          </cell>
          <cell r="G19" t="str">
            <v>sulochanabaldua@gmail.com</v>
          </cell>
          <cell r="H19" t="str">
            <v>B-701, Aruna Residency, Behind Sundar Nagar Opp. Krishna Residency, Nr. Dalmia College, Malad (W</v>
          </cell>
        </row>
        <row r="20">
          <cell r="H20" t="str">
            <v>B-701, Aruna Residency, Behind Sundar Nagar Opp. Krishna Residency, Nr. Dalmia College, Malad (W</v>
          </cell>
        </row>
        <row r="21">
          <cell r="F21">
            <v>9820506066</v>
          </cell>
          <cell r="G21" t="str">
            <v>sureshbaldua@gmail.com</v>
          </cell>
          <cell r="H21" t="str">
            <v>B-701, Aruna Residency, Behind Sundar Nagar Opp. Krishna Residency, Nr. Dalmia College, Malad (W</v>
          </cell>
        </row>
        <row r="22">
          <cell r="H22" t="str">
            <v>Flat No 34  6th Floor Rani Sati Nagar 97 S.V.Road</v>
          </cell>
        </row>
        <row r="23">
          <cell r="F23">
            <v>9820620702</v>
          </cell>
          <cell r="G23" t="str">
            <v>rahulbangard@gmail.com</v>
          </cell>
          <cell r="H23" t="str">
            <v>C-2802  Rustomjee Elanza  Off Link Road</v>
          </cell>
        </row>
        <row r="24">
          <cell r="F24">
            <v>8879004775</v>
          </cell>
          <cell r="G24" t="str">
            <v>asbangur@gmail.com</v>
          </cell>
          <cell r="H24" t="str">
            <v>G-1106  Palm Court New Link Road</v>
          </cell>
        </row>
        <row r="25">
          <cell r="F25">
            <v>8108066289</v>
          </cell>
          <cell r="H25" t="str">
            <v>G-1106  Palm Court New Link Road</v>
          </cell>
        </row>
        <row r="26">
          <cell r="F26">
            <v>9820745508</v>
          </cell>
          <cell r="H26" t="str">
            <v>303  Lemidas Building Opp. Allahabad Bank  Ramchandra Lane</v>
          </cell>
        </row>
        <row r="27">
          <cell r="F27">
            <v>9820745508</v>
          </cell>
          <cell r="H27" t="str">
            <v>303 Le Midas Bldg Opp. Allahabad Bank  Ramchandra Lane</v>
          </cell>
        </row>
        <row r="28">
          <cell r="F28">
            <v>9819721858</v>
          </cell>
          <cell r="G28" t="str">
            <v>Anilbharadiya@hotmail.Com</v>
          </cell>
          <cell r="H28" t="str">
            <v>302  Snehal Building  Adarsh lane, Malad west</v>
          </cell>
        </row>
        <row r="29">
          <cell r="F29">
            <v>9820290360</v>
          </cell>
          <cell r="H29" t="str">
            <v>302  Snehal Building  Adarsh lane, Malad west</v>
          </cell>
        </row>
        <row r="30">
          <cell r="F30">
            <v>9322335162</v>
          </cell>
          <cell r="H30" t="str">
            <v>B-502  Abrol Vastu Park Evershine Nagar, Malad (W</v>
          </cell>
        </row>
        <row r="31">
          <cell r="F31">
            <v>9819789523</v>
          </cell>
          <cell r="G31" t="str">
            <v>dilipbcs@gmail.com</v>
          </cell>
          <cell r="H31" t="str">
            <v>302  Snehal Building  Adarsh lane, Malad west</v>
          </cell>
        </row>
        <row r="32">
          <cell r="H32" t="str">
            <v>302  Snehal Building  Adarsh lane, Malad west</v>
          </cell>
        </row>
        <row r="33">
          <cell r="F33">
            <v>9928444867</v>
          </cell>
          <cell r="G33" t="str">
            <v>sunilbharadia@gmail.com</v>
          </cell>
          <cell r="H33" t="str">
            <v>302  Snehal Building  Adarsh lane, Malad west</v>
          </cell>
        </row>
        <row r="34">
          <cell r="F34">
            <v>9920233447</v>
          </cell>
          <cell r="G34" t="str">
            <v>swats1985@gmail.com</v>
          </cell>
          <cell r="H34" t="str">
            <v>302  Snehal Building  Adarsh lane, Malad west</v>
          </cell>
        </row>
        <row r="35">
          <cell r="H35" t="str">
            <v>701 Bharat Apts 7th Floor Bhadran Nagar Road No.2 Malad (W.</v>
          </cell>
        </row>
        <row r="36">
          <cell r="H36" t="str">
            <v>701  Bharat Aoartment 7th floor Madan Nagar  Road No 2.</v>
          </cell>
        </row>
        <row r="37">
          <cell r="F37">
            <v>9892460090</v>
          </cell>
          <cell r="H37" t="str">
            <v>E-803  Krishna Residency  Sundar Nagar</v>
          </cell>
        </row>
        <row r="38">
          <cell r="F38">
            <v>9867240043</v>
          </cell>
          <cell r="G38" t="str">
            <v>kalabhattad32@gmail.com</v>
          </cell>
          <cell r="H38" t="str">
            <v>E-803  Krishna Residency  Sundar Nagar</v>
          </cell>
        </row>
        <row r="39">
          <cell r="F39">
            <v>9323938639</v>
          </cell>
          <cell r="G39" t="str">
            <v>bhattadrj@gmail.com</v>
          </cell>
          <cell r="H39" t="str">
            <v>Evershine Grandeur CHS. Behind Inorbit Mall,Near Rustomjee Elanza Mindspace</v>
          </cell>
        </row>
        <row r="40">
          <cell r="F40">
            <v>9833184392</v>
          </cell>
          <cell r="G40" t="str">
            <v>ravibhattad@gmail.com</v>
          </cell>
          <cell r="H40" t="str">
            <v>A-104  Evershine Grandeur CHS. Behind Inorbit Mall  Near Rustomjee Elanza  Mindspace , Malad (W</v>
          </cell>
        </row>
        <row r="41">
          <cell r="F41">
            <v>9320106997</v>
          </cell>
          <cell r="G41" t="str">
            <v>bhattadshanta@gmail.com</v>
          </cell>
          <cell r="H41" t="str">
            <v>A-104  Evershine Grandeur CHS. Behind Inorbit Mall  Near Rustomjee Elanza  Mindspace , Malad (W</v>
          </cell>
        </row>
        <row r="42">
          <cell r="F42">
            <v>9321169646</v>
          </cell>
          <cell r="H42" t="str">
            <v>504 Bharat Apartmant  Bhadran Nagar Khajurya Tank Road</v>
          </cell>
        </row>
        <row r="43">
          <cell r="F43">
            <v>9321169646</v>
          </cell>
          <cell r="H43" t="str">
            <v>V T Bhattad 504 Bharat Appartment Khajuriya Tank Road Malad (W Mumbai .</v>
          </cell>
        </row>
        <row r="44">
          <cell r="F44">
            <v>9323852536</v>
          </cell>
          <cell r="G44" t="str">
            <v>maheshsbhattar@gmail.com</v>
          </cell>
          <cell r="H44" t="str">
            <v>Asmita Sand Dunes, 802, Sunder Nager,  Near Dalmiya College,  Malad (W</v>
          </cell>
        </row>
        <row r="45">
          <cell r="H45" t="str">
            <v>Manali-V  Flat No.62 Evershine Nagar</v>
          </cell>
        </row>
        <row r="46">
          <cell r="F46">
            <v>7016638956</v>
          </cell>
          <cell r="G46" t="str">
            <v>ranulahoty20@gmail.com</v>
          </cell>
          <cell r="H46" t="str">
            <v>Asmita Sand Dunes, 802, Sunder Nager,  Near Dalmiya College,  Malad (W</v>
          </cell>
        </row>
        <row r="47">
          <cell r="F47">
            <v>9820087304</v>
          </cell>
          <cell r="G47" t="str">
            <v>vinkym95@gmail.com</v>
          </cell>
          <cell r="H47" t="str">
            <v>Whispering Heights, Mind Space Complex, A/503 Chincholi Bunder Road, Off Malad Link Road, Malad (W</v>
          </cell>
        </row>
        <row r="48">
          <cell r="F48">
            <v>9892635936</v>
          </cell>
          <cell r="G48" t="str">
            <v>navneetbhatter@gmail.com</v>
          </cell>
          <cell r="H48" t="str">
            <v>B - 1002 / B Romell Diva   Off Chincholi Bunder Road  Near Bhujale Talao  Malad (W</v>
          </cell>
        </row>
        <row r="49">
          <cell r="F49">
            <v>9324309045</v>
          </cell>
          <cell r="G49" t="str">
            <v>bhatterpooja@gmail.com</v>
          </cell>
          <cell r="H49" t="str">
            <v>B - 1002 / B Romell Diva   Off Chincholi Bunder Road  Near Bhujale Talao  Malad (W</v>
          </cell>
        </row>
        <row r="50">
          <cell r="H50" t="str">
            <v>E-4  Flat No.10 Sunder Nagar.S.V.Road</v>
          </cell>
        </row>
        <row r="51">
          <cell r="F51">
            <v>9820913318</v>
          </cell>
          <cell r="G51" t="str">
            <v>amitbihani2001@yahoo.com</v>
          </cell>
          <cell r="H51" t="str">
            <v>Bhoomi Classic CHS. C-603  Link Road</v>
          </cell>
        </row>
        <row r="52">
          <cell r="F52">
            <v>9820026235</v>
          </cell>
          <cell r="G52" t="str">
            <v>dinesh.s.bihani@gmail.com</v>
          </cell>
          <cell r="H52" t="str">
            <v>Flat 1801  Floor-18  Kingston Palace   Kingstone Complex  Chincholi Bunder Road  Nr. Hanuman Temple</v>
          </cell>
        </row>
        <row r="53">
          <cell r="H53" t="str">
            <v>1/208 Pawan Baug Near Chincholi Fatak</v>
          </cell>
        </row>
        <row r="54">
          <cell r="F54">
            <v>9819407540</v>
          </cell>
          <cell r="H54" t="str">
            <v>Shanti Kunj  Anand Road  Block No. 1</v>
          </cell>
        </row>
        <row r="55">
          <cell r="F55">
            <v>9821013859</v>
          </cell>
          <cell r="G55" t="str">
            <v>narayanbihani@gmail.com</v>
          </cell>
          <cell r="H55" t="str">
            <v>1203  Simplex Khush Aangan Opp. Indian Oil Petrol Pump  S. V. Road</v>
          </cell>
        </row>
        <row r="56">
          <cell r="F56">
            <v>9322252410</v>
          </cell>
          <cell r="G56" t="str">
            <v>akbinani@gmail.com</v>
          </cell>
          <cell r="H56" t="str">
            <v>1403, Arkade Serene Sunder Nagar, S.V.Road, Malad (W,</v>
          </cell>
        </row>
        <row r="57">
          <cell r="F57">
            <v>9819624488</v>
          </cell>
          <cell r="G57" t="str">
            <v>akbinani@gmail.com</v>
          </cell>
          <cell r="H57" t="str">
            <v>Arkade Serene, 1403,  Sunder Nagar, S.V.Road, Malad (W</v>
          </cell>
        </row>
        <row r="58">
          <cell r="H58" t="str">
            <v>L-3/10  Abhanga Samta Co-Op.Hsg.Soc. Ltd.Sundar Nagar S.V. Road</v>
          </cell>
        </row>
        <row r="59">
          <cell r="F59">
            <v>7738444456</v>
          </cell>
          <cell r="H59" t="str">
            <v>1904, Ashmita Sand Dunes,Corner of Ahimsha Road, Near Dalmia College, Sunder Nagar, Malad (W</v>
          </cell>
        </row>
        <row r="60">
          <cell r="F60">
            <v>9892444456</v>
          </cell>
          <cell r="G60" t="str">
            <v>akbinani@gmail.com</v>
          </cell>
          <cell r="H60" t="str">
            <v>1904, Ashmita Sand Dunes,Corner of Ahimsha Road, Near Dalmia College, Sunder Nagar, Malad (W</v>
          </cell>
        </row>
        <row r="61">
          <cell r="H61" t="str">
            <v>403  Radha Visheshwar Apartment Narsingh Lane</v>
          </cell>
        </row>
        <row r="62">
          <cell r="F62">
            <v>9867344466</v>
          </cell>
          <cell r="G62" t="str">
            <v>akbinani@gmail.com</v>
          </cell>
          <cell r="H62" t="str">
            <v>Arkade Serene, 1403,  Sunder Nagar, S.V.Road, Malad (W</v>
          </cell>
        </row>
        <row r="63">
          <cell r="F63">
            <v>9819345040</v>
          </cell>
          <cell r="G63" t="str">
            <v>ashokbinnani@gmail.com</v>
          </cell>
          <cell r="H63" t="str">
            <v>Palm Court Complex, G -606    Link Road, Malad (W</v>
          </cell>
        </row>
        <row r="64">
          <cell r="F64">
            <v>9820798531</v>
          </cell>
          <cell r="G64" t="str">
            <v>alokbirla@hotmail.com</v>
          </cell>
          <cell r="H64" t="str">
            <v>Flat No 1702, Daffodil TOwer Pawan Baug Road</v>
          </cell>
        </row>
        <row r="65">
          <cell r="F65">
            <v>9821104708</v>
          </cell>
          <cell r="G65" t="str">
            <v>nlbirla@hotmail.com</v>
          </cell>
          <cell r="H65" t="str">
            <v>Daffodil Tower,Flat No. 1702 off Pawan Baug Road, Chincholi Fatak Malad (W</v>
          </cell>
        </row>
        <row r="66">
          <cell r="F66">
            <v>7666612335</v>
          </cell>
          <cell r="G66" t="str">
            <v>akshay.biyani@yahoo.co.in</v>
          </cell>
          <cell r="H66" t="str">
            <v>F/702  Krishna Residency  Behind Sunder Nagar  S V Road</v>
          </cell>
        </row>
        <row r="67">
          <cell r="F67">
            <v>9820746836</v>
          </cell>
          <cell r="G67" t="str">
            <v>biyanirakesh@hotmail.com</v>
          </cell>
          <cell r="H67" t="str">
            <v>B -204  Blue Orbit Chs Ltd  Goregaon Mulund Link Road Opp Yugdharma Tower Near Inorbit Mall  Malad (W</v>
          </cell>
        </row>
        <row r="68">
          <cell r="F68">
            <v>9820960490</v>
          </cell>
          <cell r="G68" t="str">
            <v>kailashbiyani@gmail.com</v>
          </cell>
          <cell r="H68" t="str">
            <v>B - 601  Dheeraj Solitaire Chincholi Bunder Road  Near Link Road  Malad (W</v>
          </cell>
        </row>
        <row r="69">
          <cell r="H69" t="str">
            <v>F/702  Krishna Residency Near Dalmia College Sundar Nagar Malad (W -</v>
          </cell>
        </row>
        <row r="70">
          <cell r="F70">
            <v>9029508913</v>
          </cell>
          <cell r="G70" t="str">
            <v>rajutravelsk@gmail.com</v>
          </cell>
          <cell r="H70" t="str">
            <v>A302/303, Usha Garden Hsg. Soc. Ahimsa Marg, Malad Link Road, Malad (W</v>
          </cell>
        </row>
        <row r="71">
          <cell r="F71">
            <v>9819383377</v>
          </cell>
          <cell r="G71" t="str">
            <v>shivbbiyani@gmail.com</v>
          </cell>
          <cell r="H71" t="str">
            <v>802  Simplex KhushAagan S.V.Road  Vijaykarwadi  Opp. Indian Oil Petrol Pump</v>
          </cell>
        </row>
        <row r="72">
          <cell r="F72">
            <v>9920324167</v>
          </cell>
          <cell r="G72" t="str">
            <v>urmi.biyani@gmail.com</v>
          </cell>
          <cell r="H72" t="str">
            <v>C-402, Krishna Residency Behind Sunder Nagar, S. V. Road, Malad (W</v>
          </cell>
        </row>
        <row r="73">
          <cell r="F73">
            <v>9829049614</v>
          </cell>
          <cell r="G73" t="str">
            <v>narayanboob@gmail.com</v>
          </cell>
          <cell r="H73" t="str">
            <v>Evershine Nagar Link, Opp. Movie Time Theater</v>
          </cell>
        </row>
        <row r="74">
          <cell r="F74">
            <v>9819920011</v>
          </cell>
          <cell r="G74" t="str">
            <v>chandak.ashok@gmail.com</v>
          </cell>
          <cell r="H74" t="str">
            <v>B 607  Dheeraj Pooja Chincholi Bunder Road</v>
          </cell>
        </row>
        <row r="75">
          <cell r="H75" t="str">
            <v>Jaswanti Garden  A Wing  11 Th Floor Flat No  1102  Matoshri Ramabai Marg</v>
          </cell>
        </row>
        <row r="76">
          <cell r="F76">
            <v>9833202274</v>
          </cell>
          <cell r="H76" t="str">
            <v>1102 a-wing  Jaswanti Garden Behind Liberty Garden</v>
          </cell>
        </row>
        <row r="77">
          <cell r="F77">
            <v>9820968744</v>
          </cell>
          <cell r="H77" t="str">
            <v>B 607  Dheeraj Pooja Chincholi Bunder Road</v>
          </cell>
        </row>
        <row r="78">
          <cell r="F78">
            <v>9326379737</v>
          </cell>
          <cell r="G78" t="str">
            <v>narayanchandak@outlook.com</v>
          </cell>
          <cell r="H78" t="str">
            <v>Chandak Heritage Bldg. 5th Floor  Flat no. 502  Goraswadi  Nr. Kailash Laundry. S.V. Road  Opp Patel Petrol Pump</v>
          </cell>
        </row>
        <row r="79">
          <cell r="F79">
            <v>9967045520</v>
          </cell>
          <cell r="G79" t="str">
            <v>reteshk@gmail.com</v>
          </cell>
          <cell r="H79" t="str">
            <v>C-1202  Interface Heights  Off New Link Road Near Goregaon Sports Club</v>
          </cell>
        </row>
        <row r="80">
          <cell r="F80">
            <v>9892989978</v>
          </cell>
          <cell r="G80" t="str">
            <v>sandeepchandak@hotmail.com</v>
          </cell>
          <cell r="H80" t="str">
            <v>B-201, Shiv Gauri Appartment, Chincholi Bunder Road, Off Link Road, Near Privilege Hotel, Malad (W</v>
          </cell>
        </row>
        <row r="81">
          <cell r="F81">
            <v>9821205695</v>
          </cell>
          <cell r="H81" t="str">
            <v>A-401  Dheeraj Jamuna Chincholi Bunder Road</v>
          </cell>
        </row>
        <row r="82">
          <cell r="H82" t="str">
            <v>A-401  Dheeraj Jamuna  Chincholi Bunder Road</v>
          </cell>
        </row>
        <row r="83">
          <cell r="F83">
            <v>9920121726</v>
          </cell>
          <cell r="G83" t="str">
            <v>adityaddaga@gmail.com</v>
          </cell>
          <cell r="H83" t="str">
            <v>Asmita Sand Dune, 302 Above Global Chemist, Sunder Nagar, Malad (W</v>
          </cell>
        </row>
        <row r="84">
          <cell r="F84">
            <v>9820432076</v>
          </cell>
          <cell r="G84" t="str">
            <v>devendradaga71@gmail.com</v>
          </cell>
          <cell r="H84" t="str">
            <v>Asmita Sand Dune, 302 Above Global Chemist, Sunder Nagar, Malad (W</v>
          </cell>
        </row>
        <row r="85">
          <cell r="F85">
            <v>9833224506</v>
          </cell>
          <cell r="G85" t="str">
            <v>devendradaga71@gmail.com</v>
          </cell>
          <cell r="H85" t="str">
            <v>Asmita Sand Dune, 302 Above Global Chemist, Sunder Nagar, Malad (W</v>
          </cell>
        </row>
        <row r="86">
          <cell r="F86">
            <v>9324268981</v>
          </cell>
          <cell r="G86" t="str">
            <v>mdaga702@gmail.com</v>
          </cell>
          <cell r="H86" t="str">
            <v>B/702  Krishna Regency Opp D.G Khetan School  Sunder Nagar</v>
          </cell>
        </row>
        <row r="87">
          <cell r="F87">
            <v>9820144705</v>
          </cell>
          <cell r="G87" t="str">
            <v>dagaforms@rediffmail.com</v>
          </cell>
          <cell r="H87" t="str">
            <v>Flat No.903/904  Daffodil Tower Pawan Baug Road  Near Chincholi Phatak</v>
          </cell>
        </row>
        <row r="88">
          <cell r="F88">
            <v>9757272073</v>
          </cell>
          <cell r="G88" t="str">
            <v>Devendradaga71@gmail.com</v>
          </cell>
          <cell r="H88" t="str">
            <v>Asmita Sand Dune, 302 Above Global Chemist, Sunder Nagar, Malad (W</v>
          </cell>
        </row>
        <row r="89">
          <cell r="F89">
            <v>7666802112</v>
          </cell>
          <cell r="G89" t="str">
            <v>sakshichandak2010@gmail.com</v>
          </cell>
          <cell r="H89" t="str">
            <v>Asmita Sand Dune, 302 Above Global Chemist, Sunder Nagar, Malad (W</v>
          </cell>
        </row>
        <row r="90">
          <cell r="F90">
            <v>9920046785</v>
          </cell>
          <cell r="G90" t="str">
            <v>dagasashi2@gmail.com</v>
          </cell>
          <cell r="H90" t="str">
            <v>Asmita Sand Dune, 302 Above Global Chemist, Sunder Nagar, Malad (W</v>
          </cell>
        </row>
        <row r="91">
          <cell r="H91" t="str">
            <v>Veena Nagar,Chincholi Fatak</v>
          </cell>
        </row>
        <row r="92">
          <cell r="F92">
            <v>9322019125</v>
          </cell>
          <cell r="G92" t="str">
            <v>sohanlaldaga@gmail.com</v>
          </cell>
          <cell r="H92" t="str">
            <v>B/702  Krishna Regency Opp D.G Khetan School  Sunder Nagar</v>
          </cell>
        </row>
        <row r="93">
          <cell r="F93">
            <v>9987888951</v>
          </cell>
          <cell r="H93" t="str">
            <v>Manali Building NO. 4 CHSL, 4B/42 Evershine Nagar, Malad (W</v>
          </cell>
        </row>
        <row r="94">
          <cell r="F94">
            <v>9405263833</v>
          </cell>
          <cell r="G94" t="str">
            <v>caananddaliya@gmail.com</v>
          </cell>
          <cell r="H94" t="str">
            <v>704, Kingston Height, Chincholi Bunder Road, Malad (W</v>
          </cell>
        </row>
        <row r="95">
          <cell r="F95">
            <v>9324234555</v>
          </cell>
          <cell r="G95" t="str">
            <v>aktotla@gmail.com</v>
          </cell>
          <cell r="H95" t="str">
            <v>B - 1102 / B Romell Diva   Off Chincholi Bunder Road  Near Bhujale Talao  Malad (W</v>
          </cell>
        </row>
        <row r="96">
          <cell r="F96">
            <v>9820450815</v>
          </cell>
          <cell r="G96" t="str">
            <v>manmohan.damani1964@gmail.com</v>
          </cell>
          <cell r="H96" t="str">
            <v>D-504  Krishna Residency  5th Floor Behind Sundar Nagar  S V Road</v>
          </cell>
        </row>
        <row r="97">
          <cell r="F97">
            <v>-989258055</v>
          </cell>
          <cell r="G97" t="str">
            <v>vdamani95@gmail.com</v>
          </cell>
          <cell r="H97" t="str">
            <v>102 Lovedale Residency .Rambaug Lane Near lakhani Banquet Hall</v>
          </cell>
        </row>
        <row r="98">
          <cell r="F98">
            <v>9867745206</v>
          </cell>
          <cell r="G98" t="str">
            <v>rachna.darak@gmail.com</v>
          </cell>
          <cell r="H98" t="str">
            <v>508  Dhanmahal N.l. School  S.v.road, Malad (W</v>
          </cell>
        </row>
        <row r="99">
          <cell r="F99">
            <v>9702260383</v>
          </cell>
          <cell r="G99" t="str">
            <v>shobha.darak85@gmail.com</v>
          </cell>
          <cell r="H99" t="str">
            <v>17-A  Shyamkunj, 6th Road, Mamledarwadi, Malad (W</v>
          </cell>
        </row>
        <row r="100">
          <cell r="F100">
            <v>9101910341</v>
          </cell>
          <cell r="G100" t="str">
            <v>Varundarak91@gmail.Com</v>
          </cell>
          <cell r="H100" t="str">
            <v>17-A  Shyamkunj, 6th Road, Mamledarwadi, Malad (W</v>
          </cell>
        </row>
        <row r="101">
          <cell r="F101">
            <v>9224198417</v>
          </cell>
          <cell r="G101" t="str">
            <v>harshdeopura@gmail.com</v>
          </cell>
          <cell r="H101" t="str">
            <v>Rahul Building Room No. 407  1/c  4th Floor Nr. Malad Gym Khana Marve Road, Malad (W</v>
          </cell>
        </row>
        <row r="102">
          <cell r="H102" t="str">
            <v>404  Bhumi Clasic Opp.Subkuch Super Market Link Road</v>
          </cell>
        </row>
        <row r="103">
          <cell r="F103">
            <v>9225211083</v>
          </cell>
          <cell r="G103" t="str">
            <v>khushboodhoot22@gmail.com</v>
          </cell>
          <cell r="H103" t="str">
            <v>Asmita Sand Dunes, 1804, Ahimsa Marg, Sunder Nagar, Malad (W</v>
          </cell>
        </row>
        <row r="104">
          <cell r="F104">
            <v>9321046554</v>
          </cell>
          <cell r="G104" t="str">
            <v>lndhoot@gmail.com</v>
          </cell>
          <cell r="H104" t="str">
            <v>Auris Serenity Flat 1205 Tower-1 Kachpada, Off Link Road, Near Silver Oaks Hotel, Malad (W</v>
          </cell>
        </row>
        <row r="105">
          <cell r="F105">
            <v>9004928430</v>
          </cell>
          <cell r="G105" t="str">
            <v>meghaadhoot@gmail.com</v>
          </cell>
          <cell r="H105" t="str">
            <v>B-703, Krishna Regency, Opp. DG Khetan School Above HDFC Bank, Malad (W</v>
          </cell>
        </row>
        <row r="106">
          <cell r="F106">
            <v>9987001430</v>
          </cell>
          <cell r="G106" t="str">
            <v>nareshdhoot@gmail.com</v>
          </cell>
          <cell r="H106" t="str">
            <v>B-703, Krishna Regency, Opp. DG Khetan School Above HDFC Bank, Malad (W</v>
          </cell>
        </row>
        <row r="107">
          <cell r="F107">
            <v>9322553303</v>
          </cell>
          <cell r="H107" t="str">
            <v>A 201  Evershine Grandeur CHS  Next to Rustomjee Elanza  Mindspace  Link Road  Malad (W</v>
          </cell>
        </row>
        <row r="108">
          <cell r="F108">
            <v>9819083540</v>
          </cell>
          <cell r="G108" t="str">
            <v>prdhoot@gmail.com</v>
          </cell>
          <cell r="H108" t="str">
            <v>C-4-6 Sunder Nagar, S V Road, Malad (W,</v>
          </cell>
        </row>
        <row r="109">
          <cell r="F109">
            <v>9892055604</v>
          </cell>
          <cell r="H109" t="str">
            <v>G-10/10 Rani Sati Nagar 3rd Floor S V Road Malad W Mumbai .</v>
          </cell>
        </row>
        <row r="110">
          <cell r="F110">
            <v>9324425857</v>
          </cell>
          <cell r="H110" t="str">
            <v>1804, Asmita Sand Dunes, Ahimsa Marg, Malad - West</v>
          </cell>
        </row>
        <row r="111">
          <cell r="F111">
            <v>9892123876</v>
          </cell>
          <cell r="H111" t="str">
            <v>C-4/5  Sunder Nagar S V Road</v>
          </cell>
        </row>
        <row r="112">
          <cell r="F112">
            <v>9820747070</v>
          </cell>
          <cell r="G112" t="str">
            <v>santoshmobile2015@gmail.com</v>
          </cell>
          <cell r="H112" t="str">
            <v>C-4/5  Sunder Nagar S.V. Road</v>
          </cell>
        </row>
        <row r="113">
          <cell r="F113">
            <v>9321602436</v>
          </cell>
          <cell r="G113" t="str">
            <v>sharadd@hotmail.com</v>
          </cell>
          <cell r="H113" t="str">
            <v>Auris serenity tower 1,5005 Guriya pada, link road, Malad west</v>
          </cell>
        </row>
        <row r="114">
          <cell r="H114" t="str">
            <v>10/308  Pawan Baug Chicholi Fatak</v>
          </cell>
        </row>
        <row r="115">
          <cell r="F115">
            <v>9869005638</v>
          </cell>
          <cell r="G115" t="str">
            <v>sureshdhoot@gmail.com</v>
          </cell>
          <cell r="H115" t="str">
            <v>G-11/15 Shri Rani Sati Nagar S V Road</v>
          </cell>
        </row>
        <row r="116">
          <cell r="F116">
            <v>9820385328</v>
          </cell>
          <cell r="G116" t="str">
            <v>srscreen@gmail.com</v>
          </cell>
          <cell r="H116" t="str">
            <v>G-205 krishna residency  Behind sunder nagar, Malad west</v>
          </cell>
        </row>
        <row r="117">
          <cell r="F117">
            <v>9167342290</v>
          </cell>
          <cell r="G117" t="str">
            <v>rfalor@gmail.com</v>
          </cell>
          <cell r="H117" t="str">
            <v>505  I Block  Palm Court  Link Road</v>
          </cell>
        </row>
        <row r="118">
          <cell r="F118">
            <v>9004063131</v>
          </cell>
          <cell r="G118" t="str">
            <v>deepali.gaggar@gmail.com</v>
          </cell>
          <cell r="H118" t="str">
            <v>D-503  Krishna Residency  B/h Sunder Nagar Near D. G. Khetan International School</v>
          </cell>
        </row>
        <row r="119">
          <cell r="F119">
            <v>9022169649</v>
          </cell>
          <cell r="H119" t="str">
            <v>D-503  Krishna Residency  B/h Sunder Nagar Near D. G. Khetan International School</v>
          </cell>
        </row>
        <row r="120">
          <cell r="F120">
            <v>9320969649</v>
          </cell>
          <cell r="G120" t="str">
            <v>gaggar.gajanand@gmail.com</v>
          </cell>
          <cell r="H120" t="str">
            <v>D-503  Krishna Residency Sundar nagar, Malad West</v>
          </cell>
        </row>
        <row r="121">
          <cell r="F121">
            <v>9820001618</v>
          </cell>
          <cell r="G121" t="str">
            <v>ram.gaggar@gmail.com</v>
          </cell>
          <cell r="H121" t="str">
            <v>D-503  Krishna Residency Bh.Sunder Nagar  Near Dalmiya College</v>
          </cell>
        </row>
        <row r="122">
          <cell r="F122">
            <v>9820969649</v>
          </cell>
          <cell r="G122" t="str">
            <v>gaggar.tarachand@gmail.com</v>
          </cell>
          <cell r="H122" t="str">
            <v>D-503  Krishna Residency Bh.Sunder Nagar  Near Dalmiya College</v>
          </cell>
        </row>
        <row r="123">
          <cell r="F123">
            <v>9769422928</v>
          </cell>
          <cell r="H123" t="str">
            <v>606  Agrawal Triniti Tower Kanchpada, Malad (W</v>
          </cell>
        </row>
        <row r="124">
          <cell r="F124">
            <v>9769702128</v>
          </cell>
          <cell r="G124" t="str">
            <v>caharshada.gandhi@gmail.com</v>
          </cell>
          <cell r="H124" t="str">
            <v>606, Agarwal Trinity Tower, Kanchpada, Malad (W</v>
          </cell>
        </row>
        <row r="125">
          <cell r="F125">
            <v>9004259412</v>
          </cell>
          <cell r="G125" t="str">
            <v>piyushgattani2005@gmail.com</v>
          </cell>
          <cell r="H125" t="str">
            <v>B-31  Rustomjee Adarsh Regal  B Chs. Adarsh Lane  Goras Wadi  Off Marve Road, Malad (W  .-400064</v>
          </cell>
        </row>
        <row r="126">
          <cell r="F126">
            <v>7021950592</v>
          </cell>
          <cell r="G126" t="str">
            <v>pgattani1979@gmail.com</v>
          </cell>
          <cell r="H126" t="str">
            <v>B-31  Rustomjee Adarsh Regal  B Chs. Adarsh Lane  Goras Wadi  Off Marve Road, Malad (W  .-400064</v>
          </cell>
        </row>
        <row r="127">
          <cell r="F127">
            <v>9987549740</v>
          </cell>
          <cell r="G127" t="str">
            <v>pritigilda@gmail.com</v>
          </cell>
          <cell r="H127" t="str">
            <v>B-31  Rustomjee Adarsh Regal  B Chs. Adarsh Lane  Goras Wadi  Off Marve Road, Malad (W  .-400064</v>
          </cell>
        </row>
        <row r="128">
          <cell r="F128">
            <v>9004559412</v>
          </cell>
          <cell r="G128" t="str">
            <v>shashigattani@gmail.com</v>
          </cell>
          <cell r="H128" t="str">
            <v>B-31  Rustomjee Adarsh Regal  B Chs. Adarsh Lane  Goras Wadi  Off Marve Road, Malad (W  .-400064</v>
          </cell>
        </row>
        <row r="129">
          <cell r="F129">
            <v>9967060564</v>
          </cell>
          <cell r="G129" t="str">
            <v>sureshmgupta@hotmail.com</v>
          </cell>
          <cell r="H129" t="str">
            <v>Chincholi Bunder Road</v>
          </cell>
        </row>
        <row r="130">
          <cell r="F130">
            <v>9820026780</v>
          </cell>
          <cell r="H130" t="str">
            <v>801  8th Floor  Bharat Apparttment Bhadran Nagar Road No.2  Opp Milap /pvr Theater</v>
          </cell>
        </row>
        <row r="131">
          <cell r="F131">
            <v>9594929376</v>
          </cell>
          <cell r="G131" t="str">
            <v>rajeshhurkat@yahoo.com</v>
          </cell>
          <cell r="H131" t="str">
            <v>B-103  Evershine Grandeur  Off Link Road</v>
          </cell>
        </row>
        <row r="132">
          <cell r="H132" t="str">
            <v>Vardhman Nagar  B-Bldg Flat No.41  Narsing Lane</v>
          </cell>
        </row>
        <row r="133">
          <cell r="H133" t="str">
            <v>Mansarovar Chincholi Fatak Road</v>
          </cell>
        </row>
        <row r="134">
          <cell r="F134">
            <v>9821634500</v>
          </cell>
          <cell r="G134" t="str">
            <v>navkriti.creations@gmail.com</v>
          </cell>
          <cell r="H134" t="str">
            <v>B-801, Vini Tower, Next to Infant Jesus School Chincholi Bunder Road, Malad (W</v>
          </cell>
        </row>
        <row r="135">
          <cell r="H135" t="str">
            <v>B-706 Dheeraj Pooja  Chincholi Bundar Road Opp Infant High School</v>
          </cell>
        </row>
        <row r="136">
          <cell r="F136">
            <v>9324812699</v>
          </cell>
          <cell r="G136" t="str">
            <v>sampatjajoo42@gmail.com</v>
          </cell>
          <cell r="H136" t="str">
            <v>B-801, Vini Tower, Next to Infant Jesus School Chincholi Bunder Road, Malad (W</v>
          </cell>
        </row>
        <row r="137">
          <cell r="H137" t="str">
            <v>B-205  Blue Diamond Bldg Chincholi Corner  Link Road</v>
          </cell>
        </row>
        <row r="138">
          <cell r="F138">
            <v>9867277012</v>
          </cell>
          <cell r="H138" t="str">
            <v>704 Dheeraj Basera Chincholi Bunder Road Malad (W Mumbai .</v>
          </cell>
        </row>
        <row r="139">
          <cell r="F139">
            <v>9867346502</v>
          </cell>
          <cell r="G139" t="str">
            <v>arunkumarjajoo@gmail.com</v>
          </cell>
          <cell r="H139" t="str">
            <v>Advent Palazzo CHSL, 1303 Rambaug Lane, Off S.V.Road, Behind State Bank of India, Malad (W</v>
          </cell>
        </row>
        <row r="140">
          <cell r="F140">
            <v>9867986666</v>
          </cell>
          <cell r="G140" t="str">
            <v>jajusanjiv@rediffmail.com</v>
          </cell>
          <cell r="H140" t="str">
            <v>A-404/2 Shiv Ganga  Off Chincholi Bunder Road, Malad (W</v>
          </cell>
        </row>
        <row r="141">
          <cell r="F141">
            <v>9867688889</v>
          </cell>
          <cell r="G141" t="str">
            <v>vippuljaju100@outlook.com</v>
          </cell>
          <cell r="H141" t="str">
            <v>Advent Plazzo CHSL, 1303 Rambaug Lane, Off. S. V.Road, Behind State Bank of India, Malad (W</v>
          </cell>
        </row>
        <row r="142">
          <cell r="F142">
            <v>9004591113</v>
          </cell>
          <cell r="G142" t="str">
            <v>vikasjakhotia2012@gmail.com</v>
          </cell>
          <cell r="H142" t="str">
            <v>Above Central Bank, Sunder Nagar</v>
          </cell>
        </row>
        <row r="143">
          <cell r="F143">
            <v>9930652725</v>
          </cell>
          <cell r="G143" t="str">
            <v>ujhavar@gmail.com</v>
          </cell>
          <cell r="H143" t="str">
            <v>404  Girnar Aartment  Near Sapana Hotel S.V Road &amp; Marve Road</v>
          </cell>
        </row>
        <row r="144">
          <cell r="F144">
            <v>9820158417</v>
          </cell>
          <cell r="G144" t="str">
            <v>alok_J@hotmail.Com</v>
          </cell>
          <cell r="H144" t="str">
            <v>504  Daffodil Towers  Pawan Baug Lane Near Chincholi Phatak</v>
          </cell>
        </row>
        <row r="145">
          <cell r="F145">
            <v>9821167085</v>
          </cell>
          <cell r="G145" t="str">
            <v>nikhil.jhawar@gmail.com</v>
          </cell>
          <cell r="H145" t="str">
            <v>801  Simplex Khushangan Bldg. Vijaykarwadi  Opp. Kala Kendra  Petrol Pump  S.V. Road,Malad (W</v>
          </cell>
        </row>
        <row r="146">
          <cell r="F146">
            <v>9820070274</v>
          </cell>
          <cell r="G146" t="str">
            <v>viharijhawar@gmail.com</v>
          </cell>
          <cell r="H146" t="str">
            <v>1102, 11th Floor, Shankar Smruti, Opp. Sun Flower Lab, Above Kotak Bank, Marve Road, Malad (W</v>
          </cell>
        </row>
        <row r="147">
          <cell r="H147" t="str">
            <v>A-504 Nilgiri Apartment Near Milap Talkies</v>
          </cell>
        </row>
        <row r="148">
          <cell r="F148">
            <v>9619444648</v>
          </cell>
          <cell r="H148" t="str">
            <v>C-1304  Rustomjee Elanza Off Link Road</v>
          </cell>
        </row>
        <row r="149">
          <cell r="F149">
            <v>9821167085</v>
          </cell>
          <cell r="G149" t="str">
            <v>jkjhawar@gmail.com</v>
          </cell>
          <cell r="H149" t="str">
            <v>801  Simplex Khushangan Bldg. Vijaykarwadi  Opp. Kala Kendra  Petrol Pump  S.V. Road,Malad (W</v>
          </cell>
        </row>
        <row r="150">
          <cell r="F150">
            <v>9820460950</v>
          </cell>
          <cell r="G150" t="str">
            <v>jaiprakash.jhaver@gmail.com</v>
          </cell>
          <cell r="H150" t="str">
            <v>404  Girnar Aartment  Near Sapana Hotel S.V Road &amp; Marve Road, Malad (W</v>
          </cell>
        </row>
        <row r="151">
          <cell r="F151">
            <v>9323549794</v>
          </cell>
          <cell r="G151" t="str">
            <v>Jugalkishorj@gmail.Com</v>
          </cell>
          <cell r="H151" t="str">
            <v>404  Girnar Aartment  Near Sapana Hotel S.V Road &amp; Marve Road, Malad (W</v>
          </cell>
        </row>
        <row r="152">
          <cell r="F152">
            <v>9819086999</v>
          </cell>
          <cell r="G152" t="str">
            <v>pinalrjain@gmail.com</v>
          </cell>
          <cell r="H152" t="str">
            <v>1102, 11th Floor, Shankar Smruti, Opp. Sun Flower, Lab Above Kotak Bank, Marve Road, Malad (W</v>
          </cell>
        </row>
        <row r="153">
          <cell r="F153">
            <v>9320821229</v>
          </cell>
          <cell r="H153" t="str">
            <v>101/102  Valeram No.5 Evershine Nagar  Off Linking Road</v>
          </cell>
        </row>
        <row r="154">
          <cell r="H154" t="str">
            <v>101/102  Valeram No.5 Evershine Nagar  Off Linking Road</v>
          </cell>
        </row>
        <row r="155">
          <cell r="F155">
            <v>7977147591</v>
          </cell>
          <cell r="G155" t="str">
            <v>sulbharathi01@gmail.com</v>
          </cell>
          <cell r="H155" t="str">
            <v>801, Simplex khush Aangan, Vijaykarwadi, S. V. Road, Malad (W</v>
          </cell>
        </row>
        <row r="156">
          <cell r="F156">
            <v>9833062516</v>
          </cell>
          <cell r="G156" t="str">
            <v>urmilajhawar61@gmail.com</v>
          </cell>
          <cell r="H156" t="str">
            <v>1102, 11th Floor, Shankar Smruti, Opp. Sun Flower Lab, Above Kotak Bank, Marve Road, Malad (W</v>
          </cell>
        </row>
        <row r="157">
          <cell r="F157">
            <v>9820164241</v>
          </cell>
          <cell r="G157" t="str">
            <v>kabra.aparna@yahoo.com</v>
          </cell>
          <cell r="H157" t="str">
            <v>B/504 Kingston Classic, Chincholi Bunder Road,</v>
          </cell>
        </row>
        <row r="158">
          <cell r="F158">
            <v>9664188608</v>
          </cell>
          <cell r="H158" t="str">
            <v>F-805/806  Sonmarg  S V. Road</v>
          </cell>
        </row>
        <row r="159">
          <cell r="H159" t="str">
            <v>C-405 Vina Nagar S.V.Road Malad (W  -</v>
          </cell>
        </row>
        <row r="160">
          <cell r="F160">
            <v>9029355691</v>
          </cell>
          <cell r="G160" t="str">
            <v>kabradhruv@gmail.com</v>
          </cell>
          <cell r="H160" t="str">
            <v>B/504, Kingston Classic, Chincholi Bunder Road, Nr. Malad Dal Mill,</v>
          </cell>
        </row>
        <row r="161">
          <cell r="F161">
            <v>9920341990</v>
          </cell>
          <cell r="H161" t="str">
            <v>F/805-806  Sonmarg  S V. Road</v>
          </cell>
        </row>
        <row r="162">
          <cell r="F162">
            <v>9768245456</v>
          </cell>
          <cell r="G162" t="str">
            <v>gauravkabra94@yahoo.co.in</v>
          </cell>
          <cell r="H162" t="str">
            <v>F-805/806  Sonmarg  S V. Road</v>
          </cell>
        </row>
        <row r="163">
          <cell r="F163">
            <v>9920962924</v>
          </cell>
          <cell r="G163" t="str">
            <v>kabrand1946@gmail.com</v>
          </cell>
          <cell r="H163" t="str">
            <v>B/504 Kingston Classic, Chincholi Bunder Road, Malad (West</v>
          </cell>
        </row>
        <row r="164">
          <cell r="F164">
            <v>9320624230</v>
          </cell>
          <cell r="G164" t="str">
            <v>ksk.kabra@gmail.com</v>
          </cell>
          <cell r="H164" t="str">
            <v>B-1903, Shiv  Darshan Tower, Ahimsa Marg, Opp. Municipal Garden, Malad (W</v>
          </cell>
        </row>
        <row r="165">
          <cell r="F165">
            <v>9820151778</v>
          </cell>
          <cell r="G165" t="str">
            <v>kusum_kabra18@yahoo.com</v>
          </cell>
          <cell r="H165" t="str">
            <v>A-Wing  702 Evershine Grandeur  Behind Inorbit Mind Space</v>
          </cell>
        </row>
        <row r="166">
          <cell r="H166" t="str">
            <v>D-604  Krishna Residency  B/H Sunder Nagar Nr.Dalmia College  S. V Road</v>
          </cell>
        </row>
        <row r="167">
          <cell r="F167">
            <v>9323171200</v>
          </cell>
          <cell r="G167" t="str">
            <v>mmkabra@aluwind.net</v>
          </cell>
          <cell r="H167" t="str">
            <v>G-Wing, Flat No. 403 Palm Court Complex, Link Road, Malad (W,</v>
          </cell>
        </row>
        <row r="168">
          <cell r="F168">
            <v>9322260359</v>
          </cell>
          <cell r="H168" t="str">
            <v>D-301  Sanmarg Soc S.V Road</v>
          </cell>
        </row>
        <row r="169">
          <cell r="F169">
            <v>9820085026</v>
          </cell>
          <cell r="G169" t="str">
            <v>Aluwind.Kabra@gmail.Com</v>
          </cell>
          <cell r="H169" t="str">
            <v>G-Wing  Flat No.403 Palm Court  Link Road Malad (W</v>
          </cell>
        </row>
        <row r="170">
          <cell r="F170">
            <v>9819947177</v>
          </cell>
          <cell r="G170" t="str">
            <v>kabrand1946@gmail.com</v>
          </cell>
          <cell r="H170" t="str">
            <v>B/504 Kingston Classic, Chincholi Bunder Road Malad (West</v>
          </cell>
        </row>
        <row r="171">
          <cell r="H171" t="str">
            <v>E-117  Sahakar Apartment S.V.Road .</v>
          </cell>
        </row>
        <row r="172">
          <cell r="F172">
            <v>9819234161</v>
          </cell>
          <cell r="G172" t="str">
            <v>OPKABRA93@gmail.com</v>
          </cell>
          <cell r="H172" t="str">
            <v>B-1 Om Valeram Mansion Evershine Nagar Malad (W Mumbai - .</v>
          </cell>
        </row>
        <row r="173">
          <cell r="F173">
            <v>9820539505</v>
          </cell>
          <cell r="H173" t="str">
            <v>D-301  Sanmarg Soc S.V Road</v>
          </cell>
        </row>
        <row r="174">
          <cell r="F174">
            <v>9920019193</v>
          </cell>
          <cell r="H174" t="str">
            <v>D-301/302  Sonmarg Society S V. Road</v>
          </cell>
        </row>
        <row r="175">
          <cell r="F175">
            <v>8879127080</v>
          </cell>
          <cell r="G175" t="str">
            <v>priyabaheti@gmail.com</v>
          </cell>
          <cell r="H175" t="str">
            <v>E-406  Veena Nagar S. V. Road</v>
          </cell>
        </row>
        <row r="176">
          <cell r="H176" t="str">
            <v>D -406  Beena Nagar S V. Road</v>
          </cell>
        </row>
        <row r="177">
          <cell r="H177" t="str">
            <v>A-3/003  Mandalik Nagar S.V.Road</v>
          </cell>
        </row>
        <row r="178">
          <cell r="F178">
            <v>9967031830</v>
          </cell>
          <cell r="G178" t="str">
            <v>rinku.kabra@icai.org</v>
          </cell>
          <cell r="H178" t="str">
            <v>Krishna Residency, E-701 ,  Near D.G. Khetan School Behind Sunder Nagar</v>
          </cell>
        </row>
        <row r="179">
          <cell r="F179">
            <v>9833022243</v>
          </cell>
          <cell r="G179" t="str">
            <v>kabra.rupal@gmail.com</v>
          </cell>
          <cell r="H179" t="str">
            <v>D--301/302  Sonmarg Society S V. Road</v>
          </cell>
        </row>
        <row r="180">
          <cell r="F180">
            <v>9594936594</v>
          </cell>
          <cell r="G180" t="str">
            <v>sagar.kabra@gmail.com</v>
          </cell>
          <cell r="H180" t="str">
            <v>Khatri Apartment, Flat No 206    Jayanti Shukla Marg  Opp. Aditya Plaza Bldg. Malad (W</v>
          </cell>
        </row>
        <row r="181">
          <cell r="F181">
            <v>9833366671</v>
          </cell>
          <cell r="G181" t="str">
            <v>gsk.kabra@gmail.com</v>
          </cell>
          <cell r="H181" t="str">
            <v>B-1903  Shiv Darshan Soc. Opp. BMC Garden  Ahimsa Marg  Nr. Infant Jesus School</v>
          </cell>
        </row>
        <row r="182">
          <cell r="F182">
            <v>9820153533</v>
          </cell>
          <cell r="G182" t="str">
            <v>kforkabra@gmail.com</v>
          </cell>
          <cell r="H182" t="str">
            <v>Khatri Apartment, Flat No 206    Jayanti Shukla Marg  Opp. Aditya Plaza Bldg. Malad (W</v>
          </cell>
        </row>
        <row r="183">
          <cell r="H183" t="str">
            <v>D-604  Krishna Residency  B/H Sunder Nagar Nr.Dalmia College  S. V Road</v>
          </cell>
        </row>
        <row r="184">
          <cell r="F184">
            <v>9820145800</v>
          </cell>
          <cell r="G184" t="str">
            <v>sunil.kabra@sapharmachem.com</v>
          </cell>
          <cell r="H184" t="str">
            <v>F/805-806. Sonmarg Co-op Soc. Ltd. S. V Road Malad (W Mumbai 400064</v>
          </cell>
        </row>
        <row r="185">
          <cell r="F185">
            <v>9820341990</v>
          </cell>
          <cell r="G185" t="str">
            <v>Kabrasurekha@yahoo.Com</v>
          </cell>
          <cell r="H185" t="str">
            <v>Sonmarg  F-Wing /805-806 S. V Road</v>
          </cell>
        </row>
        <row r="186">
          <cell r="F186">
            <v>9321451858</v>
          </cell>
          <cell r="G186" t="str">
            <v>kabrasurendra@rediffmail.com</v>
          </cell>
          <cell r="H186" t="str">
            <v>Flat no. 504  5th floor  Simplex Khushaangan 82  Vijaykarwadi  Opp. IBP Petrol Pump  S.V. Road</v>
          </cell>
        </row>
        <row r="187">
          <cell r="F187">
            <v>9819004363</v>
          </cell>
          <cell r="G187" t="str">
            <v>sushilakabra10@gmail.com</v>
          </cell>
          <cell r="H187" t="str">
            <v>D-301/302,  Sonmarg Soc., Opp. Bajaj Hall, S.V Road, Malad (W</v>
          </cell>
        </row>
        <row r="188">
          <cell r="H188" t="str">
            <v>D-604  Krishna Residency  B/H Sunder Nagar Nr.Dalmia College  S. V Road</v>
          </cell>
        </row>
        <row r="189">
          <cell r="H189" t="str">
            <v>3  Ajay Apartment  Nadiadwala Colony Road No.1 S.V.Road Malad (W  -</v>
          </cell>
        </row>
        <row r="190">
          <cell r="F190">
            <v>9820255691</v>
          </cell>
          <cell r="G190" t="str">
            <v>vkabra236@gmail.com</v>
          </cell>
          <cell r="H190" t="str">
            <v>B/504, Kingston Classic Chincholi Bunder Road</v>
          </cell>
        </row>
        <row r="191">
          <cell r="H191" t="str">
            <v>J-604  Sunder Nagar S.V.Road</v>
          </cell>
        </row>
        <row r="192">
          <cell r="F192">
            <v>9820536765</v>
          </cell>
          <cell r="G192" t="str">
            <v>umeshkalani62@yahoo.com</v>
          </cell>
          <cell r="H192" t="str">
            <v>601 Sunvision Avenue society S.V . Road , 0pp Ration office , Malad (W</v>
          </cell>
        </row>
        <row r="193">
          <cell r="H193" t="str">
            <v>E-601 Crystal Palace Katch Pada.Link Road</v>
          </cell>
        </row>
        <row r="194">
          <cell r="F194">
            <v>9604788872</v>
          </cell>
          <cell r="G194" t="str">
            <v>sapana.kalantri@gmail.com</v>
          </cell>
          <cell r="H194" t="str">
            <v>Flat no. 503  B-Wing  Shital Chaya Opp. New Era Petrol Pump  S.V. Road</v>
          </cell>
        </row>
        <row r="195">
          <cell r="F195">
            <v>9833986930</v>
          </cell>
          <cell r="G195" t="str">
            <v>ca.ramanuj@gmail.com</v>
          </cell>
          <cell r="H195" t="str">
            <v>A-705, Kabra Diwain Tower, Near N.L. College, S.V. Road, Malad (W</v>
          </cell>
        </row>
        <row r="196">
          <cell r="F196">
            <v>9993325021</v>
          </cell>
          <cell r="G196" t="str">
            <v>ronakkarwa@gmail.com</v>
          </cell>
          <cell r="H196" t="str">
            <v>603, Shree Balaji Enclave Behind Evershine Mall, Chincholi Bunder Road, Malad (W</v>
          </cell>
        </row>
        <row r="197">
          <cell r="F197">
            <v>9322724153</v>
          </cell>
          <cell r="G197" t="str">
            <v>kasatheeralal@gmail.com</v>
          </cell>
          <cell r="H197" t="str">
            <v>204  Shiv Manima Appt.  C-Wing Soni Complex  Chincholi Bunder Road</v>
          </cell>
        </row>
        <row r="198">
          <cell r="F198">
            <v>7506371178</v>
          </cell>
          <cell r="G198" t="str">
            <v>jyoti.kasat@rediffmail.com</v>
          </cell>
          <cell r="H198" t="str">
            <v>B-1401  Rustomjee Elanza Nr. Inorbit Mall</v>
          </cell>
        </row>
        <row r="199">
          <cell r="H199" t="str">
            <v>603  Gautam Apartment Narsing Lane  S.V. Road</v>
          </cell>
        </row>
        <row r="200">
          <cell r="F200">
            <v>7977117206</v>
          </cell>
          <cell r="H200" t="str">
            <v>603  Gautam Apartment Narsing Lane  Opp. N.L. High School  S.V. Road</v>
          </cell>
        </row>
        <row r="201">
          <cell r="F201">
            <v>9820013415</v>
          </cell>
          <cell r="G201" t="str">
            <v>sureshkasat01@yahoo.com</v>
          </cell>
          <cell r="H201" t="str">
            <v>202-A Wing Dhiraj Ganga Chincholi Road</v>
          </cell>
        </row>
        <row r="202">
          <cell r="F202">
            <v>9820189575</v>
          </cell>
          <cell r="G202" t="str">
            <v>vkasat@rediffmail.com</v>
          </cell>
          <cell r="H202" t="str">
            <v>B-1401  Rustomjee Elanza Near Inorbit Mall</v>
          </cell>
        </row>
        <row r="203">
          <cell r="H203" t="str">
            <v>B-43 Vardhman Nagar  Narsingh Lane S.V. Road</v>
          </cell>
        </row>
        <row r="204">
          <cell r="H204" t="str">
            <v>1904-Kent Hight 9th Floor Vardhman Nagar  Narsingh Lane  S.V. Road</v>
          </cell>
        </row>
        <row r="205">
          <cell r="F205">
            <v>9322254741</v>
          </cell>
          <cell r="H205" t="str">
            <v>1904-Kent Hight 19th Floor  Vardhman Nagar  Narsingh Lane   Opp. N.L. High School  S.V. Road</v>
          </cell>
        </row>
        <row r="206">
          <cell r="F206">
            <v>9867762388</v>
          </cell>
          <cell r="G206" t="str">
            <v>preeti_khator@yahoo.com</v>
          </cell>
          <cell r="H206" t="str">
            <v>F/201  Pleasant Park  Evershine Nagar</v>
          </cell>
        </row>
        <row r="207">
          <cell r="F207">
            <v>9967772280</v>
          </cell>
          <cell r="H207" t="str">
            <v>E-201  Dhiraj Jamuna Chincholi Bunder Road</v>
          </cell>
        </row>
        <row r="208">
          <cell r="F208">
            <v>9820586798</v>
          </cell>
          <cell r="H208" t="str">
            <v>Flat no. 2903  Wing-B   Rustomjee Elanza CHS Ltd 1070/1 To 6  Off Link Road  Next To Inorbit Mall</v>
          </cell>
        </row>
        <row r="209">
          <cell r="F209">
            <v>9820922869</v>
          </cell>
          <cell r="G209" t="str">
            <v>harishcladdha@gmail.com</v>
          </cell>
          <cell r="H209" t="str">
            <v>E-501  Shiv Manthan 5th Floor  Chincholi Bunder</v>
          </cell>
        </row>
        <row r="210">
          <cell r="F210">
            <v>9322177718</v>
          </cell>
          <cell r="H210" t="str">
            <v>Beaumonde Plot no. 1 Flat No.5 Sunder Nagar S. V. Road, Dalmia College, Malad (W</v>
          </cell>
        </row>
        <row r="211">
          <cell r="F211">
            <v>9820798553</v>
          </cell>
          <cell r="G211" t="str">
            <v>narenladdha1970@gmail.com</v>
          </cell>
          <cell r="H211" t="str">
            <v>Kingston Jewel, A wing 303 Chincholi bunder, Malad west</v>
          </cell>
        </row>
        <row r="212">
          <cell r="H212" t="str">
            <v>51 Rina Apartment Chincholi Bunder Road</v>
          </cell>
        </row>
        <row r="213">
          <cell r="H213" t="str">
            <v>F-3/4  Sunder Nagar S.V.Road</v>
          </cell>
        </row>
        <row r="214">
          <cell r="F214">
            <v>8879785324</v>
          </cell>
          <cell r="G214" t="str">
            <v>sheetaladdha@gmail.com</v>
          </cell>
          <cell r="H214" t="str">
            <v>Kingston Jewel, A wing 303 Chincholi bunder, Malad west</v>
          </cell>
        </row>
        <row r="215">
          <cell r="F215">
            <v>9833345544</v>
          </cell>
          <cell r="G215" t="str">
            <v>laddhadr@gmail.com</v>
          </cell>
          <cell r="H215" t="str">
            <v>Beaumonde Plot no. 1 Flat No.5 Sunder Nagar S. V. Road, Dalmia College, Malad (W</v>
          </cell>
        </row>
        <row r="216">
          <cell r="F216">
            <v>9820348614</v>
          </cell>
          <cell r="G216" t="str">
            <v>d.ladha@rediffmail.com</v>
          </cell>
          <cell r="H216" t="str">
            <v>Flat no. 2903  Wing-B   Rustomjee Elanza CHS Ltd 1070/1 To 6  Off Link Road  Next To Inorbit Mall</v>
          </cell>
        </row>
        <row r="217">
          <cell r="F217">
            <v>9004685669</v>
          </cell>
          <cell r="G217" t="str">
            <v>abhisheklahoti87@gmail.com</v>
          </cell>
          <cell r="H217" t="str">
            <v>B-303  Ganpati Bhawan  Opp. Shani Mandir Jayanti Shukla Road  Raipadha</v>
          </cell>
        </row>
        <row r="218">
          <cell r="F218">
            <v>9819082727</v>
          </cell>
          <cell r="H218" t="str">
            <v>501  Bldg No 5  Skywalk Tank Lane Orlem Malad  -</v>
          </cell>
        </row>
        <row r="219">
          <cell r="F219">
            <v>9867328282</v>
          </cell>
          <cell r="H219" t="str">
            <v>Flat No.701-702  Bldg No.-2d Palm Spring Complex  Link Road  Next To Dmart</v>
          </cell>
        </row>
        <row r="220">
          <cell r="F220">
            <v>9322239904</v>
          </cell>
          <cell r="G220" t="str">
            <v>gllakhotia@hotmail.com</v>
          </cell>
          <cell r="H220" t="str">
            <v>B/504  Ahimsa Niketan  Ahimsa Marg Chincholi Bunder</v>
          </cell>
        </row>
        <row r="221">
          <cell r="H221" t="str">
            <v>B/5/9  Sunder Nagar S.V.Road Near Dalmia College</v>
          </cell>
        </row>
        <row r="222">
          <cell r="F222">
            <v>9004351568</v>
          </cell>
          <cell r="G222" t="str">
            <v>abhi7568.maheshwari@gmail.com</v>
          </cell>
          <cell r="H222" t="str">
            <v>Palm Springs, A-1203 Near Infinity Mall, Malad (W)</v>
          </cell>
        </row>
        <row r="223">
          <cell r="F223">
            <v>9768131767</v>
          </cell>
          <cell r="H223" t="str">
            <v>Laxmi Rajvilas 1204, Goregaon Mulund Link Road Opp. Rustomjee Ozone, Malad (W</v>
          </cell>
        </row>
        <row r="224">
          <cell r="F224">
            <v>9819040397</v>
          </cell>
          <cell r="H224" t="str">
            <v>A-701  Krishna Regency Sunder Nagar</v>
          </cell>
        </row>
        <row r="225">
          <cell r="H225" t="str">
            <v>Daruwala Compound  Chawl Of Mishra Room No-7</v>
          </cell>
        </row>
        <row r="226">
          <cell r="F226">
            <v>9969608250</v>
          </cell>
          <cell r="G226" t="str">
            <v>advocate_akm@yahoo.com</v>
          </cell>
          <cell r="H226" t="str">
            <v>9  Anandi Bldg., 3drd Floor Nadiawala Colony no.2  S V Road, Malad (W</v>
          </cell>
        </row>
        <row r="227">
          <cell r="F227">
            <v>9321133166</v>
          </cell>
          <cell r="G227" t="str">
            <v>md@aquaproofindia.com</v>
          </cell>
          <cell r="H227" t="str">
            <v>E-303  Sonmarg Building, Opp. Bajaj Hall  Chincholi   S.V. Road, Malad (W</v>
          </cell>
        </row>
        <row r="228">
          <cell r="F228">
            <v>9967024173</v>
          </cell>
          <cell r="G228" t="str">
            <v>sheetalsiddhant22@gmail.com</v>
          </cell>
          <cell r="H228" t="str">
            <v>B-403 Pam court   behind D-mart Link Road ,Malad(w</v>
          </cell>
        </row>
        <row r="229">
          <cell r="H229" t="str">
            <v>A-701krishna Regency Sunder Nagar, Malad (W</v>
          </cell>
        </row>
        <row r="230">
          <cell r="F230">
            <v>9867388313</v>
          </cell>
          <cell r="G230" t="str">
            <v>tkm_mumbai@yahoo.com</v>
          </cell>
          <cell r="H230" t="str">
            <v>1901, F- Wing, Interface Heights, off New Link Road, Behind Infiniti Mall, Malad (W</v>
          </cell>
        </row>
        <row r="231">
          <cell r="F231">
            <v>8879433174</v>
          </cell>
          <cell r="G231" t="str">
            <v>varunmaheshwari3097@gmail.com</v>
          </cell>
          <cell r="H231" t="str">
            <v>B-702, Aruna Residency  Behind Sunder Nagar, Malad (W</v>
          </cell>
        </row>
        <row r="232">
          <cell r="H232" t="str">
            <v>30  Jan Kalyan Nagar -6 Marve Road</v>
          </cell>
        </row>
        <row r="233">
          <cell r="F233">
            <v>9892106661</v>
          </cell>
          <cell r="H233" t="str">
            <v>B - 704  Kingston Classic  Chincholi Bundar Road</v>
          </cell>
        </row>
        <row r="234">
          <cell r="F234">
            <v>9820471362</v>
          </cell>
          <cell r="G234" t="str">
            <v>malpanisachin@rediffmail.com</v>
          </cell>
          <cell r="H234" t="str">
            <v>502  Malad Shopping Centre  S.V. Road Near Saibaba Mandir</v>
          </cell>
        </row>
        <row r="235">
          <cell r="F235">
            <v>9867252526</v>
          </cell>
          <cell r="G235" t="str">
            <v>s.malpani@hotmail.com</v>
          </cell>
          <cell r="H235" t="str">
            <v>Kingston Classic, B-704   Chincholi Bunder Road, Malad (W</v>
          </cell>
        </row>
        <row r="236">
          <cell r="F236">
            <v>9879060094</v>
          </cell>
          <cell r="H236" t="str">
            <v>A -704  Krishna Regency  Behind Sunder Nagar  Malad (W</v>
          </cell>
        </row>
        <row r="237">
          <cell r="F237">
            <v>9969403870</v>
          </cell>
          <cell r="G237" t="str">
            <v>spmalpani63@gmail.com</v>
          </cell>
          <cell r="H237" t="str">
            <v>A -12  Giriraj Society, Mamletdarwadi Road No. 6  Malad (W</v>
          </cell>
        </row>
        <row r="238">
          <cell r="F238">
            <v>9987019726</v>
          </cell>
          <cell r="G238" t="str">
            <v>gajadhermandhania@gmail.com</v>
          </cell>
          <cell r="H238" t="str">
            <v>703  Jafoddil Tower  Pawan Baug Lane Chincholi Phatak  Off S.V Road</v>
          </cell>
        </row>
        <row r="239">
          <cell r="F239">
            <v>9819421252</v>
          </cell>
          <cell r="G239" t="str">
            <v>gautammandhania@gmail.com</v>
          </cell>
          <cell r="H239" t="str">
            <v>703,  Daffodil Tower,  Pawan Baug Lane, Near Chincholi Phatak, Malad (W</v>
          </cell>
        </row>
        <row r="240">
          <cell r="H240" t="str">
            <v>11 Manav Mandir CHS 17th Road  Sidharth Nagar</v>
          </cell>
        </row>
        <row r="241">
          <cell r="F241">
            <v>9819421249</v>
          </cell>
          <cell r="G241" t="str">
            <v>rashmimandhania@gmail.com</v>
          </cell>
          <cell r="H241" t="str">
            <v>703,  Daffodil Tower,  Pawan Baug Lane, Near Chincholi Phatak, Malad (W</v>
          </cell>
        </row>
        <row r="242">
          <cell r="F242">
            <v>9930056929</v>
          </cell>
          <cell r="G242" t="str">
            <v>satishrmandowara65@gmail.com</v>
          </cell>
          <cell r="H242" t="str">
            <v>1501/acme  Enclave  Nagar  Inorbit Mall Malad{W},</v>
          </cell>
        </row>
        <row r="243">
          <cell r="F243">
            <v>9699908360</v>
          </cell>
          <cell r="H243" t="str">
            <v>1202 - A Wing   Blue Horizon CHS   Opp. Sabkuchh  Food Plaza  Near Cloudnine Hospital  Malad (W</v>
          </cell>
        </row>
        <row r="244">
          <cell r="F244">
            <v>9022185452</v>
          </cell>
          <cell r="G244" t="str">
            <v>mlmanihar@gmail.com</v>
          </cell>
          <cell r="H244" t="str">
            <v>3605 Auris Serinity Tower 1 Opp. Landmark Hotel Malad Link Road, Malad (W</v>
          </cell>
        </row>
        <row r="245">
          <cell r="F245">
            <v>7738385694</v>
          </cell>
          <cell r="H245" t="str">
            <v>602  Deffodil Appartment  Pawan Baug Lane Chincholi Phatak  S.v. Road</v>
          </cell>
        </row>
        <row r="246">
          <cell r="F246">
            <v>9322249379</v>
          </cell>
          <cell r="G246" t="str">
            <v>grmantri@yahoo.com</v>
          </cell>
          <cell r="H246" t="str">
            <v>B/502  Blue Orbit Opp. Inorbit Mall  Goregaon Mulund Link Road</v>
          </cell>
        </row>
        <row r="247">
          <cell r="F247">
            <v>9869789023</v>
          </cell>
          <cell r="G247" t="str">
            <v>ishumantriji22569@gmail.com</v>
          </cell>
          <cell r="H247" t="str">
            <v>Daffodil Tower, Flat No. 1601, 16th Floor   Pawan Baug Lane, Near Chincholi Fatak, Malad (W</v>
          </cell>
        </row>
        <row r="248">
          <cell r="F248">
            <v>9820454557</v>
          </cell>
          <cell r="G248" t="str">
            <v>manish@mantriandaggarwal.com</v>
          </cell>
          <cell r="H248" t="str">
            <v>Flat no. 603  6th floor  B-Wing  Shiv Darshan Tower  Near Infent School  Sundar nagar  Ahimsha Road</v>
          </cell>
        </row>
        <row r="249">
          <cell r="F249">
            <v>9821116827</v>
          </cell>
          <cell r="G249" t="str">
            <v>pushkarsmantri@yahoo.com</v>
          </cell>
          <cell r="H249" t="str">
            <v>Mantri Pushkar H/401 Krishna Residency Sunder Nagar Malad (West .near dalmia collage.</v>
          </cell>
        </row>
        <row r="250">
          <cell r="F250">
            <v>9821063883</v>
          </cell>
          <cell r="G250" t="str">
            <v>skmantri05@gmail.com</v>
          </cell>
          <cell r="H250" t="str">
            <v>11/208  Pawan Baug  Near Chincholi Fatak, S.V.Road, Malad (W</v>
          </cell>
        </row>
        <row r="251">
          <cell r="H251" t="str">
            <v>B/404 Kingstone Classic Chincholi Bunder Road</v>
          </cell>
        </row>
        <row r="252">
          <cell r="F252">
            <v>7874999912</v>
          </cell>
          <cell r="G252" t="str">
            <v>nirmalmaroo69@gmail.com</v>
          </cell>
          <cell r="H252" t="str">
            <v>A-71-72   China Link CHS Ltd., Link Road, Opp. Malad Bus Depot, Malad (W</v>
          </cell>
        </row>
        <row r="253">
          <cell r="F253">
            <v>9820144077</v>
          </cell>
          <cell r="H253" t="str">
            <v>Flat No.204 Shiv Gauri Apts.CHS.Ltd  B-Wing, 2nd Floor  Ahimsa Marg  Off Link Road  Behind Hotel Privilage</v>
          </cell>
        </row>
        <row r="254">
          <cell r="F254">
            <v>7303132886</v>
          </cell>
          <cell r="G254" t="str">
            <v>shrikumarmimani@gmail.com</v>
          </cell>
          <cell r="H254" t="str">
            <v>19-b  Shivam Apt. Subhash Lane</v>
          </cell>
        </row>
        <row r="255">
          <cell r="F255">
            <v>9820584312</v>
          </cell>
          <cell r="H255" t="str">
            <v>C - 402  Om Elegance Bldg No. 3. Chincholi Bunder Road  Opp. Infant Jesus High School  Malad (W</v>
          </cell>
        </row>
        <row r="256">
          <cell r="H256" t="str">
            <v>Flat No 24  Wing -A  Shravasti Opp.Yugdharma Goregaon -Malad Link Road Malad (W  -</v>
          </cell>
        </row>
        <row r="257">
          <cell r="F257">
            <v>8108711149</v>
          </cell>
          <cell r="G257" t="str">
            <v>ratishmoondra@gmail.com</v>
          </cell>
          <cell r="H257" t="str">
            <v>Tower 1-4601, Auris Serenity, Kanchpada Near Silver Oaks Restaurant, New Link Road, Malad (W</v>
          </cell>
        </row>
        <row r="258">
          <cell r="F258">
            <v>8108611149</v>
          </cell>
          <cell r="G258" t="str">
            <v>shalinimoondra@gmail.com</v>
          </cell>
          <cell r="H258" t="str">
            <v>Tower 1-4601, Auris Serenity, Opp. Land Mark Restaurant, Link Road, Malad (W</v>
          </cell>
        </row>
        <row r="259">
          <cell r="F259">
            <v>9167755531</v>
          </cell>
          <cell r="G259" t="str">
            <v>ankur.muchhal@gmail.com</v>
          </cell>
          <cell r="H259" t="str">
            <v>B -1002  Shiv Darshan Tower  10th Floor  Chincholi Bundar Road</v>
          </cell>
        </row>
        <row r="260">
          <cell r="F260">
            <v>9821053181</v>
          </cell>
          <cell r="H260" t="str">
            <v>51  Vijay Apartment  Daruwala Compound  Off S. V. Road</v>
          </cell>
        </row>
        <row r="261">
          <cell r="H261" t="str">
            <v>1 -c  /410  Rahul Apartment Marve Road, Malad (W</v>
          </cell>
        </row>
        <row r="262">
          <cell r="H262" t="str">
            <v>1204-Rustomjee Adarsh Residency Adarsh Dugdhalaya Lay Out Marve Road .</v>
          </cell>
        </row>
        <row r="263">
          <cell r="H263" t="str">
            <v>5  Maharaja Apartment Near Tel.exchange S V Road, Malad (W</v>
          </cell>
        </row>
        <row r="264">
          <cell r="F264">
            <v>9819332481</v>
          </cell>
          <cell r="G264" t="str">
            <v>Rajeshmoondra@gmail.Com</v>
          </cell>
          <cell r="H264" t="str">
            <v>D-1701  Interface Height Behind Infinity Mall  Off Link Road</v>
          </cell>
        </row>
        <row r="265">
          <cell r="F265">
            <v>9987030208</v>
          </cell>
          <cell r="G265" t="str">
            <v>santu.mundhra@gmail.com</v>
          </cell>
          <cell r="H265" t="str">
            <v>I -601  Krishna Residency Near Dalmia College  Sunder Nagar, Behind Sundar Nagar, Malad (W</v>
          </cell>
        </row>
        <row r="266">
          <cell r="F266">
            <v>9820295197</v>
          </cell>
          <cell r="G266" t="str">
            <v>shree_traders@hotmail.com</v>
          </cell>
          <cell r="H266" t="str">
            <v>I-701  Krishna Residency Near Dalmia College  Bihand Sunder Nagar, Malad (W</v>
          </cell>
        </row>
        <row r="267">
          <cell r="H267" t="str">
            <v>R-5/16  Sapat Ratan Sundar Nagar</v>
          </cell>
        </row>
        <row r="268">
          <cell r="F268">
            <v>9820215732</v>
          </cell>
          <cell r="G268" t="str">
            <v>shyammundra43@gmail.com</v>
          </cell>
          <cell r="H268" t="str">
            <v>SW/5 Nirmal Bali Chsl,    Anand Road, off New Ears Cinemas,, Malad (W</v>
          </cell>
        </row>
        <row r="269">
          <cell r="H269" t="str">
            <v>I-701  Krishna Residency Near Dalmia College  Bihand Sunder Nagar, Malad (W</v>
          </cell>
        </row>
        <row r="270">
          <cell r="F270">
            <v>9967536641</v>
          </cell>
          <cell r="G270" t="str">
            <v>raju.mundra@gmail.com</v>
          </cell>
          <cell r="H270" t="str">
            <v>F/202  Bhoomi Classic  Link Road Opp. Inorbit Mall</v>
          </cell>
        </row>
        <row r="271">
          <cell r="F271">
            <v>9819286245</v>
          </cell>
          <cell r="G271" t="str">
            <v>umeshmundra@rediffmail.com</v>
          </cell>
          <cell r="H271" t="str">
            <v>1/6  Bhagwati Apartments  S. V. Road, Chincholi, Malad West,</v>
          </cell>
        </row>
        <row r="272">
          <cell r="F272">
            <v>7000414471</v>
          </cell>
          <cell r="G272" t="str">
            <v>anushka.jaju2001@gmail.com</v>
          </cell>
          <cell r="H272" t="str">
            <v>Landmark Tower Chs, 21/22,  New Link Road, Mith Chowki, Malad (W</v>
          </cell>
        </row>
        <row r="273">
          <cell r="F273">
            <v>8286800848</v>
          </cell>
          <cell r="G273" t="str">
            <v>shwet.murkya@gmail.com</v>
          </cell>
          <cell r="H273" t="str">
            <v>Landmark Tower CHS, 21/22, New Link Road, Mith Chowki, Malad (W,</v>
          </cell>
        </row>
        <row r="274">
          <cell r="F274">
            <v>9320708301</v>
          </cell>
          <cell r="G274" t="str">
            <v>ujnas4@gmail.com</v>
          </cell>
          <cell r="H274" t="str">
            <v>B702 Aruna Residency  Behind Sunder Nagar</v>
          </cell>
        </row>
        <row r="275">
          <cell r="F275">
            <v>9820043682</v>
          </cell>
          <cell r="G275" t="str">
            <v>jp.phalore@yahoo.com</v>
          </cell>
          <cell r="H275" t="str">
            <v>Kalpataru Classics  A103  Off. S. V.Road Chincholi Bander Road  Nr. Dall Mill, Malad (W</v>
          </cell>
        </row>
        <row r="276">
          <cell r="F276">
            <v>8850483345</v>
          </cell>
          <cell r="G276" t="str">
            <v>devpasari43@gmail.com</v>
          </cell>
          <cell r="H276" t="str">
            <v>Evershine Grandeur, A/301, Mindspace, Malad (W,</v>
          </cell>
        </row>
        <row r="277">
          <cell r="F277">
            <v>9323401354</v>
          </cell>
          <cell r="H277" t="str">
            <v>A-301  Evershine Grandeur Behind Inorbit Mall</v>
          </cell>
        </row>
        <row r="278">
          <cell r="F278">
            <v>9594447031</v>
          </cell>
          <cell r="G278" t="str">
            <v>jyotipasari42@gmail.com</v>
          </cell>
          <cell r="H278" t="str">
            <v>Evershine Grandeur, A/301,  Mindspace, Malad (W, Mumbai - 400064</v>
          </cell>
        </row>
        <row r="279">
          <cell r="F279">
            <v>9322273385</v>
          </cell>
          <cell r="G279" t="str">
            <v>sureshpasari@gmail.com</v>
          </cell>
          <cell r="H279" t="str">
            <v>Evershine Grandeur, A/301, Mindspace, Malad (W, Mumbai - 400064</v>
          </cell>
        </row>
        <row r="280">
          <cell r="F280">
            <v>8879103467</v>
          </cell>
          <cell r="G280" t="str">
            <v>kphophaliya@gmail.com</v>
          </cell>
          <cell r="H280" t="str">
            <v>Shop no.1  Saibaba Chamber  Nr. Malad Shopping Center Nr. Nagesh Homeopathic  Swami Vivekanand Road</v>
          </cell>
        </row>
        <row r="281">
          <cell r="F281">
            <v>9869318879</v>
          </cell>
          <cell r="H281" t="str">
            <v>B-605  Kingston Complex Chincholi Bunder Road</v>
          </cell>
        </row>
        <row r="282">
          <cell r="F282">
            <v>9820683187</v>
          </cell>
          <cell r="G282" t="str">
            <v>hpunglia@yahoo.com</v>
          </cell>
          <cell r="H282" t="str">
            <v>B-103  Ahimsa Enclave Opp. Subkuchh  Link Road</v>
          </cell>
        </row>
        <row r="283">
          <cell r="F283">
            <v>9323173089</v>
          </cell>
          <cell r="H283" t="str">
            <v>B-605  Kingston Complex Chincholi Bunder Road</v>
          </cell>
        </row>
        <row r="284">
          <cell r="F284">
            <v>9320034414</v>
          </cell>
          <cell r="G284" t="str">
            <v>sushmapugalia@gmail.com</v>
          </cell>
          <cell r="H284" t="str">
            <v>Flat No 4405-06, 44th Floor, Tower -2,  Auris Serenity, Kanchanpada, Link Road, Malda (W</v>
          </cell>
        </row>
        <row r="285">
          <cell r="F285">
            <v>9769373893</v>
          </cell>
          <cell r="G285" t="str">
            <v>akshayrathi411@gmail.com</v>
          </cell>
          <cell r="H285" t="str">
            <v>Abhanga Samata CHSL, Arkade Serene, Flat 2105-2106, Sunder Nagar, S.V. Road, Near Dalmia College, Malad (W,</v>
          </cell>
        </row>
        <row r="286">
          <cell r="F286">
            <v>8446381106</v>
          </cell>
          <cell r="G286" t="str">
            <v>bhagyashreeladdha@gmail.com</v>
          </cell>
          <cell r="H286" t="str">
            <v>Arkade Serene, Flat 2105-2106, Abhanga Samata CHSL., Sunder Nagar, S.V. Road, Near Dalmia College, Malad (W,</v>
          </cell>
        </row>
        <row r="287">
          <cell r="F287">
            <v>9867122626</v>
          </cell>
          <cell r="G287" t="str">
            <v>rashish15@yahoo.co.in</v>
          </cell>
          <cell r="H287" t="str">
            <v>H 103  Neel Kamal Co-Op Society  Chincholi Gate</v>
          </cell>
        </row>
        <row r="288">
          <cell r="F288">
            <v>9920997978</v>
          </cell>
          <cell r="G288" t="str">
            <v>geeta.dalal22@gmail.com</v>
          </cell>
          <cell r="H288" t="str">
            <v>Palm Spring C-808 Link Road  Nr. D. Mart &amp; Infinity Mall</v>
          </cell>
        </row>
        <row r="289">
          <cell r="F289">
            <v>9820130862</v>
          </cell>
          <cell r="H289" t="str">
            <v>302/303,  Ashmita Abhishek Chs. Opp. Dalmiya College  Sunder Nagar  S.V. Road, Malad (W</v>
          </cell>
        </row>
        <row r="290">
          <cell r="F290">
            <v>9820916098</v>
          </cell>
          <cell r="G290" t="str">
            <v>rathiharish1@gmail.com</v>
          </cell>
          <cell r="H290" t="str">
            <v>611  C-Wing  Dheeraj Pooja CHS Chincholi Bunder Road</v>
          </cell>
        </row>
        <row r="291">
          <cell r="F291">
            <v>9076054588</v>
          </cell>
          <cell r="G291" t="str">
            <v>harshrathi000@gmail.com</v>
          </cell>
          <cell r="H291" t="str">
            <v>C-609/610,  Dheeraj Pooja , Chincholi Bunder Road, Malad (West</v>
          </cell>
        </row>
        <row r="292">
          <cell r="F292">
            <v>9702292855</v>
          </cell>
          <cell r="G292" t="str">
            <v>kkrathics@gmail.com</v>
          </cell>
          <cell r="H292" t="str">
            <v>B-1503  Blue Orbit  Goregaon Mulund Link Road Opp. Inorbit Mall</v>
          </cell>
        </row>
        <row r="293">
          <cell r="F293">
            <v>9376726888</v>
          </cell>
          <cell r="G293" t="str">
            <v>vishnurathi29@gmail.com</v>
          </cell>
          <cell r="H293" t="str">
            <v>Shailja Apartment, 604 Evershine Nagar, Khandelwal Layout, Malad (W</v>
          </cell>
        </row>
        <row r="294">
          <cell r="F294">
            <v>9320606061</v>
          </cell>
          <cell r="G294" t="str">
            <v>Roshni_07@yahoo.Com</v>
          </cell>
          <cell r="H294" t="str">
            <v>SHANTI SADAN   4TH FLR  MARVE ROAD  JUNCTION ABOVE MANIRATAN JEWELLERS</v>
          </cell>
        </row>
        <row r="295">
          <cell r="F295">
            <v>9820916099</v>
          </cell>
          <cell r="G295" t="str">
            <v>rathi.pr@rediffmail.com</v>
          </cell>
          <cell r="H295" t="str">
            <v>610  C-Wing, Dheeraj Pooja Chs.,  Infant Jesus School Lane, Chincholi Bunder Road, Malad (West</v>
          </cell>
        </row>
        <row r="296">
          <cell r="H296" t="str">
            <v>A/101  Rustomjee Elanza CHS. Behind Inorbit Mall</v>
          </cell>
        </row>
        <row r="297">
          <cell r="F297">
            <v>9167598389</v>
          </cell>
          <cell r="G297" t="str">
            <v>rathirajesh2207@gmail.com</v>
          </cell>
          <cell r="H297" t="str">
            <v>A-201, Om Ashish Chsl Ltd. Opp. Nutan Ayojan Nagar, Liberty Garden. Cross Road no. 4, Malad (W</v>
          </cell>
        </row>
        <row r="298">
          <cell r="F298">
            <v>9324287945</v>
          </cell>
          <cell r="H298" t="str">
            <v>101 A Wing  Shivganga Bldg No.2 Ahimsa Marg Of Chincholi Bunder Road Malad (W -</v>
          </cell>
        </row>
        <row r="299">
          <cell r="F299">
            <v>9769166643</v>
          </cell>
          <cell r="G299" t="str">
            <v>ramanrathi1949@gmail.com</v>
          </cell>
          <cell r="H299" t="str">
            <v>B/401  Abrol House  Khandelwal Layout, Ramchandra Lane extension, Evershine Nagar  Malad (W</v>
          </cell>
        </row>
        <row r="300">
          <cell r="F300">
            <v>9930262472</v>
          </cell>
          <cell r="G300" t="str">
            <v>ritteshrathi@gmail.com</v>
          </cell>
          <cell r="H300" t="str">
            <v>C-709. Dheeraj Pooja CHS. Ltd. Chincholi Bunder Road,  Near Infant Jesus School, Malad West</v>
          </cell>
        </row>
        <row r="301">
          <cell r="F301">
            <v>9022906023</v>
          </cell>
          <cell r="G301" t="str">
            <v>rsameer@rediffmail.com</v>
          </cell>
          <cell r="H301" t="str">
            <v>B 202  Shivdarshan CHS  Ahimsa Marg  Off Link Road, Malad (W</v>
          </cell>
        </row>
        <row r="302">
          <cell r="F302">
            <v>9975629760</v>
          </cell>
          <cell r="G302" t="str">
            <v>Saurabh.Suresh.Rathi@gmail.Com</v>
          </cell>
          <cell r="H302" t="str">
            <v>402/A  Shiv Gauri Apartments Near Privilege Inn Hotel  Off Chincholi Bunder Road</v>
          </cell>
        </row>
        <row r="303">
          <cell r="F303">
            <v>9820251565</v>
          </cell>
          <cell r="G303" t="str">
            <v>ritteshrathi@gmail.com</v>
          </cell>
          <cell r="H303" t="str">
            <v>C-709. Dheeraj Pooja CHS. Ltd. Chincholi Bunder Road,  Near Infant Jesus School, Malad West</v>
          </cell>
        </row>
        <row r="304">
          <cell r="F304">
            <v>9377709189</v>
          </cell>
          <cell r="G304" t="str">
            <v>swati89rathi@gmail.com</v>
          </cell>
          <cell r="H304" t="str">
            <v>Shailja Apartment, 604 Evershine Nagar, Khandelwal Layout, Malad (W</v>
          </cell>
        </row>
        <row r="305">
          <cell r="F305">
            <v>9820916001</v>
          </cell>
          <cell r="G305" t="str">
            <v>vikassr.rathi@gmail.com</v>
          </cell>
          <cell r="H305" t="str">
            <v>710  C-wing  Dheeraj Pooja CHS Dheeraj Pooja CHS</v>
          </cell>
        </row>
        <row r="306">
          <cell r="F306">
            <v>9920230862</v>
          </cell>
          <cell r="H306" t="str">
            <v>302/03  Ashmita Abhishek Society, Sunder Nagar  Opp. Dalmiya College  S.V. Road, Malad (W</v>
          </cell>
        </row>
        <row r="307">
          <cell r="F307">
            <v>9033322444</v>
          </cell>
          <cell r="G307" t="str">
            <v>vishnurathi29@gmail.com</v>
          </cell>
          <cell r="H307" t="str">
            <v>Shailja Apartment, 604 Evershine Nagar, Khandelwal Layout, Malad (W</v>
          </cell>
        </row>
        <row r="308">
          <cell r="F308">
            <v>9004677979</v>
          </cell>
          <cell r="G308" t="str">
            <v>animeshsaboo@gmail.com</v>
          </cell>
          <cell r="H308" t="str">
            <v>901-902  Acme Enclave Vasari Hill  Off Link Road Malad (W</v>
          </cell>
        </row>
        <row r="309">
          <cell r="F309">
            <v>9324906655</v>
          </cell>
          <cell r="G309" t="str">
            <v>ayodhyasaboo@yahoo.com</v>
          </cell>
          <cell r="H309" t="str">
            <v>605 A-Wing  Flamingo CHS. Rajanpada, Near Mittal College, Off Link Road</v>
          </cell>
        </row>
        <row r="310">
          <cell r="H310" t="str">
            <v>8  Sai Smruti Cross Road-3 Liberty Garden</v>
          </cell>
        </row>
        <row r="311">
          <cell r="F311">
            <v>9819674012</v>
          </cell>
          <cell r="G311" t="str">
            <v>bhaveshsaboo@gmail.com</v>
          </cell>
          <cell r="H311" t="str">
            <v>301  Satyam Shivam Khandelwal Layout  Evershine Nagar, Malad (W</v>
          </cell>
        </row>
        <row r="312">
          <cell r="F312">
            <v>8222092111</v>
          </cell>
          <cell r="H312" t="str">
            <v>901-902  Acme Enclave Vasari Hill  Off Link Road, Malad (W</v>
          </cell>
        </row>
        <row r="313">
          <cell r="F313">
            <v>9820809040</v>
          </cell>
          <cell r="G313" t="str">
            <v>rgsaboo@gmail.com</v>
          </cell>
          <cell r="H313" t="str">
            <v>NW-4 Nirmal Chhaya  3rd Floor 77/1A  S. V. Road &amp; Anand Road  Opp. New Era Theater, Malad (W</v>
          </cell>
        </row>
        <row r="314">
          <cell r="F314">
            <v>8826776611</v>
          </cell>
          <cell r="H314" t="str">
            <v>901-902  Acme Enclave Vasari Hill  Off Link Road, Malad (W</v>
          </cell>
        </row>
        <row r="315">
          <cell r="F315">
            <v>9833249671</v>
          </cell>
          <cell r="G315" t="str">
            <v>sabooimpex@yahoo.com</v>
          </cell>
          <cell r="H315" t="str">
            <v>Auris Serenity Tower 1, 3101/2, Kachpada Jct, Malad (W</v>
          </cell>
        </row>
        <row r="316">
          <cell r="F316">
            <v>8368650140</v>
          </cell>
          <cell r="H316" t="str">
            <v>901-902  Acme Enclave Vasari Hill  Off Link Road, Malad (W</v>
          </cell>
        </row>
        <row r="317">
          <cell r="F317">
            <v>9867723289</v>
          </cell>
          <cell r="G317" t="str">
            <v>Rajeshsadani@yahoo.Com</v>
          </cell>
          <cell r="H317" t="str">
            <v>D-204  Krishna Residency Behind Sunder Nagar</v>
          </cell>
        </row>
        <row r="318">
          <cell r="F318">
            <v>9702003424</v>
          </cell>
          <cell r="G318" t="str">
            <v>alok_sarda@yahoo.co.in</v>
          </cell>
          <cell r="H318" t="str">
            <v>China Link, B-22-23, 2nd Floor Link Road, Rajan Pada, Malad (W</v>
          </cell>
        </row>
        <row r="319">
          <cell r="H319" t="str">
            <v>H-601  Krishna Residency Behind Sunder Nagar  Near Dalmia College</v>
          </cell>
        </row>
        <row r="320">
          <cell r="F320">
            <v>9322233166</v>
          </cell>
          <cell r="G320" t="str">
            <v>md@aquaproofindia.com</v>
          </cell>
          <cell r="H320" t="str">
            <v>E/303  Sonmarg Building Opp. Bajaj Hall  Chincholi  S. V. Road Malad (W</v>
          </cell>
        </row>
        <row r="321">
          <cell r="F321">
            <v>9619090608</v>
          </cell>
          <cell r="G321" t="str">
            <v>jyoti.16sarda@gmail.com</v>
          </cell>
          <cell r="H321" t="str">
            <v>E/1 Veena Nagar, Opp. SBI Bank, S.V.Road, Malad (W</v>
          </cell>
        </row>
        <row r="322">
          <cell r="F322">
            <v>9320309630</v>
          </cell>
          <cell r="G322" t="str">
            <v>jyotis1311@gmail.com</v>
          </cell>
          <cell r="H322" t="str">
            <v>D-203  Dhirajganga Society, Chincholi Bunder Road, Malad (West</v>
          </cell>
        </row>
        <row r="323">
          <cell r="F323">
            <v>9987241860</v>
          </cell>
          <cell r="G323" t="str">
            <v>sohansarda20@gmail.com</v>
          </cell>
          <cell r="H323" t="str">
            <v>D-203  Dhiraj Ganga Socity  Chincholi Bander Road  Dheeraj Ganga Society</v>
          </cell>
        </row>
        <row r="324">
          <cell r="F324">
            <v>7738311131</v>
          </cell>
          <cell r="G324" t="str">
            <v>vatsal1008@gmail.com</v>
          </cell>
          <cell r="H324" t="str">
            <v>E/303  Sonmarg Building Opp. Bajaj Hall  Chincholi  S. V. Road Malad (W</v>
          </cell>
        </row>
        <row r="325">
          <cell r="F325">
            <v>9820618488</v>
          </cell>
          <cell r="G325" t="str">
            <v>sanjeev.sawal@gmail.Com</v>
          </cell>
          <cell r="H325" t="str">
            <v>1901  Deffodil Tower Chincholi Phatak  Pawan Baug Road  Off S.v.road</v>
          </cell>
        </row>
        <row r="326">
          <cell r="F326">
            <v>9820569281</v>
          </cell>
          <cell r="G326" t="str">
            <v>harisodhani@gmail.com</v>
          </cell>
          <cell r="H326" t="str">
            <v>B-1404 Mayfair Legends  Alpha CHSL. Opp. Sai Baba Park  Off Link Road  Evershine Nagar</v>
          </cell>
        </row>
        <row r="327">
          <cell r="H327" t="str">
            <v>D 301/302 Pleasant Park  Near Movie Time Evershine Nagar Malad (W -</v>
          </cell>
        </row>
        <row r="328">
          <cell r="F328">
            <v>9323151225</v>
          </cell>
          <cell r="H328" t="str">
            <v>2b/16 Manali Bldg No2 CHS Ltd  Evershine Nagar</v>
          </cell>
        </row>
        <row r="329">
          <cell r="F329">
            <v>9892324255</v>
          </cell>
          <cell r="G329" t="str">
            <v>sodhani.ruchi@gmail.com</v>
          </cell>
          <cell r="H329" t="str">
            <v>E-303, Pleasant Park, Movie Time, Malad (W</v>
          </cell>
        </row>
        <row r="330">
          <cell r="F330">
            <v>7738052299</v>
          </cell>
          <cell r="G330" t="str">
            <v>somaniamit@rediffmail.com</v>
          </cell>
          <cell r="H330" t="str">
            <v>Malad Kokil CHS.ltd. S-3/605  Sunder Nagar</v>
          </cell>
        </row>
        <row r="331">
          <cell r="F331">
            <v>9320241710</v>
          </cell>
          <cell r="G331" t="str">
            <v>somaniprintingpress1@gmail.com</v>
          </cell>
          <cell r="H331" t="str">
            <v>Flat No. A -401,4th Floor, Evershine Grandeur Chsl Ltd. off link Road, Mind Space, Malad (W</v>
          </cell>
        </row>
        <row r="332">
          <cell r="F332">
            <v>932451760</v>
          </cell>
          <cell r="H332" t="str">
            <v>A-504  Crystal Palace Co-Op.Hsg.Soc.Ltd.Kanch Pada Link Road</v>
          </cell>
        </row>
        <row r="333">
          <cell r="F333">
            <v>9619127276</v>
          </cell>
          <cell r="H333" t="str">
            <v>G-204 Krishna Residency  Opp Dalmiya College Sunder Nagar</v>
          </cell>
        </row>
        <row r="334">
          <cell r="H334" t="str">
            <v>812  Nilanjala Building Marve Road .</v>
          </cell>
        </row>
        <row r="335">
          <cell r="F335">
            <v>9821559551</v>
          </cell>
          <cell r="G335" t="str">
            <v>swastiksales@hotmail.com</v>
          </cell>
          <cell r="H335" t="str">
            <v>G-204 Krishna Residency  Opp Dalmiya College Sunder Nagar, Malad (W</v>
          </cell>
        </row>
        <row r="336">
          <cell r="H336" t="str">
            <v>2/28  Mig Colony Siddhath Nagar  Road No 17</v>
          </cell>
        </row>
        <row r="337">
          <cell r="F337">
            <v>9920137410</v>
          </cell>
          <cell r="G337" t="str">
            <v>rohits_007@yahoo.com</v>
          </cell>
          <cell r="H337" t="str">
            <v>A303, Dheeraj Diamond Chincholi Bunder, Malad West</v>
          </cell>
        </row>
        <row r="338">
          <cell r="F338">
            <v>7387113012</v>
          </cell>
          <cell r="G338" t="str">
            <v>somanirupesh@rediffmail.com</v>
          </cell>
          <cell r="H338" t="str">
            <v>Veena Nagar CHS  E-Wing, Flat No. 405 S V Road, Malad (W</v>
          </cell>
        </row>
        <row r="339">
          <cell r="H339" t="str">
            <v>A-504  Crystal Palace Co-Op.Hsg.Soc.Ltd.Kanch Pada Link Road</v>
          </cell>
        </row>
        <row r="340">
          <cell r="F340">
            <v>9820348438</v>
          </cell>
          <cell r="G340" t="str">
            <v>ashwinsoni09@gmail.com</v>
          </cell>
          <cell r="H340" t="str">
            <v>T-2 2606 AURIS serenity Kachapada Malad (W</v>
          </cell>
        </row>
        <row r="341">
          <cell r="F341">
            <v>9867015945</v>
          </cell>
          <cell r="G341" t="str">
            <v>bksoni61@gmail.com</v>
          </cell>
          <cell r="H341" t="str">
            <v>A-Wing  Flat no. 401  Mandlik Nagar  Opp. Bajaj Hall. S. V. Road</v>
          </cell>
        </row>
        <row r="342">
          <cell r="F342">
            <v>9819063860</v>
          </cell>
          <cell r="G342" t="str">
            <v>pradeepsoni312@gmail.com</v>
          </cell>
          <cell r="H342" t="str">
            <v>K-Nalanda, 507  Sundar Nagar, S.V.Road, Malad (W</v>
          </cell>
        </row>
        <row r="343">
          <cell r="F343">
            <v>9867711122</v>
          </cell>
          <cell r="G343" t="str">
            <v>ravisony.ca@gmail.com</v>
          </cell>
          <cell r="H343" t="str">
            <v>G-1601-Triumph Towers, Mandlik Nagar,  Opp.- Bajaj Bhavan, Near Saraf College, Malad-West,</v>
          </cell>
        </row>
        <row r="344">
          <cell r="F344">
            <v>7738892551</v>
          </cell>
          <cell r="G344" t="str">
            <v>ladhasamriddhi@gmail.com</v>
          </cell>
          <cell r="H344" t="str">
            <v>K-Nalanda, 507  Sundar Nagar, S.V.Road, Malad (W</v>
          </cell>
        </row>
        <row r="345">
          <cell r="H345" t="str">
            <v>B 4/304  Mandlik Nagar S V Road  Opp Bajaj Hall</v>
          </cell>
        </row>
        <row r="346">
          <cell r="F346">
            <v>9833401628</v>
          </cell>
          <cell r="H346" t="str">
            <v>T-2  2606 Auris serenity Kachapada Malad (W</v>
          </cell>
        </row>
        <row r="347">
          <cell r="F347">
            <v>9821333259</v>
          </cell>
          <cell r="G347" t="str">
            <v>r_taori2004@yahoo.com</v>
          </cell>
          <cell r="H347" t="str">
            <v>61  Trimurti Tower  Mamledarwadi Trimurti Road</v>
          </cell>
        </row>
        <row r="348">
          <cell r="F348">
            <v>9661270782</v>
          </cell>
          <cell r="G348" t="str">
            <v>tapariaankit6@gmail.com</v>
          </cell>
          <cell r="H348" t="str">
            <v>United Tower, 401, 4th Floor, Chincholi Bunder Road, Sunder Nagar, Malad (W,</v>
          </cell>
        </row>
        <row r="349">
          <cell r="F349">
            <v>9892486924</v>
          </cell>
          <cell r="G349" t="str">
            <v>ictaparia@gmail.com</v>
          </cell>
          <cell r="H349" t="str">
            <v>32  Raj Shagun  3rd Floor Nadiayadwala Colony No.2  Off S. V. Road</v>
          </cell>
        </row>
        <row r="350">
          <cell r="H350" t="str">
            <v>704 Dheeraj Basera Chincholi Bunder Road</v>
          </cell>
        </row>
        <row r="351">
          <cell r="F351">
            <v>9619535256</v>
          </cell>
          <cell r="G351" t="str">
            <v>shobhamundhra49@gmail.com</v>
          </cell>
          <cell r="H351" t="str">
            <v>15, 3rd Floor, Wing -1 Bhagwati Apartment Chincholi Phatak Road, Nr. Bajaj Hall Malad (W</v>
          </cell>
        </row>
        <row r="352">
          <cell r="F352">
            <v>9427329820</v>
          </cell>
          <cell r="G352" t="str">
            <v>vandanataparia58@gmail.com</v>
          </cell>
          <cell r="H352" t="str">
            <v>601  Paramratna Building Jakaria Road  Opp. Post Office  Malad (W</v>
          </cell>
        </row>
        <row r="353">
          <cell r="F353">
            <v>9322297743</v>
          </cell>
          <cell r="G353" t="str">
            <v>bharattawari@gmail.com</v>
          </cell>
          <cell r="H353" t="str">
            <v>C-409 C 409, Dheeraj pooja, chincholi bunder road</v>
          </cell>
        </row>
        <row r="354">
          <cell r="F354">
            <v>9920145200</v>
          </cell>
          <cell r="G354" t="str">
            <v>friendlydeepika@gmail.com</v>
          </cell>
          <cell r="H354" t="str">
            <v>C/409  Dheeraj Pooja, Chincholi Bunder Road, Malad (West</v>
          </cell>
        </row>
        <row r="355">
          <cell r="H355" t="str">
            <v>61 Trimurti Towers  6th Floor Mamledar Wadi  Jakaria Road</v>
          </cell>
        </row>
        <row r="356">
          <cell r="H356" t="str">
            <v>Tawari Niwas  Chincholi Gate .</v>
          </cell>
        </row>
        <row r="357">
          <cell r="F357">
            <v>9820636392</v>
          </cell>
          <cell r="G357" t="str">
            <v>tawarimitesh@gmail.com</v>
          </cell>
          <cell r="H357" t="str">
            <v>Vini Tower,  A/1003,  Near Infant Jesus School Off Chincholi Bunder Road, Malad (W</v>
          </cell>
        </row>
        <row r="358">
          <cell r="F358">
            <v>9323192651</v>
          </cell>
          <cell r="G358" t="str">
            <v>n_tawari@yahoo.com</v>
          </cell>
          <cell r="H358" t="str">
            <v>C/409  Dheeraj Puja Chincholi Bunder Road</v>
          </cell>
        </row>
        <row r="359">
          <cell r="F359">
            <v>9320636392</v>
          </cell>
          <cell r="H359" t="str">
            <v>Vini Tower,  A/1003,  Near Infant Jesus School Off Chincholi Bunder Road, Malad (W</v>
          </cell>
        </row>
        <row r="360">
          <cell r="F360">
            <v>9324530346</v>
          </cell>
          <cell r="G360" t="str">
            <v>tawrinamita@gmail.com</v>
          </cell>
          <cell r="H360" t="str">
            <v>3  Tawri Niwas  Chincholi Gate  Chincholi Gate Malad (W</v>
          </cell>
        </row>
        <row r="361">
          <cell r="F361">
            <v>9930635599</v>
          </cell>
          <cell r="G361" t="str">
            <v>sunil9820417546@gmail.com</v>
          </cell>
          <cell r="H361" t="str">
            <v>1001  A-wing  Ashok Enclave  Chincholi Bunder Road  Opp  Evershine Mall</v>
          </cell>
        </row>
        <row r="362">
          <cell r="F362">
            <v>8080778686</v>
          </cell>
          <cell r="G362" t="str">
            <v>mukesh@v3india.co.in</v>
          </cell>
          <cell r="H362" t="str">
            <v>E-1603  Krishna Residency Off Sundar Nagar</v>
          </cell>
        </row>
        <row r="363">
          <cell r="F363">
            <v>9323621466</v>
          </cell>
          <cell r="H363" t="str">
            <v>Flat No.605  The Blossom . CHS. Adarsh Dugdhalaya  Marve Road</v>
          </cell>
        </row>
        <row r="364">
          <cell r="F364">
            <v>9820384931</v>
          </cell>
          <cell r="G364" t="str">
            <v>sumittoshniwal@gmail.com</v>
          </cell>
          <cell r="H364" t="str">
            <v>A-1001  Ashok Enclave  Chincholi Bundar Road  Opp Evershine Mall  Linking Road</v>
          </cell>
        </row>
        <row r="365">
          <cell r="F365">
            <v>9967580400</v>
          </cell>
          <cell r="G365" t="str">
            <v>sptoshniwal@hotmail.com</v>
          </cell>
          <cell r="H365" t="str">
            <v>1703. E-Wing  Krishna Residency CHS Ltd. Near Dalmiya College</v>
          </cell>
        </row>
        <row r="366">
          <cell r="F366">
            <v>9323930259</v>
          </cell>
          <cell r="H366" t="str">
            <v>A  404 HIMSA NIKETAN CHS LTD. AHIMSA MARG  OFF NEW LINK RD. CHANCHOLI BUNDER RD  NR. JAIN TEAMPLE</v>
          </cell>
        </row>
        <row r="367">
          <cell r="H367" t="str">
            <v>B/201  Abroi House Khandelwal Layout  Evershine Nagar</v>
          </cell>
        </row>
        <row r="368">
          <cell r="F368">
            <v>9999845745</v>
          </cell>
          <cell r="G368" t="str">
            <v>rp_gupta@yahoo.co.in</v>
          </cell>
          <cell r="H368" t="str">
            <v>C-1004  Rna Royal Park M.G Road</v>
          </cell>
        </row>
        <row r="369">
          <cell r="F369">
            <v>9999104545</v>
          </cell>
          <cell r="H369" t="str">
            <v>C-1004  Rna Royal Park M.G Road</v>
          </cell>
        </row>
        <row r="370">
          <cell r="F370">
            <v>9619247950</v>
          </cell>
          <cell r="H370" t="str">
            <v>M103, RNA Regency Park Chsl, 1st Floor,  Maharastra Nagar, M.G. Road, Kandivali (W</v>
          </cell>
        </row>
        <row r="371">
          <cell r="F371">
            <v>9892146517</v>
          </cell>
          <cell r="G371" t="str">
            <v>bharatbahedia1978@gmail.com</v>
          </cell>
          <cell r="H371" t="str">
            <v>B-409  RSC 23  Plot No 22 Sai Chitra CHS  Sector 8 Charkop   Kandivali (W</v>
          </cell>
        </row>
        <row r="372">
          <cell r="F372">
            <v>9820066427</v>
          </cell>
          <cell r="H372" t="str">
            <v>106  Springfield CHS Highland Complex  Charkop Village, Kandivali (W</v>
          </cell>
        </row>
        <row r="373">
          <cell r="F373">
            <v>9323284295</v>
          </cell>
          <cell r="H373" t="str">
            <v>C-403  Raj Height M G Road</v>
          </cell>
        </row>
        <row r="374">
          <cell r="H374" t="str">
            <v>702 Bhoomi Garden Mahvir Nagar</v>
          </cell>
        </row>
        <row r="375">
          <cell r="G375" t="str">
            <v>Shahjigneshr@rediffmail.Com</v>
          </cell>
          <cell r="H375" t="str">
            <v>B  103 SHREEGANANAYAK CO-OP HSG SOC  PLOT NO. 1  R.D.P. 1  S NEAR CHARKOP POLICE STATION</v>
          </cell>
        </row>
        <row r="376">
          <cell r="F376">
            <v>9413561108</v>
          </cell>
          <cell r="G376" t="str">
            <v>piyush2294.bhandari@gmail.com</v>
          </cell>
          <cell r="H376" t="str">
            <v>D-203, Chintamani Nagar Ashokvan, Dahisar (E</v>
          </cell>
        </row>
        <row r="377">
          <cell r="F377">
            <v>9321296213</v>
          </cell>
          <cell r="H377" t="str">
            <v>Shree Highland Park Chs. Ltd., Flat No 704 "D"Wing New Link Road , Dahanukar Wadi , opp to Symponi, Kandivali (W</v>
          </cell>
        </row>
        <row r="378">
          <cell r="F378">
            <v>9967236456</v>
          </cell>
          <cell r="G378" t="str">
            <v>opbhattad@hotmail.com</v>
          </cell>
          <cell r="H378" t="str">
            <v>B-202, Badshah's Residency Parekh Gully, Near KES College, Kandivali (W,</v>
          </cell>
        </row>
        <row r="379">
          <cell r="F379">
            <v>9930396709</v>
          </cell>
          <cell r="G379" t="str">
            <v>sagar.bhattad066@gmail.com</v>
          </cell>
          <cell r="H379" t="str">
            <v>Samruddhi-17/207, Shivaji Raje Complex, Opp. Ekta Nagar, Kandivali (W</v>
          </cell>
        </row>
        <row r="380">
          <cell r="F380">
            <v>9869798705</v>
          </cell>
          <cell r="G380" t="str">
            <v>sampat.bhattad@gmail.com</v>
          </cell>
          <cell r="H380" t="str">
            <v>Samrudhi 17/207, Shivaji Raje Complex, Opp. Ekta Nagar, Kandivali (W</v>
          </cell>
        </row>
        <row r="381">
          <cell r="F381">
            <v>9320105607</v>
          </cell>
          <cell r="G381" t="str">
            <v>opbhattad@hotmail.com</v>
          </cell>
          <cell r="H381" t="str">
            <v>B-28  Jai Dwarika  2nd Floor Jamunadas Adukia Road, Kandivali (W,</v>
          </cell>
        </row>
        <row r="382">
          <cell r="F382">
            <v>8291612305</v>
          </cell>
          <cell r="G382" t="str">
            <v>shubham.bhattad33@gmail.com</v>
          </cell>
          <cell r="H382" t="str">
            <v>Samrudhi 17/207, Shivaji Raje Complex, Opp. Ekta Nagar, Kandivali (W</v>
          </cell>
        </row>
        <row r="383">
          <cell r="F383">
            <v>9967265584</v>
          </cell>
          <cell r="G383" t="str">
            <v>thakurdas.bhattad@gmail.com</v>
          </cell>
          <cell r="H383" t="str">
            <v>602  New Surbhi Soc.  Sector 5  Plot No. 1  Charkop</v>
          </cell>
        </row>
        <row r="384">
          <cell r="F384">
            <v>9699664643</v>
          </cell>
          <cell r="G384" t="str">
            <v>maheshbhootra81@gmail.com</v>
          </cell>
          <cell r="H384" t="str">
            <v>A- 702  Silver Presidency    Plot No. 10  Behind Charkop Police Station  Sector -2   Charkop   Kandivali (W</v>
          </cell>
        </row>
        <row r="385">
          <cell r="F385">
            <v>9764005162</v>
          </cell>
          <cell r="G385" t="str">
            <v>ajbhutada@yahoo.co.in</v>
          </cell>
          <cell r="H385" t="str">
            <v>Rock Enclave A-503,Plot C,above Yes bank Hindustan Naka, Kandivali west</v>
          </cell>
        </row>
        <row r="386">
          <cell r="F386">
            <v>9819318417</v>
          </cell>
          <cell r="G386" t="str">
            <v>jyotsna1967@gmail.com</v>
          </cell>
          <cell r="H386" t="str">
            <v>1/14 Parijat Apartment  Panchsheel Heights Mahavir Nagar</v>
          </cell>
        </row>
        <row r="387">
          <cell r="F387">
            <v>8999747002</v>
          </cell>
          <cell r="H387" t="str">
            <v>Rock Enclave A-503,Plot C,above Yes bank  Hindustan Naka, Kandivali west</v>
          </cell>
        </row>
        <row r="388">
          <cell r="F388">
            <v>8655667565</v>
          </cell>
          <cell r="G388" t="str">
            <v>lokesh.bhutra1008@gmail.com</v>
          </cell>
          <cell r="H388" t="str">
            <v>Bldg No.1b  Flat 12  2nd Floor Majithia Nagar  S.v. Road</v>
          </cell>
        </row>
        <row r="389">
          <cell r="F389">
            <v>9757301107</v>
          </cell>
          <cell r="G389" t="str">
            <v>shreeram.bhutra@gmail.com</v>
          </cell>
          <cell r="H389" t="str">
            <v>Kalpavruksh Heights, A-201, Near Lalji Pada, Police Chowki, Link Road, Kandivali (W</v>
          </cell>
        </row>
        <row r="390">
          <cell r="F390">
            <v>9833731212</v>
          </cell>
          <cell r="G390" t="str">
            <v>mbbinani@rediffmail.com</v>
          </cell>
          <cell r="H390" t="str">
            <v>Orchid Suburbia CHS. Ltd. F-601 Link Road, Near Dahanukarwadi Metro Station, Kandivali (W</v>
          </cell>
        </row>
        <row r="391">
          <cell r="F391" t="str">
            <v>------</v>
          </cell>
          <cell r="H391" t="str">
            <v>VISHAL KOKAN CO OP HSG SOC LTD.  b  WING fLAT NO. 45  3RD FL FATEH BAUG S.V. ROAD, Kandivali (W</v>
          </cell>
        </row>
        <row r="392">
          <cell r="F392">
            <v>9821111601</v>
          </cell>
          <cell r="H392" t="str">
            <v>F-304  Mody Park Iraniwadi Road No 3 Kandivali (W -</v>
          </cell>
        </row>
        <row r="393">
          <cell r="H393" t="str">
            <v>E 102  SAIDHAM COMPLEX  NEW LINK ROAD Near Lalji Pada Police Station</v>
          </cell>
        </row>
        <row r="394">
          <cell r="F394">
            <v>9994144544</v>
          </cell>
          <cell r="H394" t="str">
            <v>A-101 Mahavir Darshan  Plot No-2 Charkop  Sec-Ii  Rd.P-1</v>
          </cell>
        </row>
        <row r="395">
          <cell r="F395">
            <v>9969772566</v>
          </cell>
          <cell r="G395" t="str">
            <v>ajitasomani@gmail.com</v>
          </cell>
          <cell r="H395" t="str">
            <v>1001  Divya Gunjan  Gaurav Garden Complex Ganesh Chowk  Charkop  Sector-6</v>
          </cell>
        </row>
        <row r="396">
          <cell r="F396">
            <v>9833902206</v>
          </cell>
          <cell r="H396" t="str">
            <v>1001, Divya Gunjan Gaurav Garden Complex, Ganesh Chowk, Charkop Sector -6, Kandivali (W</v>
          </cell>
        </row>
        <row r="397">
          <cell r="F397">
            <v>9869652536</v>
          </cell>
          <cell r="G397" t="str">
            <v>chandakssaurabh@gmail.com</v>
          </cell>
          <cell r="H397" t="str">
            <v>1001, Divya Gunjan Gaurav Garden Complex, Ganesh Chowk, Charkop Sector -6, Kandivali (W</v>
          </cell>
        </row>
        <row r="398">
          <cell r="F398">
            <v>9869652536</v>
          </cell>
          <cell r="G398" t="str">
            <v>chandakssaurabh@gmail.com</v>
          </cell>
          <cell r="H398" t="str">
            <v>1001, Divya Gunjan Gaurav Garden Complex, Ganesh Chowk, Charkop Sector -6, Kandivali (W</v>
          </cell>
        </row>
        <row r="399">
          <cell r="F399">
            <v>9320102206</v>
          </cell>
          <cell r="G399" t="str">
            <v>Shankarchandak@rediffmail.Com</v>
          </cell>
          <cell r="H399" t="str">
            <v>1001, Divya Gunjan Gaurav Garden Complex, Ganesh Chowk, Charkop Sector -6, Kandivali (W</v>
          </cell>
        </row>
        <row r="400">
          <cell r="F400">
            <v>9323380926</v>
          </cell>
          <cell r="H400" t="str">
            <v>304 Charkop  Rajnigandha CHS Sector No 1  Plot No 4, Kandivali (W</v>
          </cell>
        </row>
        <row r="401">
          <cell r="F401">
            <v>9833681821</v>
          </cell>
          <cell r="H401" t="str">
            <v>504  Kanya Kumari CHS  Nr  Santoshimata Mandir  M.g. Road</v>
          </cell>
        </row>
        <row r="402">
          <cell r="F402">
            <v>9619537250</v>
          </cell>
          <cell r="G402" t="str">
            <v>dagajp@gmail.com</v>
          </cell>
          <cell r="H402" t="str">
            <v>A-101  Trishul Heights  Nr.blue Empire Complex Link Road</v>
          </cell>
        </row>
        <row r="403">
          <cell r="F403">
            <v>9819781909</v>
          </cell>
          <cell r="G403" t="str">
            <v>mdakhera@gmail.com</v>
          </cell>
          <cell r="H403" t="str">
            <v>403 Shanti Apartment S V Road,Opp Kandivali Exchange ,Kandivali (W</v>
          </cell>
        </row>
        <row r="404">
          <cell r="F404">
            <v>9322297669</v>
          </cell>
          <cell r="G404" t="str">
            <v>ananddamani72@gmail.com</v>
          </cell>
          <cell r="H404" t="str">
            <v>Kshitij CHS. C/3   Devnagar Derasar Road, Kandivali (W</v>
          </cell>
        </row>
        <row r="405">
          <cell r="F405">
            <v>9892002017</v>
          </cell>
          <cell r="G405" t="str">
            <v>anujdamani97@gmail.com</v>
          </cell>
          <cell r="H405" t="str">
            <v>Kshitij CHS. C/3   Devnagar Derasar Road, Kandivali (W</v>
          </cell>
        </row>
        <row r="406">
          <cell r="F406">
            <v>9322920370</v>
          </cell>
          <cell r="G406" t="str">
            <v>anushreedammani@gmail.com</v>
          </cell>
          <cell r="H406" t="str">
            <v>Kshitij CHS. C/3   Devnagar Derasar Road, Kandivali (W</v>
          </cell>
        </row>
        <row r="407">
          <cell r="F407">
            <v>9820001822</v>
          </cell>
          <cell r="H407" t="str">
            <v>Kshitij CHS. C/3   Devnagar Derasar Road, Kandivali (W</v>
          </cell>
        </row>
        <row r="408">
          <cell r="F408">
            <v>9324197678</v>
          </cell>
          <cell r="G408" t="str">
            <v>priyankadamani81@gmail.com</v>
          </cell>
          <cell r="H408" t="str">
            <v>Kshitij CHS. C/3   Devnagar Derasar Road, Kandivali (W</v>
          </cell>
        </row>
        <row r="409">
          <cell r="F409">
            <v>9987536868</v>
          </cell>
          <cell r="G409" t="str">
            <v>sarvottamdamani@gmail.com</v>
          </cell>
          <cell r="H409" t="str">
            <v>Kshitij CHS. C/3   Devnagar Derasar Road, Kandivali (W</v>
          </cell>
        </row>
        <row r="410">
          <cell r="F410">
            <v>9820101822</v>
          </cell>
          <cell r="G410" t="str">
            <v>sldamani45@gmail.com</v>
          </cell>
          <cell r="H410" t="str">
            <v>Kshitij CHS. C/3   Devnagar Derasar Road, Kandivali (W</v>
          </cell>
        </row>
        <row r="411">
          <cell r="F411">
            <v>9869089190</v>
          </cell>
          <cell r="H411" t="str">
            <v>C-501  Paranay Vidya Opp. Pawar Public School</v>
          </cell>
        </row>
        <row r="412">
          <cell r="F412">
            <v>9820558544</v>
          </cell>
          <cell r="H412" t="str">
            <v>302 A Wing  Shubham  Gaurav Garden Complex Near Diya Gunjan Bldg  Ganesh Chowk, Kandivali (W</v>
          </cell>
        </row>
        <row r="413">
          <cell r="F413">
            <v>7208998099</v>
          </cell>
          <cell r="G413" t="str">
            <v>ankitd70@gmail.com</v>
          </cell>
          <cell r="H413" t="str">
            <v>201, Dhvani Bldg. Plot 11, Ganesh Nagar Old Link Road, Charkop, Kandivali (W</v>
          </cell>
        </row>
        <row r="414">
          <cell r="F414">
            <v>9869249453</v>
          </cell>
          <cell r="G414" t="str">
            <v>hariprakashdhoot@gmail.com</v>
          </cell>
          <cell r="H414" t="str">
            <v>201, Dhvani Bldg. Plot 11, Ganesh Nagar Old Link Road, Charkop, Kandivali (W</v>
          </cell>
        </row>
        <row r="415">
          <cell r="H415" t="str">
            <v>Kamal Apartment  D-101 Nilambuj Shankar Lane</v>
          </cell>
        </row>
        <row r="416">
          <cell r="F416">
            <v>9730934087</v>
          </cell>
          <cell r="G416" t="str">
            <v>nice2seeu1@gmail.com</v>
          </cell>
          <cell r="H416" t="str">
            <v>Shubhakamana CHSL., C-23, Plot No. 513, RSC-45 Sector-5, Charkop, Kandivali (W</v>
          </cell>
        </row>
        <row r="417">
          <cell r="F417">
            <v>9869421034</v>
          </cell>
          <cell r="G417" t="str">
            <v>omprakashdhoot@yahoo.co.in</v>
          </cell>
          <cell r="H417" t="str">
            <v>301-Dhwani CHS Plot No 11 Ganesh Nagar Dhwani chsl</v>
          </cell>
        </row>
        <row r="418">
          <cell r="H418" t="str">
            <v>A/12 Padma, Opp Bobby Shopping Centre Dahanukar Wadi, Kandivali (W</v>
          </cell>
        </row>
        <row r="419">
          <cell r="F419">
            <v>9821524187</v>
          </cell>
          <cell r="H419" t="str">
            <v>D/402  Pushp Heritage Dahanukar Wad  I Near Mahaveer Nagar</v>
          </cell>
        </row>
        <row r="420">
          <cell r="F420">
            <v>9322335192</v>
          </cell>
          <cell r="H420" t="str">
            <v>A/12.Zenith CHS .Ltd. Plot No.8/217 Sector 3. Opp.Saraswat Bank.Charkop. Kandivali (W.Mumbai - .</v>
          </cell>
        </row>
        <row r="421">
          <cell r="F421">
            <v>9324336209</v>
          </cell>
          <cell r="G421" t="str">
            <v>gaggary@yahoo.com</v>
          </cell>
          <cell r="H421" t="str">
            <v>A-12  Jenit  Sector -3  Charkop Opp  Saraswat Bank,kandivali(w</v>
          </cell>
        </row>
        <row r="422">
          <cell r="F422">
            <v>9324645508</v>
          </cell>
          <cell r="G422" t="str">
            <v>mrgattani@hotmail.com</v>
          </cell>
          <cell r="H422" t="str">
            <v>Rock Enclave, F-122,   Near ICICI Bank, Hindustan Naka, Kandivali (W</v>
          </cell>
        </row>
        <row r="423">
          <cell r="F423">
            <v>9699435989</v>
          </cell>
          <cell r="G423" t="str">
            <v>aditya.gatyani@gmail.com</v>
          </cell>
          <cell r="H423" t="str">
            <v>Login chs, 1804, Link road,dahanukarwadi</v>
          </cell>
        </row>
        <row r="424">
          <cell r="F424" t="str">
            <v>9769240192 / 9769830</v>
          </cell>
          <cell r="G424" t="str">
            <v>harshca2006@gmail.com</v>
          </cell>
          <cell r="H424" t="str">
            <v>A/303  Shree Niketan  Near Lalji Pada Polic Chowki  New Link Road  Kandivali (W</v>
          </cell>
        </row>
        <row r="425">
          <cell r="F425">
            <v>9968855475</v>
          </cell>
          <cell r="G425" t="str">
            <v>rahulheda1@gmail.com</v>
          </cell>
          <cell r="H425" t="str">
            <v>1502, A Wing  Orchid Suburbia, New Link Road, Kandivali West</v>
          </cell>
        </row>
        <row r="426">
          <cell r="H426" t="str">
            <v>Room No-7  Mahalaxmi Niwas S.V.Road</v>
          </cell>
        </row>
        <row r="427">
          <cell r="F427">
            <v>9820817039</v>
          </cell>
          <cell r="G427" t="str">
            <v>surendraheda@gmail.com</v>
          </cell>
          <cell r="H427" t="str">
            <v>Rajshivganga 1506 Ganesh Nagar, Kandivali w</v>
          </cell>
        </row>
        <row r="428">
          <cell r="H428" t="str">
            <v>Flat No.202  Bldg No.8  Shivaji Raje Complex Samarth Nagar Link Road</v>
          </cell>
        </row>
        <row r="429">
          <cell r="F429">
            <v>9867683546</v>
          </cell>
          <cell r="G429" t="str">
            <v>Ganganaval@rediffmail.Com</v>
          </cell>
          <cell r="H429" t="str">
            <v>204.ridhi Siddhi Society Plot No.5.sector 1.charkop</v>
          </cell>
        </row>
        <row r="430">
          <cell r="F430">
            <v>9923332601</v>
          </cell>
          <cell r="G430" t="str">
            <v>sheetaljakhotiya@gmail.com</v>
          </cell>
          <cell r="H430" t="str">
            <v>Astor Place B/301 Charkop Sector - 03</v>
          </cell>
        </row>
        <row r="431">
          <cell r="F431">
            <v>9833180748</v>
          </cell>
          <cell r="H431" t="str">
            <v>Flat 701 A Mahavir Darshan A Wing Plot 2 Sector 2 Charkop Kandivali .</v>
          </cell>
        </row>
        <row r="432">
          <cell r="F432">
            <v>9820074656</v>
          </cell>
          <cell r="G432" t="str">
            <v>saurabhsjhavar@gmail.com</v>
          </cell>
          <cell r="H432" t="str">
            <v>B /26  Madhurima CHS M.G. Road  Kandivali (W</v>
          </cell>
        </row>
        <row r="433">
          <cell r="F433">
            <v>9892582361</v>
          </cell>
          <cell r="H433" t="str">
            <v>A 1001 Gaurav Geet  10th Floor Gaurav Gadern Complex Bunder Pakhadi Road Kandivali (W -</v>
          </cell>
        </row>
        <row r="434">
          <cell r="F434">
            <v>9029634348</v>
          </cell>
          <cell r="G434" t="str">
            <v>saurabhsjhavar@gmail.com</v>
          </cell>
          <cell r="H434" t="str">
            <v>B /26  Madhurima CHS M.G. Road  Kandivali (W</v>
          </cell>
        </row>
        <row r="435">
          <cell r="F435">
            <v>9820810762</v>
          </cell>
          <cell r="G435" t="str">
            <v>jshrikant66@gmail.com</v>
          </cell>
          <cell r="H435" t="str">
            <v>26/B  Madhurima CHS   M.G.Road  Kandivali Village   Kandivali I (W</v>
          </cell>
        </row>
        <row r="436">
          <cell r="F436">
            <v>9892506964</v>
          </cell>
          <cell r="G436" t="str">
            <v>artikabra@gmail.com</v>
          </cell>
          <cell r="H436" t="str">
            <v>903, Mayfair Greens gaon Devi Road, Poisar , Kandivali (W</v>
          </cell>
        </row>
        <row r="437">
          <cell r="F437">
            <v>9920485387</v>
          </cell>
          <cell r="G437" t="str">
            <v>dineshkabra200@gmail.com</v>
          </cell>
          <cell r="H437" t="str">
            <v>Sita Sadan  C-23  Sky Build Village Opp. Dev Nagar, Behind Bhatia High School, Kandivali (W</v>
          </cell>
        </row>
        <row r="438">
          <cell r="F438">
            <v>9322676231</v>
          </cell>
          <cell r="G438" t="str">
            <v>depikakabra68@gmail.com</v>
          </cell>
          <cell r="H438" t="str">
            <v>C-23  Sita Sadan  Opp.Dev Nagar Sai Baba Nagar  Behind Bhatia School, Kandivali (W</v>
          </cell>
        </row>
        <row r="439">
          <cell r="F439">
            <v>9867920672</v>
          </cell>
          <cell r="G439" t="str">
            <v>narendrakabra@hotmail.com</v>
          </cell>
          <cell r="H439" t="str">
            <v>15  Indralok CHS.  Near Adukia School  Balika Vidyalay Marg</v>
          </cell>
        </row>
        <row r="440">
          <cell r="H440" t="str">
            <v>447/6 Gurukrupa CHS Sector - 4 Charkop Kandivali (W  -</v>
          </cell>
        </row>
        <row r="441">
          <cell r="F441">
            <v>9324819088</v>
          </cell>
          <cell r="G441" t="str">
            <v>bamehta1701@gmail.com</v>
          </cell>
          <cell r="H441" t="str">
            <v>B-803, Shiv Veer Co-op Society, Charkop Sector -8 Behind Charkop MTNL, Kandivali (W</v>
          </cell>
        </row>
        <row r="442">
          <cell r="H442" t="str">
            <v>D302  Pancham Apt No.1 Hemu Colony  Cross Road 2  Irani Wadi</v>
          </cell>
        </row>
        <row r="443">
          <cell r="G443" t="str">
            <v>shilpa@thedesignbox.in</v>
          </cell>
          <cell r="H443" t="str">
            <v>B- 307. Hulas Basti Gardens Dutt Mandir Road, Mahavir Nagar  Kandivali (W</v>
          </cell>
        </row>
        <row r="444">
          <cell r="H444" t="str">
            <v>B-203  seamist  Plot no. 3 Sector 8  Charkop</v>
          </cell>
        </row>
        <row r="445">
          <cell r="H445" t="str">
            <v>603 Blue Ocean Ii Hsg Soc Mahavir Nagar Kandivali (W  -</v>
          </cell>
        </row>
        <row r="446">
          <cell r="F446">
            <v>8777740593</v>
          </cell>
          <cell r="H446" t="str">
            <v>14-B  Madhurima 4th Floor  M.G.Road</v>
          </cell>
        </row>
        <row r="447">
          <cell r="H447" t="str">
            <v>14-B  Madhurima 4th Floor  M.G.Road</v>
          </cell>
        </row>
        <row r="448">
          <cell r="F448">
            <v>9821268271</v>
          </cell>
          <cell r="G448" t="str">
            <v>yogen.m1@gmail.com</v>
          </cell>
          <cell r="H448" t="str">
            <v>1003, 10th Floor, Mayfair Greens CHS Ltd 88A, Gaodevi Road,  Near Poisar Subway, Poisar, Kandivali West</v>
          </cell>
        </row>
        <row r="449">
          <cell r="F449">
            <v>9327252521</v>
          </cell>
          <cell r="H449" t="str">
            <v>301 Shree Arihant Chs, Sector 1 Plot 123, Charkop Kandivali (W</v>
          </cell>
        </row>
        <row r="450">
          <cell r="F450">
            <v>9004255553</v>
          </cell>
          <cell r="G450" t="str">
            <v>jugalmaheswarikela@gmail.com</v>
          </cell>
          <cell r="H450" t="str">
            <v>301 Shree Arihant Chs, Sector 1 Plot 123, Charkop Kandivali (W</v>
          </cell>
        </row>
        <row r="451">
          <cell r="H451" t="str">
            <v>C/308  Blue Complex Dahanukar Wadi Mahavir Nagar Kandivali (W -</v>
          </cell>
        </row>
        <row r="452">
          <cell r="F452">
            <v>9930459981</v>
          </cell>
          <cell r="H452" t="str">
            <v>Link Road, Above Puma Showroom</v>
          </cell>
        </row>
        <row r="453">
          <cell r="F453">
            <v>9820246617</v>
          </cell>
          <cell r="G453" t="str">
            <v>gautam.ncr@gmail.com</v>
          </cell>
          <cell r="H453" t="str">
            <v>J-502  Rna Regency Park CHS. Ltd Maharashtra Nagar  M.g. Road  Off Link Road</v>
          </cell>
        </row>
        <row r="454">
          <cell r="F454">
            <v>9819191830</v>
          </cell>
          <cell r="G454" t="str">
            <v>madhuritawri@gmail.com</v>
          </cell>
          <cell r="H454" t="str">
            <v>J-502  Rna Regency Park CHS. Ltd Maharashtra Nagar  M.g. Road  Off Link Road</v>
          </cell>
        </row>
        <row r="455">
          <cell r="F455">
            <v>9869461088</v>
          </cell>
          <cell r="G455" t="str">
            <v>nakulkothari1970@gmail.com</v>
          </cell>
          <cell r="H455" t="str">
            <v>A-604  6TH FLOOR SHREE HIGHLAND PARK CHS LTD NEW LINK ROAD  DAHANUKAR WADI</v>
          </cell>
        </row>
        <row r="456">
          <cell r="F456">
            <v>9930770867</v>
          </cell>
          <cell r="G456" t="str">
            <v>cssourabhkothari@gmail.com</v>
          </cell>
          <cell r="H456" t="str">
            <v>B-403, Jalaram Jyot Apartment  Highland Park, Charkop Village, Kandivali (W</v>
          </cell>
        </row>
        <row r="457">
          <cell r="F457">
            <v>8823915926</v>
          </cell>
          <cell r="H457" t="str">
            <v>B -25  Dattani Apartment  Opp Vaishnav Hall Near Shatabadi Hospital  S.v. Road</v>
          </cell>
        </row>
        <row r="458">
          <cell r="H458" t="str">
            <v>B/605  Rna Towership M.G.Road</v>
          </cell>
        </row>
        <row r="459">
          <cell r="F459">
            <v>9821377487</v>
          </cell>
          <cell r="G459" t="str">
            <v>info@tdkchemtrol.com</v>
          </cell>
          <cell r="H459" t="str">
            <v>1306  Kamalavihar G-Wing  Bldg No. 5  Mahavir Nagar</v>
          </cell>
        </row>
        <row r="460">
          <cell r="F460">
            <v>9819884085</v>
          </cell>
          <cell r="G460" t="str">
            <v>sandeep.ladha@gmail.com</v>
          </cell>
          <cell r="H460" t="str">
            <v>B-801  Riddhi Siddhi  Opp. Swimming Pool Off M G Road  Kandivali (W</v>
          </cell>
        </row>
        <row r="461">
          <cell r="F461">
            <v>9820459261</v>
          </cell>
          <cell r="G461" t="str">
            <v>lahotijk@yahoo.com</v>
          </cell>
          <cell r="H461" t="str">
            <v>Rock Enclave, F-123 Sahyadri Nagar, Near Hindustan Naka, Kandivali (W</v>
          </cell>
        </row>
        <row r="462">
          <cell r="G462" t="str">
            <v>Kaushallahoti@indiatimes.Com</v>
          </cell>
          <cell r="H462" t="str">
            <v>5  Mangal Dham CHS . Plot No. 340  Sector-3  Charkop</v>
          </cell>
        </row>
        <row r="463">
          <cell r="H463" t="str">
            <v>B/29-346 Sai Chaya Society Charkop Kandivali (W  -</v>
          </cell>
        </row>
        <row r="464">
          <cell r="F464">
            <v>9869632416</v>
          </cell>
          <cell r="G464" t="str">
            <v>kblahoti@gmail.com</v>
          </cell>
          <cell r="H464" t="str">
            <v>106/18 Shri Sandhya CHS  Sector No 1 Charkop</v>
          </cell>
        </row>
        <row r="465">
          <cell r="F465">
            <v>9702560544</v>
          </cell>
          <cell r="H465" t="str">
            <v>244/7  Sai Prerana Soc. Sector-2 Ganesh Mandir  Charkop</v>
          </cell>
        </row>
        <row r="466">
          <cell r="H466" t="str">
            <v>536-D-3  Sector No-5 Shanta Bhavan Charkop Kandivali (W -</v>
          </cell>
        </row>
        <row r="467">
          <cell r="F467">
            <v>9324802364</v>
          </cell>
          <cell r="H467" t="str">
            <v>Q-1104 Panchsheel Garden Mahavir Nagar</v>
          </cell>
        </row>
        <row r="468">
          <cell r="F468">
            <v>9920135003</v>
          </cell>
          <cell r="G468" t="str">
            <v>ravilohia@gmail.com</v>
          </cell>
          <cell r="H468" t="str">
            <v>C-62  Sky Build Village,  Sita Sadan, Opp.Dev Nagar, Behind Bhatia High School, Kandivali (W</v>
          </cell>
        </row>
        <row r="469">
          <cell r="F469">
            <v>9820550154</v>
          </cell>
          <cell r="G469" t="str">
            <v>gslohia@gmail.com</v>
          </cell>
          <cell r="H469" t="str">
            <v>Sita Sadan, C-51, Sky Build Village  Opp. Devnagar, Behind Bhatia High School, Kandivali (W</v>
          </cell>
        </row>
        <row r="470">
          <cell r="F470">
            <v>9930868776</v>
          </cell>
          <cell r="G470" t="str">
            <v>hemant4u1711@gmail.com</v>
          </cell>
          <cell r="H470" t="str">
            <v>Sita Sadan, C-51, Sky Build Village  Opp. Devnagar, Behind Bhatia High School, Kandivali (W</v>
          </cell>
        </row>
        <row r="471">
          <cell r="F471">
            <v>9820550153</v>
          </cell>
          <cell r="G471" t="str">
            <v>kamalkishorelohia@gmail.com</v>
          </cell>
          <cell r="H471" t="str">
            <v>C-62  Sita Sadan, Sky Build Village, Opp.Devnagar, Behind Bhatia High School, Kandivali (W</v>
          </cell>
        </row>
        <row r="472">
          <cell r="F472">
            <v>9930717024</v>
          </cell>
          <cell r="G472" t="str">
            <v>klohia67@gmail.com</v>
          </cell>
          <cell r="H472" t="str">
            <v>Sita Sadan, C-51, Sky Build Village  Opp. Devnagar, Behind Bhatia High School, Kandivali (W</v>
          </cell>
        </row>
        <row r="473">
          <cell r="F473">
            <v>9920357523</v>
          </cell>
          <cell r="G473" t="str">
            <v>kamalkishorelohia@gmail.com</v>
          </cell>
          <cell r="H473" t="str">
            <v>C-62  Sky Build Village,  Sita Sadan, Opp.Dev Nagar, Behind Bhatia High School, Kandivali (W</v>
          </cell>
        </row>
        <row r="474">
          <cell r="F474">
            <v>9819621190</v>
          </cell>
          <cell r="G474" t="str">
            <v>lohiamadhuri@gmail.com</v>
          </cell>
          <cell r="H474" t="str">
            <v>C-41  Sitasadan  New Saibaba Nagar</v>
          </cell>
        </row>
        <row r="475">
          <cell r="F475">
            <v>9819621190</v>
          </cell>
          <cell r="G475" t="str">
            <v>Maheshlohia@gmail.Com</v>
          </cell>
          <cell r="H475" t="str">
            <v>C-41 Sita Sadan New Saibaba Nagar, Kandivali (W</v>
          </cell>
        </row>
        <row r="476">
          <cell r="F476">
            <v>9833025492</v>
          </cell>
          <cell r="G476" t="str">
            <v>poonamlohia2401@gmail.com</v>
          </cell>
          <cell r="H476" t="str">
            <v>C-62  Sky Build Village,  Sita Sadan, Opp.Dev Nagar, Behind Bhatia High School, Kandivali (W</v>
          </cell>
        </row>
        <row r="477">
          <cell r="F477">
            <v>9820858454</v>
          </cell>
          <cell r="G477" t="str">
            <v>ravilohia@gmail.com</v>
          </cell>
          <cell r="H477" t="str">
            <v>C-62  Sky Build Village,  Sita Sadan, Opp.Dev Nagar,v Behind Bhatia High School, Kandivali (W</v>
          </cell>
        </row>
        <row r="478">
          <cell r="F478">
            <v>9833157877</v>
          </cell>
          <cell r="G478" t="str">
            <v>rohitlohia432@gmail.com</v>
          </cell>
          <cell r="H478" t="str">
            <v>Sita Sadan, C-51, Sky Build Village  Opp. Devnagar, Behind Bhatia High School, Kandivali (W</v>
          </cell>
        </row>
        <row r="479">
          <cell r="F479">
            <v>9821546649</v>
          </cell>
          <cell r="G479" t="str">
            <v>surbhimalani4@gmail.com</v>
          </cell>
          <cell r="H479" t="str">
            <v>Sita Sadan, C-51, Sky Build Village  Opp. Devnagar, Behind Bhatia High School, Kandivali (W</v>
          </cell>
        </row>
        <row r="480">
          <cell r="F480">
            <v>9167730854</v>
          </cell>
          <cell r="G480" t="str">
            <v>ankitvishi82@outlook.com</v>
          </cell>
          <cell r="H480" t="str">
            <v>J - 305  Country Park  Datta Pada Road  Off. Tata Steel</v>
          </cell>
        </row>
        <row r="481">
          <cell r="F481">
            <v>9323908004</v>
          </cell>
          <cell r="H481" t="str">
            <v>A-501 Kesar Residency Sector 3 Charkop  Kandivali West  Mumbai .</v>
          </cell>
        </row>
        <row r="482">
          <cell r="H482" t="str">
            <v>Bhat Lane Near Bhatia School Kandivali (W  -</v>
          </cell>
        </row>
        <row r="483">
          <cell r="F483">
            <v>9820865215</v>
          </cell>
          <cell r="H483" t="str">
            <v>A-1104 Panchsheel Heights Mahaveer Nagar</v>
          </cell>
        </row>
        <row r="484">
          <cell r="F484">
            <v>9930996695</v>
          </cell>
          <cell r="G484" t="str">
            <v>globalsteel9@gmail.com</v>
          </cell>
          <cell r="H484" t="str">
            <v>1703, Pristina Hiranandani Heritage S.V. Road, Opp. Poiser Bus Depo, Kandivali (W</v>
          </cell>
        </row>
        <row r="485">
          <cell r="F485">
            <v>9930175944</v>
          </cell>
          <cell r="H485" t="str">
            <v>A-1302  Vrandavan Vatika CHS Ltd. Jamnadas Adukia Marg</v>
          </cell>
        </row>
        <row r="486">
          <cell r="F486">
            <v>9867399388</v>
          </cell>
          <cell r="G486" t="str">
            <v>manoj0123@yahoo.com</v>
          </cell>
          <cell r="H486" t="str">
            <v>702  Veer Tower   Dev Nagar  Derasar Lane</v>
          </cell>
        </row>
        <row r="487">
          <cell r="F487">
            <v>9869063440</v>
          </cell>
          <cell r="G487" t="str">
            <v>meet.vinodmaheshwari@gmail.com</v>
          </cell>
          <cell r="H487" t="str">
            <v>901  Vasant Aradhana Tower   Mahavir Nagar Dahanukar Wadi</v>
          </cell>
        </row>
        <row r="488">
          <cell r="F488">
            <v>9819700400</v>
          </cell>
          <cell r="G488" t="str">
            <v>malaninilesh@gmail.com</v>
          </cell>
          <cell r="H488" t="str">
            <v>F-901  Orchid Suburbia Link Road</v>
          </cell>
        </row>
        <row r="489">
          <cell r="F489">
            <v>9321116465</v>
          </cell>
          <cell r="G489" t="str">
            <v>acumen4advisory@gmail.com</v>
          </cell>
          <cell r="H489" t="str">
            <v>A/1303  Shree Niketan  Nr. Lalji Pada Police Chowky Dhanukarwari  New Link Road</v>
          </cell>
        </row>
        <row r="490">
          <cell r="H490" t="str">
            <v>B-1205  Ekta Terrace Mahavir Nagar</v>
          </cell>
        </row>
        <row r="491">
          <cell r="F491">
            <v>9833069716</v>
          </cell>
          <cell r="H491" t="str">
            <v>G-404 Neelambuj Kamal Apt Shankar Lane</v>
          </cell>
        </row>
        <row r="492">
          <cell r="F492">
            <v>9821064741</v>
          </cell>
          <cell r="G492" t="str">
            <v>sushilmalpani@gmail.com</v>
          </cell>
          <cell r="H492" t="str">
            <v>A-602, SHUBH SHANTI CHSL, DAHANUKARWADI, BEHIND MAHATRE PLAZA, KANDIVLI WEST M.G. Road</v>
          </cell>
        </row>
        <row r="493">
          <cell r="F493">
            <v>7498489065</v>
          </cell>
          <cell r="H493" t="str">
            <v>Blue Empire Complex Soc. Blue Oasis Bldg no-1  E-Wing  Flat no.206 2nd floor  Nr. Ekta Nagar  Mahavir Nagar  Link Road, Kandivali (W</v>
          </cell>
        </row>
        <row r="494">
          <cell r="F494">
            <v>9892859889</v>
          </cell>
          <cell r="G494" t="str">
            <v>satishmalpani80@yahoo.com</v>
          </cell>
          <cell r="H494" t="str">
            <v>B-603  Panchsheel Heights Mahavir Nagar</v>
          </cell>
        </row>
        <row r="495">
          <cell r="F495">
            <v>9702512632</v>
          </cell>
          <cell r="G495" t="str">
            <v>vinay_malpani@yahoo.co.in</v>
          </cell>
          <cell r="H495" t="str">
            <v>A-602, SHUBH SHANTI CHSL, DAHANUKARWADI, BEHIND MAHATRE PLAZA, KANDIVLI WEST M.G. Road</v>
          </cell>
        </row>
        <row r="496">
          <cell r="F496">
            <v>8976639294</v>
          </cell>
          <cell r="G496" t="str">
            <v>yogeshmalpani96@gmail.com</v>
          </cell>
          <cell r="H496" t="str">
            <v>501  Shree Radhe Darshan CHS. Ltd.  Iraniwadi No.2  Mathuradas Extension Rd  Kandivali (W</v>
          </cell>
        </row>
        <row r="497">
          <cell r="F497">
            <v>9022173050</v>
          </cell>
          <cell r="H497" t="str">
            <v>C-23/522  Swapnil Co-Op Soc Sector-5  Charkop Kandivali(W.</v>
          </cell>
        </row>
        <row r="498">
          <cell r="F498">
            <v>9820164386</v>
          </cell>
          <cell r="G498" t="str">
            <v>raj_mad123@yahoo.com</v>
          </cell>
          <cell r="H498" t="str">
            <v>A-2304, Kalpvruksh Heights, New Link Road, Nr. Lalji Pada,,, Police Station, Kandivali (W</v>
          </cell>
        </row>
        <row r="499">
          <cell r="H499" t="str">
            <v>J/502  Panchsheel Garden Mahavir Nagar  Dahanukar Wadi</v>
          </cell>
        </row>
        <row r="500">
          <cell r="H500" t="str">
            <v>J/502  Panchsheel Garden Mahavir Nagar  Dahanukar Wadi</v>
          </cell>
        </row>
        <row r="501">
          <cell r="F501">
            <v>9820994142</v>
          </cell>
          <cell r="G501" t="str">
            <v>gsmantri@gmail.com</v>
          </cell>
          <cell r="H501" t="str">
            <v>Bunglow -10 Aama road no.7  charco sector 8</v>
          </cell>
        </row>
        <row r="502">
          <cell r="H502" t="str">
            <v>51  Madhurima Society M.G.Road</v>
          </cell>
        </row>
        <row r="503">
          <cell r="F503">
            <v>9320002281</v>
          </cell>
          <cell r="G503" t="str">
            <v>msourabh@gmail.com</v>
          </cell>
          <cell r="H503" t="str">
            <v>C-46 Poddar Apartment S. V. Road</v>
          </cell>
        </row>
        <row r="504">
          <cell r="H504" t="str">
            <v>103 Anant - Ravi Society  Plot No 230 Charkop</v>
          </cell>
        </row>
        <row r="505">
          <cell r="F505">
            <v>9820305235</v>
          </cell>
          <cell r="G505" t="str">
            <v>mansismundada@gmail.com</v>
          </cell>
          <cell r="H505" t="str">
            <v>C-43, Adarsh CHSL., Modi Nagar,OPP VANZARWADI  Mathuradas Road, Kandivali (W</v>
          </cell>
        </row>
        <row r="506">
          <cell r="H506" t="str">
            <v>42ganesh Bldg  Flat No 143  Sector No.6 Charkop Kandivali (E  -</v>
          </cell>
        </row>
        <row r="507">
          <cell r="H507" t="str">
            <v>B/13  Bubna House 193  S.V.Road</v>
          </cell>
        </row>
        <row r="508">
          <cell r="H508" t="str">
            <v>5-B/8  Majithiya Nagar S.V.Road .</v>
          </cell>
        </row>
        <row r="509">
          <cell r="F509">
            <v>9820744204</v>
          </cell>
          <cell r="G509" t="str">
            <v>scg200@gmail.com</v>
          </cell>
          <cell r="H509" t="str">
            <v>22  Parijat Bldg-1  M.G.Road  Mahavir Nagar Dahanukar Wadi</v>
          </cell>
        </row>
        <row r="510">
          <cell r="G510" t="str">
            <v>sudhirmundra@gmail.com</v>
          </cell>
          <cell r="H510" t="str">
            <v>503  Mangalam Tower  Nr.Kala Hanuman Mandir Madurima Soc. 4th Floor.M.G.Road</v>
          </cell>
        </row>
        <row r="511">
          <cell r="F511">
            <v>9869000126</v>
          </cell>
          <cell r="G511" t="str">
            <v>umeshmundra75@yahoo.com</v>
          </cell>
          <cell r="H511" t="str">
            <v>503  Mangalam Tower  Nr.Kala Hanuman Mandir M.G. Road</v>
          </cell>
        </row>
        <row r="512">
          <cell r="H512" t="str">
            <v>7-A  Sanghi Apts 3rd Floor Kamla Nehru Cross Road</v>
          </cell>
        </row>
        <row r="513">
          <cell r="F513">
            <v>9821327987</v>
          </cell>
          <cell r="H513" t="str">
            <v>51 5th Floor Plot No 243 Nayalai Co Op Hsg Society Sector No 1 Charkop Kandivali Maumbai -67 .</v>
          </cell>
        </row>
        <row r="514">
          <cell r="F514">
            <v>9322366700</v>
          </cell>
          <cell r="G514" t="str">
            <v>ca.monik@gmail.com</v>
          </cell>
          <cell r="H514" t="str">
            <v>Flat no. E/704  Orchid Suburbia  Link Road</v>
          </cell>
        </row>
        <row r="515">
          <cell r="F515">
            <v>9324698060</v>
          </cell>
          <cell r="G515" t="str">
            <v>rlmca15@gmail.com</v>
          </cell>
          <cell r="H515" t="str">
            <v>102, Ramjharokha, Plot No. 116 Sector-2, Near King George School, Charkop, Kandivali (W</v>
          </cell>
        </row>
        <row r="516">
          <cell r="F516">
            <v>9821692529</v>
          </cell>
          <cell r="G516" t="str">
            <v>anilnawal1@gmail.com</v>
          </cell>
          <cell r="H516" t="str">
            <v>B-307, Raj Arcade, Mahavir Nagar, Kandivali (W</v>
          </cell>
        </row>
        <row r="517">
          <cell r="H517" t="str">
            <v>13  Kanyakumari Bldg M.G.Road Nr.Santoshi Mata Mandir</v>
          </cell>
        </row>
        <row r="518">
          <cell r="H518" t="str">
            <v>51/603  Breeze Apts Shivaji Raja Complex New Link Road Kandivali (W -</v>
          </cell>
        </row>
        <row r="519">
          <cell r="F519">
            <v>9867156354</v>
          </cell>
          <cell r="G519" t="str">
            <v>jp.parwal@gmail.com</v>
          </cell>
          <cell r="H519" t="str">
            <v>Anant Ravi Flat No.202  2nd floor  Sector-5  Charkop</v>
          </cell>
        </row>
        <row r="520">
          <cell r="F520">
            <v>9867226419</v>
          </cell>
          <cell r="H520" t="str">
            <v>B-204, Orchid Suburbia  Linking Road, Kandivali west</v>
          </cell>
        </row>
        <row r="521">
          <cell r="F521">
            <v>9820444531</v>
          </cell>
          <cell r="G521" t="str">
            <v>ashish_pugalia1@rediffmail.com</v>
          </cell>
          <cell r="H521" t="str">
            <v>A-1401  Symphony  New Link Road Near Lalji Pada Police Station, Kandivali (W</v>
          </cell>
        </row>
        <row r="522">
          <cell r="F522">
            <v>9323188245</v>
          </cell>
          <cell r="G522" t="str">
            <v>vinodpunglia@gmail.com</v>
          </cell>
          <cell r="H522" t="str">
            <v>V-102  Shubham CHS Near  Ganesh Chowk Kandivali</v>
          </cell>
        </row>
        <row r="523">
          <cell r="F523">
            <v>9819183207</v>
          </cell>
          <cell r="G523" t="str">
            <v>ashishnrathi@gmail.com</v>
          </cell>
          <cell r="H523" t="str">
            <v>A/406  Orchid Suburbia  Off New Link Road  M.g Road  Junction</v>
          </cell>
        </row>
        <row r="524">
          <cell r="F524">
            <v>9987026732</v>
          </cell>
          <cell r="G524" t="str">
            <v>brshah_ca@yahoo.com</v>
          </cell>
          <cell r="H524" t="str">
            <v>B - 502  Ajoy CHS Ltd Datta Mandir Road Dahanukarwadi   Kandivali (W</v>
          </cell>
        </row>
        <row r="525">
          <cell r="F525">
            <v>9892303256</v>
          </cell>
          <cell r="G525" t="str">
            <v>rathideeps@gmail.com</v>
          </cell>
          <cell r="H525" t="str">
            <v>Shivshrusti Building, B-801  Opp. Nirman Diagnostics Centre, Link Road, Kandivali (W</v>
          </cell>
        </row>
        <row r="526">
          <cell r="F526">
            <v>9820962076</v>
          </cell>
          <cell r="G526" t="str">
            <v>rathideeps@gmail.com</v>
          </cell>
          <cell r="H526" t="str">
            <v>Shivshrusti Building, B-801  Opp. Nirman Diagnostics Centre, Link Road, Kandivali (W</v>
          </cell>
        </row>
        <row r="527">
          <cell r="F527">
            <v>9819442861</v>
          </cell>
          <cell r="G527" t="str">
            <v>Devendrarathi@rediffmail.Com</v>
          </cell>
          <cell r="H527" t="str">
            <v>1-1-153 Mohan Nagar Dahanukarwadi Kandivali (W Mumbai 400 067 .</v>
          </cell>
        </row>
        <row r="528">
          <cell r="F528">
            <v>9820442091</v>
          </cell>
          <cell r="G528" t="str">
            <v>dhruvrathi@hotmail.com</v>
          </cell>
          <cell r="H528" t="str">
            <v>Suruchi Vasant Complex CHS. 702   Mahavir Nagar Extn. Opp Kandivali West Metro Station  Kandivali (W</v>
          </cell>
        </row>
        <row r="529">
          <cell r="F529">
            <v>9930252076</v>
          </cell>
          <cell r="G529" t="str">
            <v>harshrathi008@gmail.com</v>
          </cell>
          <cell r="H529" t="str">
            <v>Shivshrusti Building, B-801  Opp. Nirman Diagnostics Centre, Link Road, Kandivali (W</v>
          </cell>
        </row>
        <row r="530">
          <cell r="F530">
            <v>9833200880</v>
          </cell>
          <cell r="G530" t="str">
            <v>rathideeps@gmail.com</v>
          </cell>
          <cell r="H530" t="str">
            <v>Shivshrusti Building, B-801  Opp. Nirman Diagnostics Centre, Link Road, Kandivali (W</v>
          </cell>
        </row>
        <row r="531">
          <cell r="F531">
            <v>9820634447</v>
          </cell>
          <cell r="G531" t="str">
            <v>jitrathi@gmail.com</v>
          </cell>
          <cell r="H531" t="str">
            <v>R/804  Panchsheel Garden  Pqr CHS.ltd. Mahavir Nagar</v>
          </cell>
        </row>
        <row r="532">
          <cell r="F532">
            <v>9819758430</v>
          </cell>
          <cell r="G532" t="str">
            <v>mukku.vimal3611@gmail.com</v>
          </cell>
          <cell r="H532" t="str">
            <v>B/1304  Shiv Shrushthi  Link Road  Mahavir Nagar, Kandivali (W</v>
          </cell>
        </row>
        <row r="533">
          <cell r="F533">
            <v>9820634447</v>
          </cell>
          <cell r="H533" t="str">
            <v>R/804  Panchsheel Garden  PQR CHS.Ltd. Panchsheel Garden Mhavir Nagar  Dahanukar Wadi</v>
          </cell>
        </row>
        <row r="534">
          <cell r="F534">
            <v>9833869339</v>
          </cell>
          <cell r="G534" t="str">
            <v>nits26@rediffmail.com</v>
          </cell>
          <cell r="H534" t="str">
            <v>B -302  Gaurav Geet  Gaurav Garden  Bunder Pakhadi Road  Near Sahyadri Nagar</v>
          </cell>
        </row>
        <row r="535">
          <cell r="F535">
            <v>9323589700</v>
          </cell>
          <cell r="G535" t="str">
            <v>pankajmrathi1@gmail.com</v>
          </cell>
          <cell r="H535" t="str">
            <v>Skylone Spaces, 1704-B Iraniwadi No.4, Kandivali (W</v>
          </cell>
        </row>
        <row r="536">
          <cell r="F536">
            <v>9820507185</v>
          </cell>
          <cell r="G536" t="str">
            <v>pradeep.rathi@thyssenkrupp.com</v>
          </cell>
          <cell r="H536" t="str">
            <v>1302  Rivona A  Hiranandani Heritage S.V. Road  Poinsur</v>
          </cell>
        </row>
        <row r="537">
          <cell r="H537" t="str">
            <v>Indian Plastic Ltd. Poisar, Kandivali (W</v>
          </cell>
        </row>
        <row r="538">
          <cell r="F538">
            <v>9920118100</v>
          </cell>
          <cell r="H538" t="str">
            <v>B/1304  Shiv Shrushthi  Link Road  Mahavir Nagar, Kandivali (W</v>
          </cell>
        </row>
        <row r="539">
          <cell r="F539">
            <v>9820528695</v>
          </cell>
          <cell r="G539" t="str">
            <v>rdrathi1963@gmail.com</v>
          </cell>
          <cell r="H539" t="str">
            <v>A-604 Om Siddhi Vinayak CHS Ltd Plot No 50 Sector No 2 Charkop Kandiwali (W</v>
          </cell>
        </row>
        <row r="540">
          <cell r="F540">
            <v>9869799837</v>
          </cell>
          <cell r="G540" t="str">
            <v>Mahendra.rrathi@gmail.com</v>
          </cell>
          <cell r="H540" t="str">
            <v>502/ A Leena Enclave S V Road Opp. Telephone Exchange Kandivali  (W</v>
          </cell>
        </row>
        <row r="541">
          <cell r="F541">
            <v>9323381117</v>
          </cell>
          <cell r="G541" t="str">
            <v>rukhmanirathi@gmail.com</v>
          </cell>
          <cell r="H541" t="str">
            <v>B-37  Sheela Sadan  Shankar Lane 4th Floor  Near Varahi Mandir</v>
          </cell>
        </row>
        <row r="542">
          <cell r="H542" t="str">
            <v>B/1304  Shiv Shrushthi  Link Road  Mahavir Nagar</v>
          </cell>
        </row>
        <row r="543">
          <cell r="F543">
            <v>9821359693</v>
          </cell>
          <cell r="H543" t="str">
            <v>Shiv Shrusti Chs. Ltd. Flat no. A-1902, A-Wing  New Link RoadOpp. Nirma Diagnistic Polytechnology Center, Mahavir Nagar, Kandivali (W</v>
          </cell>
        </row>
        <row r="544">
          <cell r="F544">
            <v>9920188284</v>
          </cell>
          <cell r="H544" t="str">
            <v>B - 302/402  Gaurav Geet CHS Ltd  Gaurav Garden  Pakhadi Road, Kandivali (W</v>
          </cell>
        </row>
        <row r="545">
          <cell r="F545">
            <v>9821142432</v>
          </cell>
          <cell r="G545" t="str">
            <v>sabooramavtar@yahoo.com</v>
          </cell>
          <cell r="H545" t="str">
            <v>R-104  PANCHSHEEL GARDENS  MAHAVIR NAGAR  DAHANUKAR WADI</v>
          </cell>
        </row>
        <row r="546">
          <cell r="H546" t="str">
            <v>202  Mahavir Darshan  C-Wing Sector-2 Charkop Kandivali (W  -</v>
          </cell>
        </row>
        <row r="547">
          <cell r="F547">
            <v>9869906116</v>
          </cell>
          <cell r="G547" t="str">
            <v>sardakalyan@gmail.com</v>
          </cell>
          <cell r="H547" t="str">
            <v>Estonia B-1002  Hiranandani Heritage Poisar Bridge  S.V. Road</v>
          </cell>
        </row>
        <row r="548">
          <cell r="H548" t="str">
            <v>1201 Basant Aradhana Tower Mahavir Nagar Dahanukar Wadi Kandivali (W  -</v>
          </cell>
        </row>
        <row r="549">
          <cell r="F549">
            <v>9324059577</v>
          </cell>
          <cell r="G549" t="str">
            <v>sarda.ramniwas7@gmail.com</v>
          </cell>
          <cell r="H549" t="str">
            <v>A-401  Lalji Complex CHS Ltd. Linking Road Opp. Symphony Tower &amp; Shanti Nagar Chawl  Dhanukarwadi</v>
          </cell>
        </row>
        <row r="550">
          <cell r="F550">
            <v>9920806808</v>
          </cell>
          <cell r="H550" t="str">
            <v>901  Vasant Aradhna Tower  Mahaveer Nagar  Dhanukarwadi  Near Greatar Bank</v>
          </cell>
        </row>
        <row r="551">
          <cell r="F551">
            <v>9969412335</v>
          </cell>
          <cell r="H551" t="str">
            <v>Estonia B-1002  Hiranandani Heritage Poisar Bridge  S.V. Road, Malad (E</v>
          </cell>
        </row>
        <row r="552">
          <cell r="F552">
            <v>9757120313</v>
          </cell>
          <cell r="G552" t="str">
            <v>suryakantasarda@gmail.com</v>
          </cell>
          <cell r="H552" t="str">
            <v>Estonia B-1002  Hiranandani Heritage Poisar Bridge  S. V. Road, Kandivali (W</v>
          </cell>
        </row>
        <row r="553">
          <cell r="F553">
            <v>9869152484</v>
          </cell>
          <cell r="G553" t="str">
            <v>tarunsarda@yahoo.co.uk</v>
          </cell>
          <cell r="H553" t="str">
            <v>Estonia B-1002  Hiranandani Heritage Poisar Bridge  S. V. Road, Malad (E</v>
          </cell>
        </row>
        <row r="554">
          <cell r="F554">
            <v>9833229112</v>
          </cell>
          <cell r="H554" t="str">
            <v>N.g. Garden  B-204  Inside Gaurav Garden Complex  Bhunder Pakadi Road</v>
          </cell>
        </row>
        <row r="555">
          <cell r="F555">
            <v>9619190941</v>
          </cell>
          <cell r="G555" t="str">
            <v>Manojsomani74@yahoo.Com</v>
          </cell>
          <cell r="H555" t="str">
            <v>Amit Tower  Sector No.-1 Plot No.119  Flat No.302  Charkop</v>
          </cell>
        </row>
        <row r="556">
          <cell r="F556">
            <v>9892126233</v>
          </cell>
          <cell r="H556" t="str">
            <v>Flat No 302 Amit Tower  Sector No1 Plot No 119 Charkop</v>
          </cell>
        </row>
        <row r="557">
          <cell r="F557">
            <v>9820424621</v>
          </cell>
          <cell r="G557" t="str">
            <v>snsomani70@gmail.com</v>
          </cell>
          <cell r="H557" t="str">
            <v>Kum Kum CHSL Sector 1, Plot no. 12, Flat No. 301, 3rd Floor RDP-1, Near Police Station, Kandivali (W</v>
          </cell>
        </row>
        <row r="558">
          <cell r="F558">
            <v>9820020096</v>
          </cell>
          <cell r="G558" t="str">
            <v>Shailneha@hotmail.Com</v>
          </cell>
          <cell r="H558" t="str">
            <v>E-1404  Orchid Suburbia Link Road</v>
          </cell>
        </row>
        <row r="559">
          <cell r="F559">
            <v>9833229112</v>
          </cell>
          <cell r="H559" t="str">
            <v>N.g. Garden  B-204  Inside Gaurav Garden Complex  Bhunder Pakadi Road</v>
          </cell>
        </row>
        <row r="560">
          <cell r="F560">
            <v>8080857770</v>
          </cell>
          <cell r="G560" t="str">
            <v>ankitrpsoni@gmail.com</v>
          </cell>
          <cell r="H560" t="str">
            <v>A-203, Parinee Essence, Ambedkar Road Bhabrekar Nagar, Charkop Gaon, Kandivali (W</v>
          </cell>
        </row>
        <row r="561">
          <cell r="F561">
            <v>9322504532</v>
          </cell>
          <cell r="G561" t="str">
            <v>sonilalit69@yahoo.com</v>
          </cell>
          <cell r="H561" t="str">
            <v>H706 RNA Regency Park, Dhanukar wadi , Kandivali (W</v>
          </cell>
        </row>
        <row r="562">
          <cell r="F562">
            <v>9324233820</v>
          </cell>
          <cell r="G562" t="str">
            <v>soniminu71@gmail.com</v>
          </cell>
          <cell r="H562" t="str">
            <v>H706 RNA Regency Park, Dhanukar wadi , Kandivali (W</v>
          </cell>
        </row>
        <row r="563">
          <cell r="F563">
            <v>9890208968</v>
          </cell>
          <cell r="G563" t="str">
            <v>narendrapsoni@rediffmail.com</v>
          </cell>
          <cell r="H563" t="str">
            <v>303  Krishna Heights Mathuradas Road, Opp. Atul Tower, Kandivali (W</v>
          </cell>
        </row>
        <row r="564">
          <cell r="H564" t="str">
            <v>303  Krishna Heights Mathuradas Road Ext.</v>
          </cell>
        </row>
        <row r="565">
          <cell r="F565">
            <v>9833249550</v>
          </cell>
          <cell r="G565" t="str">
            <v>rrsoni08@gmail.com</v>
          </cell>
          <cell r="H565" t="str">
            <v>B-1601,  Anshul Heights, Off Link Road , Kandivali -West</v>
          </cell>
        </row>
        <row r="566">
          <cell r="F566">
            <v>9757363987</v>
          </cell>
          <cell r="G566" t="str">
            <v>sagarsoni0808@gmail.com</v>
          </cell>
          <cell r="H566" t="str">
            <v>H706 RNA Regency Park, Dhanukar wadi , Kandivali (W</v>
          </cell>
        </row>
        <row r="567">
          <cell r="F567">
            <v>9867357680</v>
          </cell>
          <cell r="G567" t="str">
            <v>veenansoni@gmail.com</v>
          </cell>
          <cell r="H567" t="str">
            <v>303  Krishna Heights Mathuradas Road, Kandivali (W</v>
          </cell>
        </row>
        <row r="568">
          <cell r="H568" t="str">
            <v>A 503 Veena Sitar  Mahavir Nagar Dahanukar Wadi</v>
          </cell>
        </row>
        <row r="569">
          <cell r="F569">
            <v>9821185122</v>
          </cell>
          <cell r="G569" t="str">
            <v>pthirani@hotmail.com</v>
          </cell>
          <cell r="H569" t="str">
            <v>602, A-Wing, Estonia, Hiranandani Heritage  Kandivali West</v>
          </cell>
        </row>
        <row r="570">
          <cell r="F570">
            <v>9920173616</v>
          </cell>
          <cell r="G570" t="str">
            <v>manoj0123@yahoo.com</v>
          </cell>
          <cell r="H570" t="str">
            <v>403  Sumil CHS  Ltd  4 Th Floor,Plot No. 11  Sector No. 5   Near Apana Bazar, Ambedkar Marg, Charkop, Kandivali (W</v>
          </cell>
        </row>
        <row r="571">
          <cell r="H571" t="str">
            <v>301  Sitaram Apt. Sector 2 Charkop</v>
          </cell>
        </row>
        <row r="572">
          <cell r="F572">
            <v>9029687624</v>
          </cell>
          <cell r="G572" t="str">
            <v>vishnutoshniwal_19@yahoo.com</v>
          </cell>
          <cell r="H572" t="str">
            <v>Rajshivganga CHSL. 1205 Bhabrekar Nagar, Ekta Nagar, Mahada Charkop, Kandivali (W</v>
          </cell>
        </row>
        <row r="573">
          <cell r="F573">
            <v>9930370606</v>
          </cell>
          <cell r="G573" t="str">
            <v>suresh.toshniwal3@gmail.com</v>
          </cell>
          <cell r="H573" t="str">
            <v>D/406, Orchid Suburbia Link Road, Nr. Dhankar Wadi, Kandivali (W</v>
          </cell>
        </row>
        <row r="574">
          <cell r="F574">
            <v>9819146316</v>
          </cell>
          <cell r="G574" t="str">
            <v>vishnutoshniwal_19@yahoo.com</v>
          </cell>
          <cell r="H574" t="str">
            <v>Rajshivganga CHSL. 1205 Bhabrekar Nagar, Ekta Nagar, Mahada Charkop, Kandivali (W</v>
          </cell>
        </row>
        <row r="575">
          <cell r="F575">
            <v>9964005943</v>
          </cell>
          <cell r="G575" t="str">
            <v>rzanwar103@gmail.com</v>
          </cell>
          <cell r="H575" t="str">
            <v>Shree Highland Park NEW LINK ROAD,Dahanukarwadi</v>
          </cell>
        </row>
        <row r="576">
          <cell r="F576">
            <v>9820864166</v>
          </cell>
          <cell r="G576" t="str">
            <v>ruteshzaveri@yahoo.in</v>
          </cell>
          <cell r="H576" t="str">
            <v>Jansukh Niwas, 9 Kasturba Road, Kandivali (W</v>
          </cell>
        </row>
        <row r="577">
          <cell r="F577">
            <v>9987500079</v>
          </cell>
          <cell r="G577" t="str">
            <v>pareshmahesh77@gmail.com</v>
          </cell>
          <cell r="H577" t="str">
            <v>D 602, Blue Arch, Ekta Nagar, Mahavir Nagar ext , Kandivali West</v>
          </cell>
        </row>
        <row r="578">
          <cell r="F578" t="str">
            <v>9920305070/022 -4972</v>
          </cell>
          <cell r="G578" t="str">
            <v>cjbihani@gmail.com</v>
          </cell>
          <cell r="H578" t="str">
            <v>F-601  New Bhoomi Park-2  Near Bafira Nagar  Malad (W</v>
          </cell>
        </row>
        <row r="579">
          <cell r="F579" t="str">
            <v>8208264535/022 -4972</v>
          </cell>
          <cell r="H579" t="str">
            <v>F-601  New Bhoomi Park-2  Near Bafira Nagar  Malad (W</v>
          </cell>
        </row>
        <row r="580">
          <cell r="F580" t="str">
            <v>8668966511/022 -4972</v>
          </cell>
          <cell r="H580" t="str">
            <v>F-601  New Bhoomi Park-2  Near Bafira Nagar  Malad (W</v>
          </cell>
        </row>
        <row r="581">
          <cell r="F581">
            <v>9167606699</v>
          </cell>
          <cell r="H581" t="str">
            <v>F-601  New Bhoomi Park-2  Near Bafira Nagar  Malad (W</v>
          </cell>
        </row>
        <row r="582">
          <cell r="F582">
            <v>9702001993</v>
          </cell>
          <cell r="G582" t="str">
            <v>brl_rjsh@yahoo.co.in</v>
          </cell>
          <cell r="H582" t="str">
            <v>Flat No. 405, Shakti Enclave, Q-Wing Chs. Ltd. Opp. Billabong School, Jan Kalyan Nagar, Kharidi, Malad (W</v>
          </cell>
        </row>
        <row r="583">
          <cell r="F583">
            <v>9004481082</v>
          </cell>
          <cell r="G583" t="str">
            <v>ramanuj.in@gmail.com</v>
          </cell>
          <cell r="H583" t="str">
            <v>1204, C-Wing, Royal Oasis Jankalyan Nagar, Next to Bill Bong School, Malad (W, Mumbai - 400095</v>
          </cell>
        </row>
        <row r="584">
          <cell r="F584">
            <v>9819929206</v>
          </cell>
          <cell r="G584" t="str">
            <v>skdaga16@gmail.com</v>
          </cell>
          <cell r="H584" t="str">
            <v>Marina Enclave, L Wing, Flat No. 701 Jankalyan Nagar, Nr. Bilbong International  School, Malad (W</v>
          </cell>
        </row>
        <row r="585">
          <cell r="F585">
            <v>9702497024</v>
          </cell>
          <cell r="H585" t="str">
            <v>G-1/1006,  Bhoomi Park  Phase - 2,  10th Floor,  Off Marve Road, Jankalyan Nagar,  Near Billabong School,</v>
          </cell>
        </row>
        <row r="586">
          <cell r="F586">
            <v>9820032318</v>
          </cell>
          <cell r="G586" t="str">
            <v>jajoobhavesh@gmail.com</v>
          </cell>
          <cell r="H586" t="str">
            <v>B1/62  Asmita Jyoti CHS. Marve Road Charkop Naka  Kharodi</v>
          </cell>
        </row>
        <row r="587">
          <cell r="F587">
            <v>9821124220</v>
          </cell>
          <cell r="G587" t="str">
            <v>manojkumarjajoo@gmail.com</v>
          </cell>
          <cell r="H587" t="str">
            <v>Asmita Jyoti Co-op.hsg Soc.ltd, E1/42 Marve Road, Charkop Naka, Malad (W</v>
          </cell>
        </row>
        <row r="588">
          <cell r="F588">
            <v>7977439717</v>
          </cell>
          <cell r="G588" t="str">
            <v>sureshjajoo1952@gmail.com</v>
          </cell>
          <cell r="H588" t="str">
            <v>Asmita Jyoti Chs. Ltd., B1/62   Marve Road, Charkop Naka, Malad (W</v>
          </cell>
        </row>
        <row r="589">
          <cell r="F589">
            <v>8779756681</v>
          </cell>
          <cell r="G589" t="str">
            <v>mitali.kasat@yahoo.com</v>
          </cell>
          <cell r="H589" t="str">
            <v>D/6/46  Asmita jyoti Chs  Malda Marve Road  Malad (W</v>
          </cell>
        </row>
        <row r="590">
          <cell r="F590">
            <v>9820089651</v>
          </cell>
          <cell r="H590" t="str">
            <v>B-303, Lubna Bldg, Jankalyan Nagar  Marve Road, Malad (W</v>
          </cell>
        </row>
        <row r="591">
          <cell r="F591">
            <v>9820089651</v>
          </cell>
          <cell r="G591" t="str">
            <v>Ladhamukesh@hotmail.Com</v>
          </cell>
          <cell r="H591" t="str">
            <v>B-303, Lubna Bldg, Jankalyan Nagar  Marve Road, Malad (W</v>
          </cell>
        </row>
        <row r="592">
          <cell r="F592">
            <v>9820089651</v>
          </cell>
          <cell r="H592" t="str">
            <v>B-303, Lubna Bldg, Jankalyan Nagar  Marve Road, Malad (W</v>
          </cell>
        </row>
        <row r="593">
          <cell r="F593">
            <v>9619496390</v>
          </cell>
          <cell r="G593" t="str">
            <v>lalit@paplonline.com</v>
          </cell>
          <cell r="H593" t="str">
            <v>Bhoomi Park Phase-3, O-704, Jankalyan Nagar Nr. Firebrigade Marve Road, Malad (W</v>
          </cell>
        </row>
        <row r="594">
          <cell r="H594" t="str">
            <v>B-106  Residency 1st Floor 214  Dutt Mandir Road</v>
          </cell>
        </row>
        <row r="595">
          <cell r="F595">
            <v>9321346176</v>
          </cell>
          <cell r="G595" t="str">
            <v>rajeevajmera66@gmail.com</v>
          </cell>
          <cell r="H595" t="str">
            <v>201/A-1  Tapovan Krishnadham, Hanuman Tekdi   Pathanwadi Road, Rani Sati Marg, Ext. Malad (W</v>
          </cell>
        </row>
        <row r="596">
          <cell r="F596">
            <v>9167900897</v>
          </cell>
          <cell r="G596" t="str">
            <v>sunilrajmera@yahoo.co.in</v>
          </cell>
          <cell r="H596" t="str">
            <v>802-Orchid, Vasant Valley  Film City Road, Malad (E</v>
          </cell>
        </row>
        <row r="597">
          <cell r="F597">
            <v>9324616732</v>
          </cell>
          <cell r="G597" t="str">
            <v>salasarpp@gmail.com</v>
          </cell>
          <cell r="H597" t="str">
            <v>B-301 Shikhar Kunj Upper Govind Nagar Malad (E</v>
          </cell>
        </row>
        <row r="598">
          <cell r="F598">
            <v>9324616732</v>
          </cell>
          <cell r="H598" t="str">
            <v>B-301, Shikhar Kunj, Upper Govind Nagar, Malad (E</v>
          </cell>
        </row>
        <row r="599">
          <cell r="F599">
            <v>7798729876</v>
          </cell>
          <cell r="G599" t="str">
            <v>amitmaheshwari73@rediffmail.com</v>
          </cell>
          <cell r="H599" t="str">
            <v>G-12a04  Raheja Heights Filmcity Road</v>
          </cell>
        </row>
        <row r="600">
          <cell r="F600">
            <v>8919841473</v>
          </cell>
          <cell r="G600" t="str">
            <v>ashibugs@yahoo.co.in</v>
          </cell>
          <cell r="H600" t="str">
            <v>Sankalp Building No. 3, 801/802, Pimpripada, Gokuldham Market, Malad (E,</v>
          </cell>
        </row>
        <row r="601">
          <cell r="F601">
            <v>9029021191</v>
          </cell>
          <cell r="G601" t="str">
            <v>baheti.narayan@gmail.com</v>
          </cell>
          <cell r="H601" t="str">
            <v>B2701 Kanakia Levels No.6, Rani Sati Marg Opp. Passport Office, Malad (E</v>
          </cell>
        </row>
        <row r="602">
          <cell r="F602">
            <v>9323949574</v>
          </cell>
          <cell r="H602" t="str">
            <v>A-404  Meera Residency Jitendra Road  Behind Ashoka Hospital</v>
          </cell>
        </row>
        <row r="603">
          <cell r="F603">
            <v>9339057544</v>
          </cell>
          <cell r="G603" t="str">
            <v>baheti.narayan@gmail.com</v>
          </cell>
          <cell r="H603" t="str">
            <v>B-2701, Kanakia Levels, No.6, Rani Sati Marg, Opp. Passport Office, Malad (E,</v>
          </cell>
        </row>
        <row r="604">
          <cell r="F604">
            <v>9029946961</v>
          </cell>
          <cell r="G604" t="str">
            <v>vbhbaheti123@gmail.com</v>
          </cell>
          <cell r="H604" t="str">
            <v>101/A Meera Residency, Jitendra Road, Behind Ashoka Hospital, Malad (E</v>
          </cell>
        </row>
        <row r="605">
          <cell r="F605">
            <v>9054305911</v>
          </cell>
          <cell r="G605" t="str">
            <v>bajajfamily1976@gmail.com</v>
          </cell>
          <cell r="H605" t="str">
            <v>Flat No. 1004, D-Wing , Upper East 97  Upper Govind Nagar, Behind Poddar School, Kailash Puri Road, Malad (E</v>
          </cell>
        </row>
        <row r="606">
          <cell r="H606" t="str">
            <v>Uppar Govind Nagar Agrstan  Bldg  Flat No  4.</v>
          </cell>
        </row>
        <row r="607">
          <cell r="F607">
            <v>9892381919</v>
          </cell>
          <cell r="H607" t="str">
            <v>28-C Gaurav CHS. Haji Bapu Road</v>
          </cell>
        </row>
        <row r="608">
          <cell r="F608">
            <v>9892334018</v>
          </cell>
          <cell r="H608" t="str">
            <v>28/C  Malad Gaurav CHS Haji Bapu Road</v>
          </cell>
        </row>
        <row r="609">
          <cell r="F609">
            <v>9322889341</v>
          </cell>
          <cell r="H609" t="str">
            <v>Omkar Altamonte, Tower D, Flat No. 2802, Western Express Highway, Malad (East,</v>
          </cell>
        </row>
        <row r="610">
          <cell r="F610">
            <v>7738388091</v>
          </cell>
          <cell r="H610" t="str">
            <v>A/701  ABT Apartment  Rani Sati Marg  Near Navjivan High School  Malad (E</v>
          </cell>
        </row>
        <row r="611">
          <cell r="F611">
            <v>9324471438</v>
          </cell>
          <cell r="G611" t="str">
            <v>jugalbang@gmail.com</v>
          </cell>
          <cell r="H611" t="str">
            <v>3505-F-Residences, Raheja Complex   Near Times Of India Press  Off. W.E. Heighway Malad (E</v>
          </cell>
        </row>
        <row r="612">
          <cell r="F612">
            <v>9324724832</v>
          </cell>
          <cell r="G612" t="str">
            <v>dr.Unkle@yahoo.com</v>
          </cell>
          <cell r="H612" t="str">
            <v>C-3/26  Satsang Complex Upper Goving Nagar, Malad (E</v>
          </cell>
        </row>
        <row r="613">
          <cell r="F613">
            <v>9821084020</v>
          </cell>
          <cell r="H613" t="str">
            <v>B-701  ABT APARTMETNS RANI SATI MARG, NEAR NAVJIVAN HIGH SCHOOL, MALAD EAST,</v>
          </cell>
        </row>
        <row r="614">
          <cell r="F614">
            <v>9757395943</v>
          </cell>
          <cell r="H614" t="str">
            <v>C-3/26  Satsang Complex Upper Goving Nagar</v>
          </cell>
        </row>
        <row r="615">
          <cell r="F615">
            <v>9920202022</v>
          </cell>
          <cell r="G615" t="str">
            <v>rajbang65@gmail.com</v>
          </cell>
          <cell r="H615" t="str">
            <v>Satsang Complex, C-1/61  Upper Govind Nagar, Malad East</v>
          </cell>
        </row>
        <row r="616">
          <cell r="H616" t="str">
            <v>302  Hill View Flat No.160 Upper Govind Road</v>
          </cell>
        </row>
        <row r="617">
          <cell r="F617">
            <v>9867729331</v>
          </cell>
          <cell r="H617" t="str">
            <v>402 Shantivan 2 A Raheja Towasnp Malad (E Mumbai .</v>
          </cell>
        </row>
        <row r="618">
          <cell r="H618" t="str">
            <v>A-502  Sarnath CHS Ltd Upper Govind Nagar</v>
          </cell>
        </row>
        <row r="619">
          <cell r="F619">
            <v>9833117857</v>
          </cell>
          <cell r="H619" t="str">
            <v>A-201 Mansi Vihar Co.Op.Hsg.Soc.Ltd. Datta Mandir Road .</v>
          </cell>
        </row>
        <row r="620">
          <cell r="H620" t="str">
            <v>A-6  Hirakutir Shivaji Chowk</v>
          </cell>
        </row>
        <row r="621">
          <cell r="F621">
            <v>7045991852</v>
          </cell>
          <cell r="G621" t="str">
            <v>nimish.bihani@gmail.com</v>
          </cell>
          <cell r="H621" t="str">
            <v>B-101  Prakash Apartment Navjeevan High School Road  Off Rani Sati Marg</v>
          </cell>
        </row>
        <row r="622">
          <cell r="F622">
            <v>9923332469</v>
          </cell>
          <cell r="G622" t="str">
            <v>nitin.bihani@gmail.com</v>
          </cell>
          <cell r="H622" t="str">
            <v>Flat No.7  Prateek Building Nivetia Road</v>
          </cell>
        </row>
        <row r="623">
          <cell r="F623">
            <v>9320848710</v>
          </cell>
          <cell r="G623" t="str">
            <v>prakashhbihani@gmail.com</v>
          </cell>
          <cell r="H623" t="str">
            <v>2301/B Wing, Kanakia Levels, Rani Sati Marg, Opp. Passport Office, Malad (E,</v>
          </cell>
        </row>
        <row r="624">
          <cell r="F624">
            <v>9324842860</v>
          </cell>
          <cell r="H624" t="str">
            <v>Flat No.7.Prateek Bldg  Nivetia Road</v>
          </cell>
        </row>
        <row r="625">
          <cell r="H625" t="str">
            <v>206-B  Dheeraj Uphar Behind Dindoshi Bus Depo. Film City Road</v>
          </cell>
        </row>
        <row r="626">
          <cell r="H626" t="str">
            <v>C/O.Shri Charbhuji Marble &amp; Granites Pathanwadi  Marble Market Western Express High Way Malad (E -</v>
          </cell>
        </row>
        <row r="627">
          <cell r="H627" t="str">
            <v>Shagun Tower  Flat No-B-1503 Film City Road</v>
          </cell>
        </row>
        <row r="628">
          <cell r="H628" t="str">
            <v>702  Deffodil Vasant Velly Filmcity Road</v>
          </cell>
        </row>
        <row r="629">
          <cell r="H629" t="str">
            <v>A -404  Lemont Apt Nr Tapovan Temple  Pathanwadi</v>
          </cell>
        </row>
        <row r="630">
          <cell r="H630" t="str">
            <v>A-7/17  Highway View Society Near Shantaram Lake</v>
          </cell>
        </row>
        <row r="631">
          <cell r="H631" t="str">
            <v>202  Ashoka Palace 2nd Floor Jitendra Road</v>
          </cell>
        </row>
        <row r="632">
          <cell r="H632" t="str">
            <v>7  Pratik Building Nevtia Road, Malad (E</v>
          </cell>
        </row>
        <row r="633">
          <cell r="H633" t="str">
            <v>205  Ashoka Palace 2nd Floor Jitendra Road</v>
          </cell>
        </row>
        <row r="634">
          <cell r="H634" t="str">
            <v>503  Panchshil No.2 B Wing Raheja Township</v>
          </cell>
        </row>
        <row r="635">
          <cell r="H635" t="str">
            <v>609 Upvan C Wing  Upper Govind Nagar .</v>
          </cell>
        </row>
        <row r="636">
          <cell r="F636">
            <v>9930070116</v>
          </cell>
          <cell r="G636" t="str">
            <v>nikechandak@gmail.com</v>
          </cell>
          <cell r="H636" t="str">
            <v>Panchsheel 4 Chsl. Flat No. B/107 Raheja Township Malad (E</v>
          </cell>
        </row>
        <row r="637">
          <cell r="F637">
            <v>9323826288</v>
          </cell>
          <cell r="G637" t="str">
            <v>shobhachandak10@gmail.com</v>
          </cell>
          <cell r="H637" t="str">
            <v>Flat No. B/107, Panchsheel 4 Chsl. Raheja Township, Malad (E</v>
          </cell>
        </row>
        <row r="638">
          <cell r="H638" t="str">
            <v>1502 Shuchi Height  Filmcity Road .</v>
          </cell>
        </row>
        <row r="639">
          <cell r="H639" t="str">
            <v>18th Floor Suchi Hemat Film City Road</v>
          </cell>
        </row>
        <row r="640">
          <cell r="F640">
            <v>9867399567</v>
          </cell>
          <cell r="G640" t="str">
            <v>maheshwarisanjay1965@gmail.com</v>
          </cell>
          <cell r="H640" t="str">
            <v>Vraj Nirmal Apartment, Flat No. 302, Rani Sati Marg, Near Navjeevan High School, Malad (E</v>
          </cell>
        </row>
        <row r="641">
          <cell r="F641">
            <v>9892320956</v>
          </cell>
          <cell r="G641" t="str">
            <v>maheshwarisunil1509@gmail.com</v>
          </cell>
          <cell r="H641" t="str">
            <v>Vraj Nirmal Apartment, Flat No. 301, Rani Sati Marg, Near Navjeevan High School, Malad (E</v>
          </cell>
        </row>
        <row r="642">
          <cell r="F642">
            <v>9322210725</v>
          </cell>
          <cell r="G642" t="str">
            <v>haridaga@rediffmail.com</v>
          </cell>
          <cell r="H642" t="str">
            <v>F-Residence, Flat No. 908,9th Floor Raheja Complex Road, Malad (E</v>
          </cell>
        </row>
        <row r="643">
          <cell r="H643" t="str">
            <v>Nisarg Bunglow No-4  Upper Govind Nagar</v>
          </cell>
        </row>
        <row r="644">
          <cell r="H644" t="str">
            <v>Nisarg Bunglow No-4  Upper Govind Nagar</v>
          </cell>
        </row>
        <row r="645">
          <cell r="H645" t="str">
            <v>Nisarg Bunglow No-4  Upper Govind Nagar</v>
          </cell>
        </row>
        <row r="646">
          <cell r="H646" t="str">
            <v>Nisarg Bunglow No-4 Upper Govind Nagar Malad (E</v>
          </cell>
        </row>
        <row r="647">
          <cell r="F647">
            <v>9819802848</v>
          </cell>
          <cell r="G647" t="str">
            <v>Anildarak@gmail.Com</v>
          </cell>
          <cell r="H647" t="str">
            <v>Flat No.1903  Tower No-4 Raheja Tipko Heights  Rani Sati Marg, Malad (E</v>
          </cell>
        </row>
        <row r="648">
          <cell r="F648">
            <v>9821384949</v>
          </cell>
          <cell r="G648" t="str">
            <v>varunenterprises27@gmail.com</v>
          </cell>
          <cell r="H648" t="str">
            <v>Indraprastha bldg 1 C 109 Jitendra Road opp ashoka hospital Malad East</v>
          </cell>
        </row>
        <row r="649">
          <cell r="F649">
            <v>9324281631</v>
          </cell>
          <cell r="G649" t="str">
            <v>manojdarak16@gmail.com</v>
          </cell>
          <cell r="H649" t="str">
            <v>Ashok Madhwan Housing Society Malad (E</v>
          </cell>
        </row>
        <row r="650">
          <cell r="F650">
            <v>8286222999</v>
          </cell>
          <cell r="G650" t="str">
            <v>darak.sanjeev@gmail.com</v>
          </cell>
          <cell r="H650" t="str">
            <v>2101, Skyvilla Apartment,  Dindoshi, Malad</v>
          </cell>
        </row>
        <row r="651">
          <cell r="F651">
            <v>9987753824</v>
          </cell>
          <cell r="G651" t="str">
            <v>anuragdhoot@outlook.com</v>
          </cell>
          <cell r="H651" t="str">
            <v>A-1302  Rizvi Oak  Raheja Complex Nr. Times of India, Malad East</v>
          </cell>
        </row>
        <row r="652">
          <cell r="F652">
            <v>9819069016</v>
          </cell>
          <cell r="H652" t="str">
            <v>305 Ajay Apartment Bachani Nagar Malad (East Mumbai .</v>
          </cell>
        </row>
        <row r="653">
          <cell r="F653">
            <v>9323483204</v>
          </cell>
          <cell r="G653" t="str">
            <v>manojdhoot77@gmail.com</v>
          </cell>
          <cell r="H653" t="str">
            <v>405 Sumit Pramukh Enclave CHS LTD Bachani nagar road off daftary road Malad East</v>
          </cell>
        </row>
        <row r="654">
          <cell r="H654" t="str">
            <v>305  Ajay Apartment Bachraj Nagar</v>
          </cell>
        </row>
        <row r="655">
          <cell r="F655">
            <v>9370518000</v>
          </cell>
          <cell r="G655" t="str">
            <v>Dhootyk@yahoo.Com</v>
          </cell>
          <cell r="H655" t="str">
            <v>B-1403  SHAHARCADE-II  RANI SATI MARG  NEAR WESTERN EXPRESS HIGHWAY</v>
          </cell>
        </row>
        <row r="656">
          <cell r="F656">
            <v>9870190991</v>
          </cell>
          <cell r="G656" t="str">
            <v>director@edusphereinternational.com</v>
          </cell>
          <cell r="H656" t="str">
            <v>Flat no. 1404  A-Wing  Shikhar Kunj Upper Govind Nagar</v>
          </cell>
        </row>
        <row r="657">
          <cell r="F657">
            <v>9322329791</v>
          </cell>
          <cell r="G657" t="str">
            <v>Ankitfalor@yahoo.Com</v>
          </cell>
          <cell r="H657" t="str">
            <v>Td/1512 Upvan Tower Upper Govind Nagar</v>
          </cell>
        </row>
        <row r="658">
          <cell r="F658">
            <v>9867015031</v>
          </cell>
          <cell r="H658" t="str">
            <v>C -1507  Omkar Altamonte  Kurar Village   Malad (E</v>
          </cell>
        </row>
        <row r="659">
          <cell r="F659">
            <v>9819235555</v>
          </cell>
          <cell r="G659" t="str">
            <v>sampatkumar@gmail.com</v>
          </cell>
          <cell r="H659" t="str">
            <v>1404 Satsang Tower Upper Govind Nagar</v>
          </cell>
        </row>
        <row r="660">
          <cell r="F660">
            <v>9870403322</v>
          </cell>
          <cell r="H660" t="str">
            <v>1404  Satsang Tower Upper Govind Nagar</v>
          </cell>
        </row>
        <row r="661">
          <cell r="F661">
            <v>7710980314</v>
          </cell>
          <cell r="H661" t="str">
            <v>Aram Bunglow  Govind Nagar Behind Ambe Mata Temple  Ground Floor, Opp. Vishwa Bldg, Malad (E</v>
          </cell>
        </row>
        <row r="662">
          <cell r="F662">
            <v>9867319071</v>
          </cell>
          <cell r="G662" t="str">
            <v>ramjitu@gmail.com</v>
          </cell>
          <cell r="H662" t="str">
            <v>Aram Bunglow  Govind Nagar Behind Ambe Mata Temple, Malad (E</v>
          </cell>
        </row>
        <row r="663">
          <cell r="F663">
            <v>9892879893</v>
          </cell>
          <cell r="G663" t="str">
            <v>Ramjitu@yahoo.Com</v>
          </cell>
          <cell r="H663" t="str">
            <v>Aram Bunglow  Govind Nagar Behind Ambe Mata Temple</v>
          </cell>
        </row>
        <row r="664">
          <cell r="F664">
            <v>9819578232</v>
          </cell>
          <cell r="G664" t="str">
            <v>subhashgandhi1408@gmail.com</v>
          </cell>
          <cell r="H664" t="str">
            <v>Aram Bunglow  Govind Nagar Behind Ambe Mata Temple  Ground Floor, Opp. Vishwa Bldg, Malad (E</v>
          </cell>
        </row>
        <row r="665">
          <cell r="F665">
            <v>9820149837</v>
          </cell>
          <cell r="G665" t="str">
            <v>girdharigilda@gmail.com</v>
          </cell>
          <cell r="H665" t="str">
            <v>A/1503  Rizvi Oak CHS. Behind Times of India  Western Highway</v>
          </cell>
        </row>
        <row r="666">
          <cell r="F666">
            <v>9987558005</v>
          </cell>
          <cell r="H666" t="str">
            <v>B/1801  Rizvi Oak Behind Times of India  Western Highway</v>
          </cell>
        </row>
        <row r="667">
          <cell r="H667" t="str">
            <v>A-7  Ashiana Apartment Govind Nagar</v>
          </cell>
        </row>
        <row r="668">
          <cell r="F668">
            <v>8879542525</v>
          </cell>
          <cell r="G668" t="str">
            <v>naveenrm@orientpressltd.com</v>
          </cell>
          <cell r="H668" t="str">
            <v>Kalsaria Apartment, 501 Upper Govind Nagar, Opp. Shikhar Kunj, Malad (E</v>
          </cell>
        </row>
        <row r="669">
          <cell r="F669">
            <v>9820230357</v>
          </cell>
          <cell r="G669" t="str">
            <v>prakashm@orientpressltd.com</v>
          </cell>
          <cell r="H669" t="str">
            <v>Kalsaria Apartment, 501 Upper Govind Nagar, Opp. Shikhar Kunj, Malad (E</v>
          </cell>
        </row>
        <row r="670">
          <cell r="F670">
            <v>9892312822</v>
          </cell>
          <cell r="G670" t="str">
            <v>rahulm@orientpressltd.com</v>
          </cell>
          <cell r="H670" t="str">
            <v>Kalsaria Apartment, 501 Upper Govind Nagar, Opp. Shikhar Kunj, Malad (E</v>
          </cell>
        </row>
        <row r="671">
          <cell r="F671">
            <v>9820351436</v>
          </cell>
          <cell r="G671" t="str">
            <v>rrm@orientpressltd.com</v>
          </cell>
          <cell r="H671" t="str">
            <v>Kalsaria Apartment, 501 Upper Govind Nagar, Opp. Shikhar Kunj, Malad (E</v>
          </cell>
        </row>
        <row r="672">
          <cell r="F672">
            <v>9820048419</v>
          </cell>
          <cell r="H672" t="str">
            <v>Kalsaria Apartment, 501 Upper Govind Nagar, Opp. Shikhar Kunj, Malad (E</v>
          </cell>
        </row>
        <row r="673">
          <cell r="F673">
            <v>9920115155</v>
          </cell>
          <cell r="G673" t="str">
            <v>sanjaym@orientpressltd.com</v>
          </cell>
          <cell r="H673" t="str">
            <v>Kalsaria Apartment, 501 Upper Govind Nagar, Opp. Shikhar Kunj, Malad (E</v>
          </cell>
        </row>
        <row r="674">
          <cell r="F674">
            <v>8108117820</v>
          </cell>
          <cell r="G674" t="str">
            <v>vandanamaheshwari@hotmail.com</v>
          </cell>
          <cell r="H674" t="str">
            <v>Kalsaria Apartment, 501 Upper Govind Nagar, Opp. Shikhar Kunj, Malad (E</v>
          </cell>
        </row>
        <row r="675">
          <cell r="F675">
            <v>9820453152</v>
          </cell>
          <cell r="G675" t="str">
            <v>nlpackaging@yahoo.com</v>
          </cell>
          <cell r="H675" t="str">
            <v>Kalsaria Apartment, 501 Upper Govind Nagar, Opp. Shikhar Kunj, Malad (E</v>
          </cell>
        </row>
        <row r="676">
          <cell r="F676">
            <v>9920467020</v>
          </cell>
          <cell r="G676" t="str">
            <v>deepak.inani@gmail.com</v>
          </cell>
          <cell r="H676" t="str">
            <v>Flat No.801  B-wing  Shah Arcade  Wadari Pada Layout   Rani Sati Marg</v>
          </cell>
        </row>
        <row r="677">
          <cell r="F677">
            <v>9322598681</v>
          </cell>
          <cell r="G677" t="str">
            <v>Gulab_maheshwari@yahoo.com</v>
          </cell>
          <cell r="H677" t="str">
            <v>Swapanalok Tower, C-Wing, 804, 8th Floor Off Film City Road, Pimpripada, Malad (E</v>
          </cell>
        </row>
        <row r="678">
          <cell r="F678">
            <v>9967235652</v>
          </cell>
          <cell r="G678" t="str">
            <v>hnjaju@gmail.com</v>
          </cell>
          <cell r="H678" t="str">
            <v>Upper East 97, E -Wing, 1901, Kailashpuri Road Upper Govind Nagar, Near Poddar School, Malad (E</v>
          </cell>
        </row>
        <row r="679">
          <cell r="F679">
            <v>9324386761</v>
          </cell>
          <cell r="G679" t="str">
            <v>lrjaju@gmail.com</v>
          </cell>
          <cell r="H679" t="str">
            <v>A/4 Meghdoot, Raheja Township, Malad (E</v>
          </cell>
        </row>
        <row r="680">
          <cell r="F680">
            <v>9322905797</v>
          </cell>
          <cell r="G680" t="str">
            <v>sarlaljaju@gmail.com</v>
          </cell>
          <cell r="H680" t="str">
            <v>A/4 Meghdut Raheja Township, Malad (E</v>
          </cell>
        </row>
        <row r="681">
          <cell r="F681">
            <v>7303060691</v>
          </cell>
          <cell r="H681" t="str">
            <v>Morya Apartments, B - 106   Raheja Township, Nr. Raheja Garden  Malad (E</v>
          </cell>
        </row>
        <row r="682">
          <cell r="F682">
            <v>9820075931</v>
          </cell>
          <cell r="G682" t="str">
            <v>dilipsjt@gmail.com</v>
          </cell>
          <cell r="H682" t="str">
            <v>IVY Towers A-1301 Vasant Valley Society K. V. Marg, Near Dindoshi Bus Depot, Malad (E</v>
          </cell>
        </row>
        <row r="683">
          <cell r="F683">
            <v>9821379508</v>
          </cell>
          <cell r="G683" t="str">
            <v>Dinesh2@yahoo.Com</v>
          </cell>
          <cell r="H683" t="str">
            <v>604  Meghdoot Bldg Raheja Township</v>
          </cell>
        </row>
        <row r="684">
          <cell r="F684">
            <v>9820028050</v>
          </cell>
          <cell r="G684" t="str">
            <v>jagdishjhawar93@yahoo.com</v>
          </cell>
          <cell r="H684" t="str">
            <v>503  Orchid  Vasant Valley  Complex  Film City Road</v>
          </cell>
        </row>
        <row r="685">
          <cell r="F685">
            <v>9819029244</v>
          </cell>
          <cell r="G685" t="str">
            <v>vkjhanwar@yahoo.co.in</v>
          </cell>
          <cell r="H685" t="str">
            <v>Flat No. 501  Bldg No. 4  Riddhi Tower CHS Ltd. Riddhi Garden  Film City Road</v>
          </cell>
        </row>
        <row r="686">
          <cell r="F686">
            <v>9769249313</v>
          </cell>
          <cell r="G686" t="str">
            <v>akhilesh.jhawar@gmail.com</v>
          </cell>
          <cell r="H686" t="str">
            <v>A/2014  Krishna Heights  Upper Govind Nagar</v>
          </cell>
        </row>
        <row r="687">
          <cell r="H687" t="str">
            <v>604  Meghdoot Bldg Raheja Township</v>
          </cell>
        </row>
        <row r="688">
          <cell r="F688">
            <v>9833261236</v>
          </cell>
          <cell r="G688" t="str">
            <v>kgjhawar@gmail.com</v>
          </cell>
          <cell r="H688" t="str">
            <v>204-A-Wing  Krishna Heights  Upper Govind Nagar</v>
          </cell>
        </row>
        <row r="689">
          <cell r="F689">
            <v>9820660071</v>
          </cell>
          <cell r="H689" t="str">
            <v>604  Meghdoot Bldg Raheja Township</v>
          </cell>
        </row>
        <row r="690">
          <cell r="F690">
            <v>8879333966</v>
          </cell>
          <cell r="G690" t="str">
            <v>sharmilamaheswari69@gmail.com</v>
          </cell>
          <cell r="H690" t="str">
            <v>IVY Towers A-1301 Vasant Valley Society K. V. Marg, Near Dindoshi Bus Depot, Malad (E</v>
          </cell>
        </row>
        <row r="691">
          <cell r="F691">
            <v>9322117911</v>
          </cell>
          <cell r="G691" t="str">
            <v>nandkumar_kabra@yahoo.in</v>
          </cell>
          <cell r="H691" t="str">
            <v>410, Indraprastha, 2/C Jitendra Road, Malad (E</v>
          </cell>
        </row>
        <row r="692">
          <cell r="F692">
            <v>9324403905</v>
          </cell>
          <cell r="H692" t="str">
            <v>B401-402  B1 Velentine Apts -3 A K V Marg  Gokuldham</v>
          </cell>
        </row>
        <row r="693">
          <cell r="F693">
            <v>9224374782</v>
          </cell>
          <cell r="G693" t="str">
            <v>nehasareesmalad@gmail.com</v>
          </cell>
          <cell r="H693" t="str">
            <v>Kanta Kabra  5/23  Elephanta Bldg  Daftari Road</v>
          </cell>
        </row>
        <row r="694">
          <cell r="F694">
            <v>9029889349</v>
          </cell>
          <cell r="H694" t="str">
            <v>2/21  Malad Co.Housing Soc.Ltd Poddar Park</v>
          </cell>
        </row>
        <row r="695">
          <cell r="F695">
            <v>9324217894</v>
          </cell>
          <cell r="G695" t="str">
            <v>nandkumar_kabra@yahoo.in</v>
          </cell>
          <cell r="H695" t="str">
            <v>410, Indraprastha, 2/C Jitendra Road, Malad (E</v>
          </cell>
        </row>
        <row r="696">
          <cell r="F696">
            <v>9892535646</v>
          </cell>
          <cell r="G696" t="str">
            <v>kabra.rajesh@gmail.com</v>
          </cell>
          <cell r="H696" t="str">
            <v>301-B-Wing, IVY CHSL. Vasant Valley Off Gen. A.K.Vaidya Marg, Dindoshi, Malad (E</v>
          </cell>
        </row>
        <row r="697">
          <cell r="H697" t="str">
            <v>7-a  Pushpanjali CHS  Goshala Lane Near Ramlila Maidan</v>
          </cell>
        </row>
        <row r="698">
          <cell r="F698">
            <v>9619136378</v>
          </cell>
          <cell r="G698" t="str">
            <v>shyamkabra@gmail.com</v>
          </cell>
          <cell r="H698" t="str">
            <v>A -601 ABT  Apartment  Rani Sati Marg Near Navjivan School  Malad (E</v>
          </cell>
        </row>
        <row r="699">
          <cell r="F699">
            <v>7506014965</v>
          </cell>
          <cell r="G699" t="str">
            <v>yashkabra88@gmail.com</v>
          </cell>
          <cell r="H699" t="str">
            <v>5/23, Elephanta Bldg, Daftary Road, Malad (E</v>
          </cell>
        </row>
        <row r="700">
          <cell r="F700">
            <v>9820081145</v>
          </cell>
          <cell r="H700" t="str">
            <v>A-507  Harish Chandra Raheja Township</v>
          </cell>
        </row>
        <row r="701">
          <cell r="F701">
            <v>9819249666</v>
          </cell>
          <cell r="H701" t="str">
            <v>A-507  Harish Chandra Raheja Township,Malad (E</v>
          </cell>
        </row>
        <row r="702">
          <cell r="F702">
            <v>9920926203</v>
          </cell>
          <cell r="G702" t="str">
            <v>namrata.dignity@gmail.com</v>
          </cell>
          <cell r="H702" t="str">
            <v>Arkade Aspire, IB Patel Road, Goregaon East Mumbai 400063</v>
          </cell>
        </row>
        <row r="703">
          <cell r="F703">
            <v>9821073387</v>
          </cell>
          <cell r="G703" t="str">
            <v>hr_kankani@rediffmail.com</v>
          </cell>
          <cell r="H703" t="str">
            <v>A- 3303 Omkar Alta Monte, Off Wstern Express Highway, Malad (E</v>
          </cell>
        </row>
        <row r="704">
          <cell r="F704">
            <v>9870587538</v>
          </cell>
          <cell r="G704" t="str">
            <v>madhurkankani@gmail.com</v>
          </cell>
          <cell r="H704" t="str">
            <v>A-3303, Omkar Omkar Alta Monte, Off Western Express Highway, Malad (E</v>
          </cell>
        </row>
        <row r="705">
          <cell r="F705">
            <v>9768532064</v>
          </cell>
          <cell r="G705" t="str">
            <v>karnanitashok@gmail.com</v>
          </cell>
          <cell r="H705" t="str">
            <v>Panchsheel-3 CHSL, F/522 Raheja Township, Malad (E</v>
          </cell>
        </row>
        <row r="706">
          <cell r="H706" t="str">
            <v>305/A Meghdoot  A Wing Raheja Township</v>
          </cell>
        </row>
        <row r="707">
          <cell r="H707" t="str">
            <v>305/A Meghdoot  A Wing Raheja Township</v>
          </cell>
        </row>
        <row r="708">
          <cell r="F708">
            <v>8652071304</v>
          </cell>
          <cell r="G708" t="str">
            <v>abhakarwa@gmail.com</v>
          </cell>
          <cell r="H708" t="str">
            <v>905  B-Wing  Express Zone  Western Express Highway</v>
          </cell>
        </row>
        <row r="709">
          <cell r="F709">
            <v>9867608083</v>
          </cell>
          <cell r="G709" t="str">
            <v>adarsh.karwa@gmail.com</v>
          </cell>
          <cell r="H709" t="str">
            <v>D-704, Omkar Altamonte  Malad Western Express Highway</v>
          </cell>
        </row>
        <row r="710">
          <cell r="F710">
            <v>9820902886</v>
          </cell>
          <cell r="G710" t="str">
            <v>amitkarwa@gmail.com</v>
          </cell>
          <cell r="H710" t="str">
            <v>403  C-Wing  Omkar Alta Monte Pathanwadi</v>
          </cell>
        </row>
        <row r="711">
          <cell r="F711">
            <v>9320008083</v>
          </cell>
          <cell r="G711" t="str">
            <v>shilpa.karwa@gmail.com</v>
          </cell>
          <cell r="H711" t="str">
            <v>905  B-Wing  Express Zone  Western Express Highway</v>
          </cell>
        </row>
        <row r="712">
          <cell r="F712">
            <v>7666685857</v>
          </cell>
          <cell r="G712" t="str">
            <v>deveshladdha00@gmail.com</v>
          </cell>
          <cell r="H712" t="str">
            <v>Keshav Shiv Heights 1101  Pandit Solicitor Road Malad (E</v>
          </cell>
        </row>
        <row r="713">
          <cell r="H713" t="str">
            <v>1101  Keshav Shiv Heights Pandit Solicitor Road, Malad (E,</v>
          </cell>
        </row>
        <row r="714">
          <cell r="F714">
            <v>9363101659</v>
          </cell>
          <cell r="G714" t="str">
            <v>mgladdha@gmail.com</v>
          </cell>
          <cell r="H714" t="str">
            <v>Keshav Shiv Heights 1101  Pandit Solicitor Road Malad (E</v>
          </cell>
        </row>
        <row r="715">
          <cell r="F715">
            <v>9022674567</v>
          </cell>
          <cell r="G715" t="str">
            <v>mgladdha@gmail.com</v>
          </cell>
          <cell r="H715" t="str">
            <v>Keshav Shiv Heights 1101  Pandit Solicitor Road Malad (E</v>
          </cell>
        </row>
        <row r="716">
          <cell r="H716" t="str">
            <v>201  Ashtavinayak Appartment Plot No-137  Upper Govind Nagaar</v>
          </cell>
        </row>
        <row r="717">
          <cell r="F717">
            <v>9323541634</v>
          </cell>
          <cell r="G717" t="str">
            <v>mgladdha@gmail.com</v>
          </cell>
          <cell r="H717" t="str">
            <v>Keshav Shiv Heights 1101  Pandit Solicitor Road Malad (E</v>
          </cell>
        </row>
        <row r="718">
          <cell r="F718">
            <v>9224425529</v>
          </cell>
          <cell r="G718" t="str">
            <v>vikashladdha@gmail.com</v>
          </cell>
          <cell r="H718" t="str">
            <v>6 Bhupendra Niwas  Jitendra Road, Malad (E</v>
          </cell>
        </row>
        <row r="719">
          <cell r="F719">
            <v>8767780888</v>
          </cell>
          <cell r="H719" t="str">
            <v>2006  20th Floor  Rashmi Heights  Nr. Mahindra Nagar  Dayabhai Road</v>
          </cell>
        </row>
        <row r="720">
          <cell r="F720">
            <v>9867736766</v>
          </cell>
          <cell r="G720" t="str">
            <v>laddhaprerna1@gmail.com</v>
          </cell>
          <cell r="H720" t="str">
            <v>Keshav Shiv Heights 1101  Pandit Solicitor Road Malad (E</v>
          </cell>
        </row>
        <row r="721">
          <cell r="F721">
            <v>8600106060</v>
          </cell>
          <cell r="G721" t="str">
            <v>push.mum@gmail.com</v>
          </cell>
          <cell r="H721" t="str">
            <v>Keshav Shiv Heights 1101  Pandit Solicitor Road Malad (E</v>
          </cell>
        </row>
        <row r="722">
          <cell r="F722">
            <v>9819812707</v>
          </cell>
          <cell r="G722" t="str">
            <v>radheshyamladdha@gmail.com</v>
          </cell>
          <cell r="H722" t="str">
            <v>B - 1302  Shah Arcade Rani Sati Marg</v>
          </cell>
        </row>
        <row r="723">
          <cell r="F723">
            <v>9912062970</v>
          </cell>
          <cell r="G723" t="str">
            <v>rupali.malu@gmail.com</v>
          </cell>
          <cell r="H723" t="str">
            <v>Keshav Shiv Heights 1101  Pandit Solicitor Road Malad (E</v>
          </cell>
        </row>
        <row r="724">
          <cell r="H724" t="str">
            <v>A-101 Manglam Kailashpuri Upper Govind Nagar</v>
          </cell>
        </row>
        <row r="725">
          <cell r="F725">
            <v>9987683568</v>
          </cell>
          <cell r="G725" t="str">
            <v>bdlahoty@gmail.com</v>
          </cell>
          <cell r="H725" t="str">
            <v>F - 2001  Raheja Heights  General A.K. Vaidya Marg Near Infinity  I.T. Park  Malad (E</v>
          </cell>
        </row>
        <row r="726">
          <cell r="F726">
            <v>8058973809</v>
          </cell>
          <cell r="G726" t="str">
            <v>jagdish.lahoti92@gmail.com</v>
          </cell>
          <cell r="H726" t="str">
            <v>C-112, Bhoomi Gokul, Behind Dindoshi Bus Depot, Near Vasant Valley, Malad (E</v>
          </cell>
        </row>
        <row r="727">
          <cell r="H727" t="str">
            <v>33-34  Dheeraj A Poddar Road</v>
          </cell>
        </row>
        <row r="728">
          <cell r="F728">
            <v>9819890800</v>
          </cell>
          <cell r="G728" t="str">
            <v>anantmaheshwari@gmail.com</v>
          </cell>
          <cell r="H728" t="str">
            <v>402  Gini Appartment  Rani Sati Marg Nr. Poddar Park</v>
          </cell>
        </row>
        <row r="729">
          <cell r="F729">
            <v>9930879774</v>
          </cell>
          <cell r="G729" t="str">
            <v>akhileshrl@gmail.com</v>
          </cell>
          <cell r="H729" t="str">
            <v>Saraf Apts  Flat No. 501/502  5th Floor  Rani Sati Marg</v>
          </cell>
        </row>
        <row r="730">
          <cell r="F730">
            <v>9820022487</v>
          </cell>
          <cell r="G730" t="str">
            <v>formokem@gmail.com</v>
          </cell>
          <cell r="H730" t="str">
            <v>1003, A Wing Shikhar Kunj Bldg   Upper Govind Nagar Malad (E</v>
          </cell>
        </row>
        <row r="731">
          <cell r="F731">
            <v>9820081263</v>
          </cell>
          <cell r="G731" t="str">
            <v>rl@sblcolortech.com</v>
          </cell>
          <cell r="H731" t="str">
            <v>Saraf Apts  50/502  5th Floor  Rani Sati Marg</v>
          </cell>
        </row>
        <row r="732">
          <cell r="F732">
            <v>9820524522</v>
          </cell>
          <cell r="G732" t="str">
            <v>saurabhm29@gmail.com</v>
          </cell>
          <cell r="H732" t="str">
            <v>Tower II, 2002, Raheja Tipco Heights Rani Sati Marg, Malad (E</v>
          </cell>
        </row>
        <row r="733">
          <cell r="F733">
            <v>9527814992</v>
          </cell>
          <cell r="G733" t="str">
            <v>party.instyle@yahoo.com</v>
          </cell>
          <cell r="H733" t="str">
            <v>F - 423  Panchsheel 3  Raheja Township  Malad (E</v>
          </cell>
        </row>
        <row r="734">
          <cell r="F734">
            <v>9820828575</v>
          </cell>
          <cell r="G734" t="str">
            <v>babulallavti@gmail.com</v>
          </cell>
          <cell r="H734" t="str">
            <v>D/101  Panchvati -1  Raheja Township</v>
          </cell>
        </row>
        <row r="735">
          <cell r="F735">
            <v>9820140410</v>
          </cell>
          <cell r="G735" t="str">
            <v>abhishek@hanumangraphics.in</v>
          </cell>
          <cell r="H735" t="str">
            <v>Flat No. 201, 111 Hyde Park Upper Govind Nagar, Next to Sahyadari Tower, Malad (E</v>
          </cell>
        </row>
        <row r="736">
          <cell r="H736" t="str">
            <v>B-2/39  Bachhani Nagar Daftari Road</v>
          </cell>
        </row>
        <row r="737">
          <cell r="F737">
            <v>9892340588</v>
          </cell>
          <cell r="G737" t="str">
            <v>mahendramachhar80@gmail.com</v>
          </cell>
          <cell r="H737" t="str">
            <v>202-d-wing  Saraswati CHS. Ltd Suchidham  Film City Road</v>
          </cell>
        </row>
        <row r="738">
          <cell r="F738">
            <v>7506809269</v>
          </cell>
          <cell r="H738" t="str">
            <v>IVY Towers A-1301 Vasant Valley Society K. V. Marg, Near Dindoshi Bus Depot, Malad (E</v>
          </cell>
        </row>
        <row r="739">
          <cell r="F739">
            <v>9769175454</v>
          </cell>
          <cell r="G739" t="str">
            <v>maheshwaripriyanka007@gmail.com</v>
          </cell>
          <cell r="H739" t="str">
            <v>301  Vraj Nirmal Apts. Rani Sati Marg</v>
          </cell>
        </row>
        <row r="740">
          <cell r="H740" t="str">
            <v>J-33  New Gitanjali Raheja Town Ship</v>
          </cell>
        </row>
        <row r="741">
          <cell r="F741">
            <v>98218333484</v>
          </cell>
          <cell r="G741" t="str">
            <v>Vivekmaheshwari@yahoo.Com</v>
          </cell>
          <cell r="H741" t="str">
            <v>401  Vaikunth 161 Upper Govind Nagar</v>
          </cell>
        </row>
        <row r="742">
          <cell r="F742">
            <v>9892402914</v>
          </cell>
          <cell r="G742" t="str">
            <v>ganeshsmalani@yahoo.com</v>
          </cell>
          <cell r="H742" t="str">
            <v>A/704  Manthan Darshi Complex Datta Mandir Road  Opp. Sharda International High School</v>
          </cell>
        </row>
        <row r="743">
          <cell r="F743">
            <v>9821138010</v>
          </cell>
          <cell r="G743" t="str">
            <v>dramalpani@hotmail.com</v>
          </cell>
          <cell r="H743" t="str">
            <v>1803-B  IVY Towers  Vasant Valley Complex Behind Dindoshi Bus Depot  Film City Road</v>
          </cell>
        </row>
        <row r="744">
          <cell r="F744">
            <v>9930298981</v>
          </cell>
          <cell r="G744" t="str">
            <v>sandeepmalpani@gmail.com</v>
          </cell>
          <cell r="H744" t="str">
            <v>E-1603  Raheja Heights Off Film City Road</v>
          </cell>
        </row>
        <row r="745">
          <cell r="F745">
            <v>9322507723</v>
          </cell>
          <cell r="G745" t="str">
            <v>dramalpani@hotmail.com</v>
          </cell>
          <cell r="H745" t="str">
            <v>1803-B  IVY Towers  Vasant Valley Complex Behind Dindoshi Bus Depot  Film City Road</v>
          </cell>
        </row>
        <row r="746">
          <cell r="F746">
            <v>9223464075</v>
          </cell>
          <cell r="G746" t="str">
            <v>maheshwarirajesh39@gmail.com</v>
          </cell>
          <cell r="H746" t="str">
            <v>C/501 Shah Aracade Ranisati Marg Opp Shahtraders Malad (E</v>
          </cell>
        </row>
        <row r="747">
          <cell r="F747">
            <v>9819199305</v>
          </cell>
          <cell r="H747" t="str">
            <v>A/2103-04  Alta Monte Omkar Near Shantaram Talaw  Kurar Village</v>
          </cell>
        </row>
        <row r="748">
          <cell r="F748">
            <v>9320035084</v>
          </cell>
          <cell r="G748" t="str">
            <v>Manish.mandhania9@gmail.com</v>
          </cell>
          <cell r="H748" t="str">
            <v>A/2103-04  Alta Monte Omkar Near Shantaram Talaw  Kurar Village</v>
          </cell>
        </row>
        <row r="749">
          <cell r="F749">
            <v>9833440518</v>
          </cell>
          <cell r="H749" t="str">
            <v>A/2103-04  Alta Monte Omkar Near Shantaram Talaw  Kurar Village</v>
          </cell>
        </row>
        <row r="750">
          <cell r="F750">
            <v>9619682260</v>
          </cell>
          <cell r="G750" t="str">
            <v>anjana83maheshwari@gmail.com</v>
          </cell>
          <cell r="H750" t="str">
            <v>C-305  Muktangan Society  Upper Govind Nagar</v>
          </cell>
        </row>
        <row r="751">
          <cell r="F751">
            <v>9819873380</v>
          </cell>
          <cell r="G751" t="str">
            <v>nitinmaniyar@yahoo.com</v>
          </cell>
          <cell r="H751" t="str">
            <v>C-2105, Kankia Levels, Rani Sati Marg, Opp. Passport Office, Malad (E</v>
          </cell>
        </row>
        <row r="752">
          <cell r="F752">
            <v>9820989371</v>
          </cell>
          <cell r="G752" t="str">
            <v>mantri09@gmail.com</v>
          </cell>
          <cell r="H752" t="str">
            <v>III Hydepark Bldg., Flat No. 701 Nr. HDFC Bank, Upper Govind Nagar, Malad (E</v>
          </cell>
        </row>
        <row r="753">
          <cell r="F753">
            <v>9819424430</v>
          </cell>
          <cell r="G753" t="str">
            <v>shailendra@belisharma.in</v>
          </cell>
          <cell r="H753" t="str">
            <v>A -205, Panchsheel -2, Raheja Township, Malad (E</v>
          </cell>
        </row>
        <row r="754">
          <cell r="F754">
            <v>9321489104</v>
          </cell>
          <cell r="G754" t="str">
            <v>ymantri@gmail.com</v>
          </cell>
          <cell r="H754" t="str">
            <v>1102  Park Residence  Behind Poddar School Upper Govind Nagar</v>
          </cell>
        </row>
        <row r="755">
          <cell r="H755" t="str">
            <v>19 A  Jay Shivam CHS Ltd Subhash Lane</v>
          </cell>
        </row>
        <row r="756">
          <cell r="F756">
            <v>9619499944</v>
          </cell>
          <cell r="G756" t="str">
            <v>kishor@mohattas.com</v>
          </cell>
          <cell r="H756" t="str">
            <v>Shree Sadan, Plot No. 142 Upper Govind Nagar, Malad (E</v>
          </cell>
        </row>
        <row r="757">
          <cell r="F757">
            <v>9619499911</v>
          </cell>
          <cell r="G757" t="str">
            <v>ysmohatta@gmail.com</v>
          </cell>
          <cell r="H757" t="str">
            <v>Shree Sadan, Plot No. 142 Upper Govind Nagar, Malad (E</v>
          </cell>
        </row>
        <row r="758">
          <cell r="H758" t="str">
            <v>A Wing  1002 Sikhar Kunj  Upper Govind Nagar</v>
          </cell>
        </row>
        <row r="759">
          <cell r="H759" t="str">
            <v>401-A-SARNATH BLDG GOIVIND NAGAR</v>
          </cell>
        </row>
        <row r="760">
          <cell r="F760">
            <v>9824100412</v>
          </cell>
          <cell r="G760" t="str">
            <v>anjali.saboo93@gmail.com</v>
          </cell>
          <cell r="H760" t="str">
            <v>A-804, Shikhar Kunj Upper Govind Nagar, Malad (E</v>
          </cell>
        </row>
        <row r="761">
          <cell r="H761" t="str">
            <v>C-401  Millenium Gardens Upper Govind Nagar</v>
          </cell>
        </row>
        <row r="762">
          <cell r="F762">
            <v>8976659695</v>
          </cell>
          <cell r="G762" t="str">
            <v>chandrikadaga@gmail.com</v>
          </cell>
          <cell r="H762" t="str">
            <v>204  A-Wing  Panchsheel 2  Raheja Township</v>
          </cell>
        </row>
        <row r="763">
          <cell r="F763">
            <v>9820284712</v>
          </cell>
          <cell r="H763" t="str">
            <v>C-401  Millenium Gardens Upper Govind Nagar</v>
          </cell>
        </row>
        <row r="764">
          <cell r="H764" t="str">
            <v>C-402  Shah Arcade Rani Sati Road  Near High Way</v>
          </cell>
        </row>
        <row r="765">
          <cell r="H765" t="str">
            <v>302  Shanti Niketan Shivaji Chowk  Daftari Road</v>
          </cell>
        </row>
        <row r="766">
          <cell r="F766">
            <v>9323978558</v>
          </cell>
          <cell r="H766" t="str">
            <v>Divya Apartment  504/A Wing Opp.Triveni Nagar  Kurar Village Malad (E</v>
          </cell>
        </row>
        <row r="767">
          <cell r="F767">
            <v>9323994860</v>
          </cell>
          <cell r="H767" t="str">
            <v>B- 6  Ashiyana Apartment Upper Govind Nagar</v>
          </cell>
        </row>
        <row r="768">
          <cell r="F768">
            <v>9869070123</v>
          </cell>
          <cell r="G768" t="str">
            <v>Manimundra@hotmail.Com</v>
          </cell>
          <cell r="H768" t="str">
            <v>Omkar Alta Monte  Tower -A  5th floor  507 Western express Highway  Nr. Shantarao Talav</v>
          </cell>
        </row>
        <row r="769">
          <cell r="H769" t="str">
            <v>B-6  Ashiyana Apartment  Upper Govind Nagar  Mum-.</v>
          </cell>
        </row>
        <row r="770">
          <cell r="F770">
            <v>9599704370</v>
          </cell>
          <cell r="G770" t="str">
            <v>ishan@jayshreetextiles.com</v>
          </cell>
          <cell r="H770" t="str">
            <v>A-804, Shikhar Kunj Upper Govind Nagar, Malad (E</v>
          </cell>
        </row>
        <row r="771">
          <cell r="F771">
            <v>32575055</v>
          </cell>
          <cell r="H771" t="str">
            <v>A-804  Shikhar Kunj Upper Govind Nagar</v>
          </cell>
        </row>
        <row r="772">
          <cell r="H772" t="str">
            <v>C-601  Millenium Gardens Upper Govind Nagar Malad (E</v>
          </cell>
        </row>
        <row r="773">
          <cell r="F773">
            <v>9819143782</v>
          </cell>
          <cell r="H773" t="str">
            <v>Ratna Rupal CHSL., 408 B  Shivaji X Road, Near Kalpana Nursingh Hospital, Daftary Road, Malad (E</v>
          </cell>
        </row>
        <row r="774">
          <cell r="F774">
            <v>9331290465</v>
          </cell>
          <cell r="G774" t="str">
            <v>Mundhramk@gmail.com</v>
          </cell>
          <cell r="H774" t="str">
            <v>Plot 827a/1c  Flat 1101 11 Floor  G-wing  Raheja Heights  Raheja Ht. Complx.  Khadakpada Rd.  Nr. Nagari Niwara Parish</v>
          </cell>
        </row>
        <row r="775">
          <cell r="F775">
            <v>9324635055</v>
          </cell>
          <cell r="G775" t="str">
            <v>nkm@jayshreetextiles.com</v>
          </cell>
          <cell r="H775" t="str">
            <v>A-804  Shikhar Kunj Upper Govind Nagar Malad (E</v>
          </cell>
        </row>
        <row r="776">
          <cell r="F776">
            <v>9833705425</v>
          </cell>
          <cell r="G776" t="str">
            <v>rameshmundhra123@gmail.com</v>
          </cell>
          <cell r="H776" t="str">
            <v>204  A-Wing  Panchsheel 1 CHSL Raheja Township</v>
          </cell>
        </row>
        <row r="777">
          <cell r="H777" t="str">
            <v>C/003  Panchawati 1 Raheja Township</v>
          </cell>
        </row>
        <row r="778">
          <cell r="F778">
            <v>9323978051</v>
          </cell>
          <cell r="H778" t="str">
            <v>Divya Apartment  504/A Wing Opp.Triveni Nagar  Kurar Village Malad (E</v>
          </cell>
        </row>
        <row r="779">
          <cell r="F779">
            <v>9821775817</v>
          </cell>
          <cell r="H779" t="str">
            <v>C/003  Panchawati 1 Raheja Township</v>
          </cell>
        </row>
        <row r="780">
          <cell r="F780">
            <v>9321240925</v>
          </cell>
          <cell r="G780" t="str">
            <v>dipakmundra@hotmail.com</v>
          </cell>
          <cell r="H780" t="str">
            <v>Triveni Apartment, Flat No. 503  Suchidham, Film City Road, Near Dindoshi, Malad (E</v>
          </cell>
        </row>
        <row r="781">
          <cell r="F781">
            <v>9920598986</v>
          </cell>
          <cell r="G781" t="str">
            <v>emundra74@gmail.com</v>
          </cell>
          <cell r="H781" t="str">
            <v>Riddhi Garden  Bldg. No. H4  Flat No. 603 A.k. Vaidya Marg</v>
          </cell>
        </row>
        <row r="782">
          <cell r="F782">
            <v>8879380701</v>
          </cell>
          <cell r="G782" t="str">
            <v>niranjan0025@gmail.com</v>
          </cell>
          <cell r="H782" t="str">
            <v>B-1401, Lalani Grandeur CHSL., Velentine Complex Near Riddhi Garden, Malad (E</v>
          </cell>
        </row>
        <row r="783">
          <cell r="F783">
            <v>9702733311</v>
          </cell>
          <cell r="G783" t="str">
            <v>siddhartha.mundra@gmail.com</v>
          </cell>
          <cell r="H783" t="str">
            <v>B-403  RAHEJA HEIGHTS GEN AK VAIDYA MARG</v>
          </cell>
        </row>
        <row r="784">
          <cell r="H784" t="str">
            <v>G -11  Rani Sati Nagar Flat No 1to 16  R.v</v>
          </cell>
        </row>
        <row r="785">
          <cell r="F785">
            <v>9323542296</v>
          </cell>
          <cell r="G785" t="str">
            <v>sanjay.navandar@gmail.com</v>
          </cell>
          <cell r="H785" t="str">
            <v>B-502  Shivam I  W.E.Highway Raheja Complex</v>
          </cell>
        </row>
        <row r="786">
          <cell r="H786" t="str">
            <v>B -803/804  Sayadri Towers Malad (E</v>
          </cell>
        </row>
        <row r="787">
          <cell r="F787">
            <v>9819890390</v>
          </cell>
          <cell r="G787" t="str">
            <v>manojmaheshwari2@gmail.com</v>
          </cell>
          <cell r="H787" t="str">
            <v>701, Shivam-1/B, Raheja Complex, W. E. Highway, Malad (E</v>
          </cell>
        </row>
        <row r="788">
          <cell r="H788" t="str">
            <v>A-103  Ester Tower  Vasant Valley Near Veent Bhatti Highway General A K Vaidya Marg</v>
          </cell>
        </row>
        <row r="789">
          <cell r="F789">
            <v>9088014904</v>
          </cell>
          <cell r="G789" t="str">
            <v>ankit.urmil@gmail.com</v>
          </cell>
          <cell r="H789" t="str">
            <v>Omkar Altamonte, C-303, Near Western Express Highway, Shantaram Talav, Malad (E</v>
          </cell>
        </row>
        <row r="790">
          <cell r="H790" t="str">
            <v>Kailashpuri</v>
          </cell>
        </row>
        <row r="791">
          <cell r="H791" t="str">
            <v>A/503  Panchsheel 1 A Raheja Township</v>
          </cell>
        </row>
        <row r="792">
          <cell r="H792" t="str">
            <v>112 Shantivan  2/C Raheja Township .</v>
          </cell>
        </row>
        <row r="793">
          <cell r="F793">
            <v>9322608350</v>
          </cell>
          <cell r="H793" t="str">
            <v>A 43 New Prakash Apts Navjivan Vidyalaya Marg</v>
          </cell>
        </row>
        <row r="794">
          <cell r="F794">
            <v>9324473435</v>
          </cell>
          <cell r="G794" t="str">
            <v>jagadish.rathi@rediffmail.com</v>
          </cell>
          <cell r="H794" t="str">
            <v>502-B  Panchsheel No.2 Raheja Township, Malad (E</v>
          </cell>
        </row>
        <row r="795">
          <cell r="F795">
            <v>9022492300</v>
          </cell>
          <cell r="H795" t="str">
            <v>502-B  Panchsheel No.2 Raheja Township</v>
          </cell>
        </row>
        <row r="796">
          <cell r="F796">
            <v>9322232683</v>
          </cell>
          <cell r="G796" t="str">
            <v>krathi60@gmail.com</v>
          </cell>
          <cell r="H796" t="str">
            <v>1201  Triveni CHS. Shuchi Dham Filmcity Road</v>
          </cell>
        </row>
        <row r="797">
          <cell r="F797">
            <v>7738042645</v>
          </cell>
          <cell r="G797" t="str">
            <v>lnrathi87@gmail.com</v>
          </cell>
          <cell r="H797" t="str">
            <v>Upvan Tower, B-1104 Upper Govind Nagar, Malad (E</v>
          </cell>
        </row>
        <row r="798">
          <cell r="F798">
            <v>9322231538</v>
          </cell>
          <cell r="G798" t="str">
            <v>Anup_Rathi84@rediffmail.Com</v>
          </cell>
          <cell r="H798" t="str">
            <v>B/302 Brijwadi Appt  55-Dattaram Road B-Wing</v>
          </cell>
        </row>
        <row r="799">
          <cell r="F799">
            <v>9769313925</v>
          </cell>
          <cell r="G799" t="str">
            <v>ca.maheshrathi@gmail.com</v>
          </cell>
          <cell r="H799" t="str">
            <v>403 Blue Mountain Apartment  Upper Govind Nagar</v>
          </cell>
        </row>
        <row r="800">
          <cell r="F800">
            <v>9819402993</v>
          </cell>
          <cell r="G800" t="str">
            <v>monikamalu@yahoo.com</v>
          </cell>
          <cell r="H800" t="str">
            <v>403  Blue Mountain Apt  Upper Govind Nagar, Malad (E</v>
          </cell>
        </row>
        <row r="801">
          <cell r="F801">
            <v>9833380315</v>
          </cell>
          <cell r="H801" t="str">
            <v>2a/302  Omkar CHS. New Mhada Colony</v>
          </cell>
        </row>
        <row r="802">
          <cell r="F802">
            <v>7977105715</v>
          </cell>
          <cell r="G802" t="str">
            <v>lnrathi87@gmail.com</v>
          </cell>
          <cell r="H802" t="str">
            <v>Upvan Tower, B-1104 &amp; B-804 Upper Govind Nagar, Malad (E</v>
          </cell>
        </row>
        <row r="803">
          <cell r="H803" t="str">
            <v>G-5  Meghdoot - A Raheja Town Ship</v>
          </cell>
        </row>
        <row r="804">
          <cell r="F804">
            <v>9920085200</v>
          </cell>
          <cell r="G804" t="str">
            <v>iprashantrathi@gmail.com</v>
          </cell>
          <cell r="H804" t="str">
            <v>Raheja Heights, G-1801 Off. General A. K. Vaidya Marg, Dindoshi, Malad (E</v>
          </cell>
        </row>
        <row r="805">
          <cell r="F805">
            <v>9322224551</v>
          </cell>
          <cell r="G805" t="str">
            <v>rajendraprasadrathi@yahoo.in</v>
          </cell>
          <cell r="H805" t="str">
            <v>602,Satsang tower Upper govind nagar ,Malad east</v>
          </cell>
        </row>
        <row r="806">
          <cell r="F806">
            <v>9324940513</v>
          </cell>
          <cell r="H806" t="str">
            <v>A 43 New Prakash Apts Navjivan Vidyalaya Marg</v>
          </cell>
        </row>
        <row r="807">
          <cell r="H807" t="str">
            <v>C-2/08  Upvan Tower Upper Govind Nagar</v>
          </cell>
        </row>
        <row r="808">
          <cell r="F808">
            <v>9987591749</v>
          </cell>
          <cell r="G808" t="str">
            <v>rajrathica@gmail.com</v>
          </cell>
          <cell r="H808" t="str">
            <v>A:1002,  A  Wing, Lalani  Grandeur CHSL General A K Vaidya Marg, Malad East</v>
          </cell>
        </row>
        <row r="809">
          <cell r="F809">
            <v>9820870115</v>
          </cell>
          <cell r="H809" t="str">
            <v>A-43  New Prakash Apartment  Navjeevan Vidhyalay Marg  Rani Sati Road</v>
          </cell>
        </row>
        <row r="810">
          <cell r="H810" t="str">
            <v>D1/304 Tapovan Deep Pathan Wadi .</v>
          </cell>
        </row>
        <row r="811">
          <cell r="F811">
            <v>9833936221</v>
          </cell>
          <cell r="G811" t="str">
            <v>Sriramrathi@gmail.com</v>
          </cell>
          <cell r="H811" t="str">
            <v>B-1104  Upvan Tower  Upper Govind Nagar Opp. Poddar School</v>
          </cell>
        </row>
        <row r="812">
          <cell r="F812">
            <v>9152711555</v>
          </cell>
          <cell r="G812" t="str">
            <v>sunita301@yahoo.com</v>
          </cell>
          <cell r="H812" t="str">
            <v>Flat No 711, 7th Floor, C- Wing, Bhoomi Gokul Chs,  Behind Dindoshi Bus Depot, Off. A.K, Vaidya  Marg, Malad (E</v>
          </cell>
        </row>
        <row r="813">
          <cell r="F813">
            <v>9322260986</v>
          </cell>
          <cell r="H813" t="str">
            <v>2/A.Ganga Vihar Bldg Raheja Township Malad (E Mumbai .</v>
          </cell>
        </row>
        <row r="814">
          <cell r="F814">
            <v>9320683201</v>
          </cell>
          <cell r="G814" t="str">
            <v>vijayrathi0604@gmail.com</v>
          </cell>
          <cell r="H814" t="str">
            <v>Upper East 97, D-1003 Upper Govind Nagar, Behind Poddar School, Malad (E</v>
          </cell>
        </row>
        <row r="815">
          <cell r="F815">
            <v>9892300157</v>
          </cell>
          <cell r="G815" t="str">
            <v>phgaggar@gmail.com</v>
          </cell>
          <cell r="H815" t="str">
            <v>Upper East 97, D wing, 1103 Kailashpuri road, Upper Govind Nagar</v>
          </cell>
        </row>
        <row r="816">
          <cell r="F816">
            <v>9322275160</v>
          </cell>
          <cell r="H816" t="str">
            <v>1401/1402  A-Wing Shikhar Kunj  Upper Goving Nagar, Malad (E</v>
          </cell>
        </row>
        <row r="817">
          <cell r="H817" t="str">
            <v>D-516 Panchsheel Raheja Township</v>
          </cell>
        </row>
        <row r="818">
          <cell r="F818">
            <v>9324811111</v>
          </cell>
          <cell r="H818" t="str">
            <v>302-b  Gardenia  Vasant Vally Complex Filmcity Road</v>
          </cell>
        </row>
        <row r="819">
          <cell r="F819">
            <v>93237309429</v>
          </cell>
          <cell r="G819" t="str">
            <v>slsaboo05@gmail.com</v>
          </cell>
          <cell r="H819" t="str">
            <v>C-1102, Rizvi Oak, Times of India Raheja Complex, Malad (E,</v>
          </cell>
        </row>
        <row r="820">
          <cell r="H820" t="str">
            <v>Dalmia Bhavan  1st Floor Four Bunglow  Rani Sati Marg</v>
          </cell>
        </row>
        <row r="821">
          <cell r="F821">
            <v>9920242371</v>
          </cell>
          <cell r="G821" t="str">
            <v>vdsaboo@gmail.com</v>
          </cell>
          <cell r="H821" t="str">
            <v>209/210  Meghdoot Bldg  Raheja Township  Near Sai Baba Mandir</v>
          </cell>
        </row>
        <row r="822">
          <cell r="F822">
            <v>9820779873</v>
          </cell>
          <cell r="G822" t="str">
            <v>vipin0785@yahoo.com</v>
          </cell>
          <cell r="H822" t="str">
            <v>B/6  Hira Kutir  Shivaji Chowk Daftery Road</v>
          </cell>
        </row>
        <row r="823">
          <cell r="H823" t="str">
            <v>Jyoti Sukriti Flat No. B/1101 -02 Floor No.11 Gokuldham Krishna Vatika Marg, Goregaon (E</v>
          </cell>
        </row>
        <row r="824">
          <cell r="H824" t="str">
            <v>17/3  Sujata Niketan Rani Sati Marg</v>
          </cell>
        </row>
        <row r="825">
          <cell r="H825" t="str">
            <v>701/704  Shivam 11 - B Raheja Complex  Western Express Highway</v>
          </cell>
        </row>
        <row r="826">
          <cell r="F826">
            <v>9320916175</v>
          </cell>
          <cell r="G826" t="str">
            <v>harishksarda@gmail.com</v>
          </cell>
          <cell r="H826" t="str">
            <v>Panchsheel-3 CHSL., F/522 5th Floor, Raheja Township, Malad (E</v>
          </cell>
        </row>
        <row r="827">
          <cell r="H827" t="str">
            <v>502-B  Panchsheel No.2 Raheja Township Malad (E -</v>
          </cell>
        </row>
        <row r="828">
          <cell r="F828">
            <v>9322397174</v>
          </cell>
          <cell r="G828" t="str">
            <v>madhusudansarda@hotmail.com</v>
          </cell>
          <cell r="H828" t="str">
            <v>B-601  Sarnath  Upper Govind Nagar</v>
          </cell>
        </row>
        <row r="829">
          <cell r="F829">
            <v>9004547878</v>
          </cell>
          <cell r="G829" t="str">
            <v>jupiterchem@yahoo.in</v>
          </cell>
          <cell r="H829" t="str">
            <v>D/501, Upper East 97, Roha Reality,  Upper Govind Nagar, Near G.D. Jalan College, Malad (E</v>
          </cell>
        </row>
        <row r="830">
          <cell r="F830">
            <v>9819199907</v>
          </cell>
          <cell r="G830" t="str">
            <v>roshansharda@yahoo.Com</v>
          </cell>
          <cell r="H830" t="str">
            <v>202  Boulevard 15 Upper Govind Nagar, Malad East</v>
          </cell>
        </row>
        <row r="831">
          <cell r="H831" t="str">
            <v>B -301  Harish Chandra Raheja Township</v>
          </cell>
        </row>
        <row r="832">
          <cell r="H832" t="str">
            <v>202  A-Wing Ganga Vihar Raheja  Opp Meghdoot Bldg.</v>
          </cell>
        </row>
        <row r="833">
          <cell r="F833">
            <v>9324748773</v>
          </cell>
          <cell r="G833" t="str">
            <v>sardasunita156@gmail.com</v>
          </cell>
          <cell r="H833" t="str">
            <v>B-601  Sarnath  Upper Govind Nagar</v>
          </cell>
        </row>
        <row r="834">
          <cell r="F834">
            <v>9322874559</v>
          </cell>
          <cell r="H834" t="str">
            <v>B-301  Harishchandra Raheja Township</v>
          </cell>
        </row>
        <row r="835">
          <cell r="F835">
            <v>9324474949</v>
          </cell>
          <cell r="G835" t="str">
            <v>vinaysarda002@yahoo.co.in</v>
          </cell>
          <cell r="H835" t="str">
            <v>Jyoti Sukriti Flat No. B/1101 -02 Floor No.11 Gokuldham Krishna Vatika Marg, Goregaon (E</v>
          </cell>
        </row>
        <row r="836">
          <cell r="F836">
            <v>9322177731</v>
          </cell>
          <cell r="G836" t="str">
            <v>vinaysarda002@yahoo.co.in</v>
          </cell>
          <cell r="H836" t="str">
            <v>Jyoti Sukriti Flat No. B/1101 -02 Floor No.11 Gokuldham Krishna Vatika Marg, Goregaon (E</v>
          </cell>
        </row>
        <row r="837">
          <cell r="F837">
            <v>9769951123</v>
          </cell>
          <cell r="G837" t="str">
            <v>sawana1961@gmail.com</v>
          </cell>
          <cell r="H837" t="str">
            <v>Malad CHS. 7/21-22, 2nd Floor, Poddar Park Road, Malad (E,</v>
          </cell>
        </row>
        <row r="838">
          <cell r="F838">
            <v>9322177391</v>
          </cell>
          <cell r="G838" t="str">
            <v>vinaysarda002@yahoo.co.in</v>
          </cell>
          <cell r="H838" t="str">
            <v>Jyoti Sukriti Flat No. B/1101 -02 Floor No.11 Gokuldham Krishna Vatika Marg, Goregaon (E</v>
          </cell>
        </row>
        <row r="839">
          <cell r="F839">
            <v>9819141611</v>
          </cell>
          <cell r="G839" t="str">
            <v>hardik.sodhani@gmail.com</v>
          </cell>
          <cell r="H839" t="str">
            <v>B / 406  Ganga Bldg  Rani Sati Marg  Malad (E</v>
          </cell>
        </row>
        <row r="840">
          <cell r="F840">
            <v>9167234508</v>
          </cell>
          <cell r="G840" t="str">
            <v>hsodhani1@gmail.com</v>
          </cell>
          <cell r="H840" t="str">
            <v>B / 406  Ganga Bldg  Rani Sati Marg  Malad (E</v>
          </cell>
        </row>
        <row r="841">
          <cell r="F841">
            <v>9820282322</v>
          </cell>
          <cell r="G841" t="str">
            <v>msodhani@gmail.Com</v>
          </cell>
          <cell r="H841" t="str">
            <v>B/406  Ganga Building Rani Sati Marg</v>
          </cell>
        </row>
        <row r="842">
          <cell r="F842">
            <v>7506008954</v>
          </cell>
          <cell r="G842" t="str">
            <v>minalsodhani95@gmail.com</v>
          </cell>
          <cell r="H842" t="str">
            <v>5/23, Elephanta Bldg, Daftary Road, Malad (E</v>
          </cell>
        </row>
        <row r="843">
          <cell r="F843">
            <v>9322268494</v>
          </cell>
          <cell r="G843" t="str">
            <v>msodhani@gmail.Com</v>
          </cell>
          <cell r="H843" t="str">
            <v>B/406  Ganga Building Rani Sati Marg</v>
          </cell>
        </row>
        <row r="844">
          <cell r="H844" t="str">
            <v>B 207  Ganga Bldg Rani Sati Marg</v>
          </cell>
        </row>
        <row r="845">
          <cell r="F845">
            <v>7045887557</v>
          </cell>
          <cell r="G845" t="str">
            <v>rajeshsodhani6@gmail.com</v>
          </cell>
          <cell r="H845" t="str">
            <v>5/23,  Elephanta Building, Daftary road subash lane Malad east</v>
          </cell>
        </row>
        <row r="846">
          <cell r="F846">
            <v>8291695989</v>
          </cell>
          <cell r="G846" t="str">
            <v>rishisodhani2002@gmail.com</v>
          </cell>
          <cell r="H846" t="str">
            <v>605/B  Ganga Bldg 16 Rani Sati Marg, Malad (E</v>
          </cell>
        </row>
        <row r="847">
          <cell r="F847">
            <v>9869322774</v>
          </cell>
          <cell r="H847" t="str">
            <v>605/B  Ganga Bldg 16 Rani Sati Marg, Malad (E</v>
          </cell>
        </row>
        <row r="848">
          <cell r="F848">
            <v>9969121458</v>
          </cell>
          <cell r="G848" t="str">
            <v>seemasodhani@gmail.com</v>
          </cell>
          <cell r="H848" t="str">
            <v>605/B  Ganga Bldg 16 Rani Sati Marg, Malad (E</v>
          </cell>
        </row>
        <row r="849">
          <cell r="H849" t="str">
            <v>Bunglow No.1  Kailash Puri Govind Nagar</v>
          </cell>
        </row>
        <row r="850">
          <cell r="F850">
            <v>9833307697</v>
          </cell>
          <cell r="G850" t="str">
            <v>shyamsodhani@gmail.com</v>
          </cell>
          <cell r="H850" t="str">
            <v>5/23, Elephanta Bldg. Daftary Road,  Gaushala Lane, Malad (E</v>
          </cell>
        </row>
        <row r="851">
          <cell r="H851" t="str">
            <v>Kailash Bunglow No.1 .</v>
          </cell>
        </row>
        <row r="852">
          <cell r="F852">
            <v>9869322774</v>
          </cell>
          <cell r="G852" t="str">
            <v>drsodhani@gmail.com</v>
          </cell>
          <cell r="H852" t="str">
            <v>605/B  Ganga Bldg 16 Rani Sati Marg, Malad (E</v>
          </cell>
        </row>
        <row r="853">
          <cell r="F853">
            <v>9867503405</v>
          </cell>
          <cell r="G853" t="str">
            <v>dilip.somani@gmail.com</v>
          </cell>
          <cell r="H853" t="str">
            <v>702-B Wing  Levels  Rani Sati Marg  Kathiyawadi Chowk    Khot Dongari  Malad (E</v>
          </cell>
        </row>
        <row r="854">
          <cell r="F854">
            <v>9322251660</v>
          </cell>
          <cell r="H854" t="str">
            <v>1404 C-Wing Levels  Rani Sati Marg Kathiyawadi Chowk    Khot Dongari  Malad (E</v>
          </cell>
        </row>
        <row r="855">
          <cell r="H855" t="str">
            <v>B/307  Indraprasth-2 Jitendra Road</v>
          </cell>
        </row>
        <row r="856">
          <cell r="F856">
            <v>9820224506</v>
          </cell>
          <cell r="G856" t="str">
            <v>somaniraju1967@gmail.com</v>
          </cell>
          <cell r="H856" t="str">
            <v>1404 C-Wing Levels  Rani Sati Marg Kathiyawadi Chowk    Khot Dongari  Malad (E</v>
          </cell>
        </row>
        <row r="857">
          <cell r="F857">
            <v>9920851258</v>
          </cell>
          <cell r="G857" t="str">
            <v>vsomani27@yahoo.in</v>
          </cell>
          <cell r="H857" t="str">
            <v>B- 403  Krishraj Tower Padm Nagar  Opp. Phonix Hospital   Chikuwadi</v>
          </cell>
        </row>
        <row r="858">
          <cell r="F858">
            <v>9004678266</v>
          </cell>
          <cell r="G858" t="str">
            <v>subhash.somani84@gmail.com</v>
          </cell>
          <cell r="H858" t="str">
            <v>A-1703, Raheja Heights AK Vaidya Marg, Malad east</v>
          </cell>
        </row>
        <row r="859">
          <cell r="H859" t="str">
            <v>B-604  Mansarovar Opp.Dindoshi Depot. Film City Road</v>
          </cell>
        </row>
        <row r="860">
          <cell r="H860" t="str">
            <v>401  Ved Darshan CHS Rani Sati Marg  Kwari Road</v>
          </cell>
        </row>
        <row r="861">
          <cell r="F861">
            <v>8879097778</v>
          </cell>
          <cell r="G861" t="str">
            <v>radheshyamsoni@gmail.com</v>
          </cell>
          <cell r="H861" t="str">
            <v>Rajsthan Society  Flat No. 201  2nd Floor 64  Haji Bapu Road</v>
          </cell>
        </row>
        <row r="862">
          <cell r="H862" t="str">
            <v>Rajsthan Society 64/8  Haji Bapu Road</v>
          </cell>
        </row>
        <row r="863">
          <cell r="H863" t="str">
            <v>6/9 Malad Co-op Housing Society Ltd Poodar Park</v>
          </cell>
        </row>
        <row r="864">
          <cell r="F864">
            <v>6375274794</v>
          </cell>
          <cell r="G864" t="str">
            <v>tanushree.bagree@gmail.com</v>
          </cell>
          <cell r="H864" t="str">
            <v>A wing, 3104, Omkar Alta Monte Western Express Highway, Pathanwadi, Malad East</v>
          </cell>
        </row>
        <row r="865">
          <cell r="F865">
            <v>9323698838</v>
          </cell>
          <cell r="G865" t="str">
            <v>agaljagdish@gmail.com</v>
          </cell>
          <cell r="H865" t="str">
            <v>1-b  402  Green Meadows Co.op. Soc Lokhandwala Complex</v>
          </cell>
        </row>
        <row r="866">
          <cell r="H866" t="str">
            <v>701/B  KRISHNA  VASANT SAGAR 42 Flat 702/703 Thakur Village, Kandivali (E</v>
          </cell>
        </row>
        <row r="867">
          <cell r="F867">
            <v>9920177232</v>
          </cell>
          <cell r="G867" t="str">
            <v>milindagal@yahoo.com</v>
          </cell>
          <cell r="H867" t="str">
            <v>2A, 403, N.G. Suncity Phase -III, Thakur Village, Kandivali (E</v>
          </cell>
        </row>
        <row r="868">
          <cell r="F868">
            <v>9702060911</v>
          </cell>
          <cell r="G868" t="str">
            <v>ankitasawa@gmail.com</v>
          </cell>
          <cell r="H868" t="str">
            <v>1603 Tower-1  Spring Grove  Lokhandwala Township</v>
          </cell>
        </row>
        <row r="869">
          <cell r="F869">
            <v>9820660395</v>
          </cell>
          <cell r="G869" t="str">
            <v>Asawamanish@gmail.com</v>
          </cell>
          <cell r="H869" t="str">
            <v>A-503  Rihan Atmaram Sawan Marg Ashok Nagar, Opp. Children Academy School, Kandivali (E</v>
          </cell>
        </row>
        <row r="870">
          <cell r="F870">
            <v>9820660286</v>
          </cell>
          <cell r="G870" t="str">
            <v>asawamanish@gmail.com</v>
          </cell>
          <cell r="H870" t="str">
            <v>A-503  Rihan Atmaram Sawan Marg Ashok Nagar, Opp. Children Academy School, Kandivali (E</v>
          </cell>
        </row>
        <row r="871">
          <cell r="F871">
            <v>9930945971</v>
          </cell>
          <cell r="G871" t="str">
            <v>kalpana_attal@hotmail.com</v>
          </cell>
          <cell r="H871" t="str">
            <v>705/706  Orchid Tower Lokhandwala Township  Akurli Road</v>
          </cell>
        </row>
        <row r="872">
          <cell r="F872">
            <v>9322853147</v>
          </cell>
          <cell r="G872" t="str">
            <v>rishabh.syn@gmail.com</v>
          </cell>
          <cell r="H872" t="str">
            <v>White City B-1213 Akurli Road, Next to Apex Hospital, Kandivali (E</v>
          </cell>
        </row>
        <row r="873">
          <cell r="F873">
            <v>9833490712</v>
          </cell>
          <cell r="H873" t="str">
            <v>B Wing 603  Shraddha H Complex Near Saibaba Mandir Asha Nagar Kandivali (E</v>
          </cell>
        </row>
        <row r="874">
          <cell r="F874">
            <v>9820056029</v>
          </cell>
          <cell r="H874" t="str">
            <v>A-2501  Gokul Concorde Thakur Village</v>
          </cell>
        </row>
        <row r="875">
          <cell r="F875">
            <v>9819258331</v>
          </cell>
          <cell r="G875" t="str">
            <v>seemabaglaca@yahoo.com</v>
          </cell>
          <cell r="H875" t="str">
            <v>A-2501  Gokul Concorde Thakur Village</v>
          </cell>
        </row>
        <row r="876">
          <cell r="H876" t="str">
            <v>A-301  Spring Leaf Lokhandwala Township</v>
          </cell>
        </row>
        <row r="877">
          <cell r="F877">
            <v>9821399306</v>
          </cell>
          <cell r="G877" t="str">
            <v>bmbagri@gmail.com</v>
          </cell>
          <cell r="H877" t="str">
            <v>B2102 Oberoi Gardens Thakur Village</v>
          </cell>
        </row>
        <row r="878">
          <cell r="F878">
            <v>9821152231</v>
          </cell>
          <cell r="H878" t="str">
            <v>Flat No 401  Spring Leaf 5/C Lokhandwala Township Akurli Rd, Kandivali</v>
          </cell>
        </row>
        <row r="879">
          <cell r="F879">
            <v>9892350730</v>
          </cell>
          <cell r="H879" t="str">
            <v>C-801  Spring Leaf-5 Lokhandwala Township  Akurli Road</v>
          </cell>
        </row>
        <row r="880">
          <cell r="F880">
            <v>9331055539</v>
          </cell>
          <cell r="H880" t="str">
            <v>Octacrest Complex  A-Wing  Flat No.1101  Lokhandwala Township  Kandivali (E</v>
          </cell>
        </row>
        <row r="881">
          <cell r="F881">
            <v>7980496452</v>
          </cell>
          <cell r="H881" t="str">
            <v>Octacrest Complex  A-Wing  Flat No.1101  Lokhandwala Township  Kandivali (E</v>
          </cell>
        </row>
        <row r="882">
          <cell r="F882">
            <v>9324531211</v>
          </cell>
          <cell r="G882" t="str">
            <v>bagdiraman@gmail.com</v>
          </cell>
          <cell r="H882" t="str">
            <v>B -301 Hill View Park Chs 3rd Floor  Thakur Village  Kandivali (E</v>
          </cell>
        </row>
        <row r="883">
          <cell r="F883">
            <v>9702224535</v>
          </cell>
          <cell r="G883" t="str">
            <v>h.s.bahedia@gmail.com</v>
          </cell>
          <cell r="H883" t="str">
            <v>C-605, Krishna, Vasant Sagar Complex Thakur Village, Kandivali (E</v>
          </cell>
        </row>
        <row r="884">
          <cell r="F884">
            <v>8097914000</v>
          </cell>
          <cell r="G884" t="str">
            <v>deepabaheti74@gmail.com</v>
          </cell>
          <cell r="H884" t="str">
            <v>Flat No. 2B-62, Kalpataru Gardens Phase-1 CHSL, Swayambhu Ganesh Mandir Marg, Ashok Nagar, Kandivali (E</v>
          </cell>
        </row>
        <row r="885">
          <cell r="F885">
            <v>9833910166</v>
          </cell>
          <cell r="G885" t="str">
            <v>jayeshbaheti@rediffmail.com</v>
          </cell>
          <cell r="H885" t="str">
            <v>C-604 Cosmos Valley Of Flowers Gundecha Thakur Village</v>
          </cell>
        </row>
        <row r="886">
          <cell r="F886">
            <v>9820505363</v>
          </cell>
          <cell r="G886" t="str">
            <v>kapil.baheti@ecoletech.com</v>
          </cell>
          <cell r="H886" t="str">
            <v>A/504, Oberoi Park View, Thakur Village, Kandivali (E</v>
          </cell>
        </row>
        <row r="887">
          <cell r="F887">
            <v>9833353033</v>
          </cell>
          <cell r="G887" t="str">
            <v>nkbaheti1983@yahoo.co.in</v>
          </cell>
          <cell r="H887" t="str">
            <v>Flat No 503  5th Floor  EMP - 74  Evershine Helio Chsl  Bldg No.4  Thakur Village   Kandivali (E</v>
          </cell>
        </row>
        <row r="888">
          <cell r="F888">
            <v>9833517067</v>
          </cell>
          <cell r="H888" t="str">
            <v>701-B  Oberoi Park View Thakur Village  Near Thakur Cinema</v>
          </cell>
        </row>
        <row r="889">
          <cell r="F889">
            <v>9821444408</v>
          </cell>
          <cell r="G889" t="str">
            <v>jkbajaj@wsspl.net</v>
          </cell>
          <cell r="H889" t="str">
            <v>503/504 Shivalaya Tower   90ft Road, Thakur Complex, Kandivali(East</v>
          </cell>
        </row>
        <row r="890">
          <cell r="H890" t="str">
            <v>E/2-510  Highway Park Soc. C Wing  Thakur Complex, Kandivali (E</v>
          </cell>
        </row>
        <row r="891">
          <cell r="F891">
            <v>8080978873</v>
          </cell>
          <cell r="H891" t="str">
            <v>B-501  Yamuna Vasant Sagar CHS Ltd. Thakur Village</v>
          </cell>
        </row>
        <row r="892">
          <cell r="F892">
            <v>9820087717</v>
          </cell>
          <cell r="G892" t="str">
            <v>banglalit1@gmail.com</v>
          </cell>
          <cell r="H892" t="str">
            <v>Flat No.6, Tower D,Vice Roy Park Chs. Ltd., Thakur Village, Kandivali (E,</v>
          </cell>
        </row>
        <row r="893">
          <cell r="F893">
            <v>9930887717</v>
          </cell>
          <cell r="H893" t="str">
            <v>Flat No.6, Tower D,Vice Roy Park Chs. Ltd., Thakur Village, Kandivali (E,</v>
          </cell>
        </row>
        <row r="894">
          <cell r="F894">
            <v>7738761172</v>
          </cell>
          <cell r="G894" t="str">
            <v>opbang53@gmail.com</v>
          </cell>
          <cell r="H894" t="str">
            <v>Sarova Tower, C-1/Flat No. 601   Samta Nagar, Kandivali (E</v>
          </cell>
        </row>
        <row r="895">
          <cell r="F895">
            <v>9619742286</v>
          </cell>
          <cell r="G895" t="str">
            <v>opbang53@gmail.com</v>
          </cell>
          <cell r="H895" t="str">
            <v>Sarova Tower, C-1/Flat No. 601   Samta Nagar, Kandivali (E</v>
          </cell>
        </row>
        <row r="896">
          <cell r="F896">
            <v>9320087717</v>
          </cell>
          <cell r="H896" t="str">
            <v>Flat No.6, Tower D,Vice Roy Park Chs. Ltd., Thakur Village, Kandivali (E,</v>
          </cell>
        </row>
        <row r="897">
          <cell r="F897">
            <v>9892062311</v>
          </cell>
          <cell r="H897" t="str">
            <v>Flat No.6, Tower D,Vice Roy Park Chs. Ltd., Thakur Village, Kandivali (E,</v>
          </cell>
        </row>
        <row r="898">
          <cell r="F898">
            <v>8879940142</v>
          </cell>
          <cell r="H898" t="str">
            <v>Flat No.6, Tower D,Vice Roy Park Chs. Ltd., Thakur Village, Kandivali (E,</v>
          </cell>
        </row>
        <row r="899">
          <cell r="H899" t="str">
            <v>F-304  Marigold Valley Of Flower  Thakur Village</v>
          </cell>
        </row>
        <row r="900">
          <cell r="F900">
            <v>9920247736</v>
          </cell>
          <cell r="G900" t="str">
            <v>vaiju1111@gmail.com</v>
          </cell>
          <cell r="H900" t="str">
            <v>Flat No.6, Tower D,Vice Roy Park Chs. Ltd., Thakur Village, Kandivali (E,</v>
          </cell>
        </row>
        <row r="901">
          <cell r="F901">
            <v>9571913590</v>
          </cell>
          <cell r="G901" t="str">
            <v>casunilbangar@gmail.com</v>
          </cell>
          <cell r="H901" t="str">
            <v>Shri Marigold CHSL., A-301 Valley of Flowers, Thakur Village, Kandivali (E</v>
          </cell>
        </row>
        <row r="902">
          <cell r="H902" t="str">
            <v>C-301-302  Gokul Tower Thakur Complex</v>
          </cell>
        </row>
        <row r="903">
          <cell r="F903">
            <v>9892525363</v>
          </cell>
          <cell r="G903" t="str">
            <v>sbhadada@gmail.com</v>
          </cell>
          <cell r="H903" t="str">
            <v>C-501, Oberoi Garden Society Opp. Ganpati Tower, Thakur Village, Kandivali (E</v>
          </cell>
        </row>
        <row r="904">
          <cell r="F904">
            <v>9920409121</v>
          </cell>
          <cell r="G904" t="str">
            <v>sbhadada@gmail.com</v>
          </cell>
          <cell r="H904" t="str">
            <v>C-501, Oberoi Garden Society Opp. Ganpati Tower, Thakur Village, Kandivali (E</v>
          </cell>
        </row>
        <row r="905">
          <cell r="H905" t="str">
            <v>C-401  Oberoi Garden Thakur Village</v>
          </cell>
        </row>
        <row r="906">
          <cell r="F906">
            <v>9619010408</v>
          </cell>
          <cell r="G906" t="str">
            <v>sbhadada@gmail.com</v>
          </cell>
          <cell r="H906" t="str">
            <v>C-501, Oberoi Garden Society Opp. Ganpati Tower, Thakur Village, Kandivali (E</v>
          </cell>
        </row>
        <row r="907">
          <cell r="F907">
            <v>9833032997</v>
          </cell>
          <cell r="G907" t="str">
            <v>sbhadada@gmail.com</v>
          </cell>
          <cell r="H907" t="str">
            <v>C-501, Oberoi Garden Society Opp. Ganpati Tower, Thakur Village, Kandivali (E</v>
          </cell>
        </row>
        <row r="908">
          <cell r="F908">
            <v>9820297200</v>
          </cell>
          <cell r="H908" t="str">
            <v>Flat no.1702/03  D-Wing  Bldg.No.9  Whispering Palms XX-Clusive  Lokhandwala Township</v>
          </cell>
        </row>
        <row r="909">
          <cell r="H909" t="str">
            <v>1702  E-Wing Octracrest Building  Nr. Cinemax</v>
          </cell>
        </row>
        <row r="910">
          <cell r="F910">
            <v>9324285448</v>
          </cell>
          <cell r="G910" t="str">
            <v>unmesh5@yahoo.com</v>
          </cell>
          <cell r="H910" t="str">
            <v>C-704 Gayatri Darshan , Near Suruchi Restaurant Thakur Complex  Kandivali (E</v>
          </cell>
        </row>
        <row r="911">
          <cell r="F911">
            <v>9022963335</v>
          </cell>
          <cell r="G911" t="str">
            <v>amitbhararia@rediffmail.com</v>
          </cell>
          <cell r="H911" t="str">
            <v>Gundecha Trillium CHSL., A2/1303  Thakur Village, Kandivli (E</v>
          </cell>
        </row>
        <row r="912">
          <cell r="F912">
            <v>9820293375</v>
          </cell>
          <cell r="H912" t="str">
            <v>A-301  Amar Apartment  Thakur Complex, Kandivali (E</v>
          </cell>
        </row>
        <row r="913">
          <cell r="H913" t="str">
            <v>3a-403/404  Sharadha Co-Op Hsg.Soc. Asha Nagar  Thakur Complex</v>
          </cell>
        </row>
        <row r="914">
          <cell r="F914">
            <v>9833933540</v>
          </cell>
          <cell r="G914" t="str">
            <v>malay.bhatter@gmail.com</v>
          </cell>
          <cell r="H914" t="str">
            <v>10/B  101 Alica Nagar Lokhandwala Complex  Akurli Road, Kandivali (E</v>
          </cell>
        </row>
        <row r="915">
          <cell r="H915" t="str">
            <v>2c-41  Kalpataru Garden  Opp Ashok Chandavarkar Lane  Ashok Nagar Near Swayambhu Ganesh Temple Kandivali (E-</v>
          </cell>
        </row>
        <row r="916">
          <cell r="F916">
            <v>9833577351</v>
          </cell>
          <cell r="G916" t="str">
            <v>sumitbhutra@gmail.com</v>
          </cell>
          <cell r="H916" t="str">
            <v>Raheja Eternity, B-301 Thakur Village, Kandivali (E</v>
          </cell>
        </row>
        <row r="917">
          <cell r="F917">
            <v>9820094563</v>
          </cell>
          <cell r="H917" t="str">
            <v>2C/401  N.G. Suncity Face -2 Thakur Village</v>
          </cell>
        </row>
        <row r="918">
          <cell r="F918">
            <v>7506055680</v>
          </cell>
          <cell r="G918" t="str">
            <v>rishabhbirla20@gmail.com</v>
          </cell>
          <cell r="H918" t="str">
            <v>B/404  Octacrest Akruti Road  Lokhannnndwala Township   Kandivali (W</v>
          </cell>
        </row>
        <row r="919">
          <cell r="F919">
            <v>9323053856</v>
          </cell>
          <cell r="G919" t="str">
            <v>biyanidilip1958@gmail.com</v>
          </cell>
          <cell r="H919" t="str">
            <v>6B spring leaf   Lokhandwala township</v>
          </cell>
        </row>
        <row r="920">
          <cell r="F920">
            <v>9920307573</v>
          </cell>
          <cell r="G920" t="str">
            <v>mayur.biyani@yahoo.com</v>
          </cell>
          <cell r="H920" t="str">
            <v>6B/602, Spring Leaf Bldg. Lokhandwala Township, Kandivali (East0</v>
          </cell>
        </row>
        <row r="921">
          <cell r="F921">
            <v>9619494026</v>
          </cell>
          <cell r="G921" t="str">
            <v>naresh.biyani@gmail.com</v>
          </cell>
          <cell r="H921" t="str">
            <v>B-1401/1402 benzer Tower  Thakur Complex  Near Surbhi Hotel</v>
          </cell>
        </row>
        <row r="922">
          <cell r="H922" t="str">
            <v>7-D/404  Alica Nagar Lokhandwala Complex  Akurli Road</v>
          </cell>
        </row>
        <row r="923">
          <cell r="F923">
            <v>8879704601</v>
          </cell>
          <cell r="G923" t="str">
            <v>vijaychandak1952@gmail.com</v>
          </cell>
          <cell r="H923" t="str">
            <v>Sierra Tower CHS Ltd. C/1501 Lokhandwala Township, Akurli Road, Kandivali (E</v>
          </cell>
        </row>
        <row r="924">
          <cell r="F924">
            <v>9967071927</v>
          </cell>
          <cell r="G924" t="str">
            <v>vrchechani@gmail.com</v>
          </cell>
          <cell r="H924" t="str">
            <v>603 - C Wing  Tulip Thakur Village  Kandivali (E</v>
          </cell>
        </row>
        <row r="925">
          <cell r="F925">
            <v>9768115375</v>
          </cell>
          <cell r="G925" t="str">
            <v>gayatrichitlangia@gmail.com</v>
          </cell>
          <cell r="H925" t="str">
            <v>1101 D Wing Sumukh Hills  Off W.E Highway, Kandivali East</v>
          </cell>
        </row>
        <row r="926">
          <cell r="F926">
            <v>9920299939</v>
          </cell>
          <cell r="G926" t="str">
            <v>mailtoneerajm@gmail.com</v>
          </cell>
          <cell r="H926" t="str">
            <v>6B-1206  Sapphire Heights Lokhandwala Complex, Kandivali (W</v>
          </cell>
        </row>
        <row r="927">
          <cell r="H927" t="str">
            <v>1202-1a  Whispering Palms Lokhandwala Complex Akurli Road</v>
          </cell>
        </row>
        <row r="928">
          <cell r="H928" t="str">
            <v>8-B  Tower-C Viceroy Park  Thakur Village</v>
          </cell>
        </row>
        <row r="929">
          <cell r="F929">
            <v>9322328211</v>
          </cell>
          <cell r="H929" t="str">
            <v>Krishna  E.402  Vasant Sagar Ghs Ltd Thakur Village  Opp.Thakur Cinema  Samthanagar</v>
          </cell>
        </row>
        <row r="930">
          <cell r="F930">
            <v>9820267735</v>
          </cell>
          <cell r="H930" t="str">
            <v>8-B  Tower-C Viceroy Park  Thakur Village</v>
          </cell>
        </row>
        <row r="931">
          <cell r="F931">
            <v>9322328211</v>
          </cell>
          <cell r="H931" t="str">
            <v>Krishna  E.402  Vasant Sagar Ghs Ltd Thakur Village  Opp.Thakur Cinema  Samthanagar</v>
          </cell>
        </row>
        <row r="932">
          <cell r="F932">
            <v>9820133326</v>
          </cell>
          <cell r="H932" t="str">
            <v>8-B  Tower-C Viceroy Park  Thakur Village, Kandivali (E</v>
          </cell>
        </row>
        <row r="933">
          <cell r="F933">
            <v>9820267735</v>
          </cell>
          <cell r="H933" t="str">
            <v>8/b Tower C Eight Floor Viceroy Park Nr. Thakur Cinema Village</v>
          </cell>
        </row>
        <row r="934">
          <cell r="F934">
            <v>9322889347</v>
          </cell>
          <cell r="G934" t="str">
            <v>Suratram@hotmail.Com</v>
          </cell>
          <cell r="H934" t="str">
            <v>A-706 Gayatri Darshan  Thakur Complex .</v>
          </cell>
        </row>
        <row r="935">
          <cell r="F935">
            <v>9820199877</v>
          </cell>
          <cell r="G935" t="str">
            <v>gdamani.09@gmail.com</v>
          </cell>
          <cell r="H935" t="str">
            <v>Whispering Palms, Wing-1-A/602   Lokhandwala Township, Kandivali (E</v>
          </cell>
        </row>
        <row r="936">
          <cell r="F936">
            <v>7021239328</v>
          </cell>
          <cell r="G936" t="str">
            <v>damanikunjlata@gmail.com</v>
          </cell>
          <cell r="H936" t="str">
            <v>A-1401, Raj Tower, Akurli Road ,Opp. Whispering Palms, Lokhandwala Township, Kandivali (E</v>
          </cell>
        </row>
        <row r="937">
          <cell r="F937">
            <v>9819802826</v>
          </cell>
          <cell r="G937" t="str">
            <v>anildarak@gmail.com</v>
          </cell>
          <cell r="H937" t="str">
            <v>ALPINE Towers, Flat No. B-2003, Opp. Thakur Village Police Station, Thakur Village, Kandivali (E</v>
          </cell>
        </row>
        <row r="938">
          <cell r="H938" t="str">
            <v>501 Dimple Heights Asha Nagar Thakur Complex</v>
          </cell>
        </row>
        <row r="939">
          <cell r="H939" t="str">
            <v>C 304  Gokul Garden Thakur Complex</v>
          </cell>
        </row>
        <row r="940">
          <cell r="F940">
            <v>9820610112</v>
          </cell>
          <cell r="G940" t="str">
            <v>lalitdhupar@gmail.com</v>
          </cell>
          <cell r="H940" t="str">
            <v>A-1/24 Sahyadri  Asha Nagar Thakur Complex</v>
          </cell>
        </row>
        <row r="941">
          <cell r="F941">
            <v>9820029905</v>
          </cell>
          <cell r="G941" t="str">
            <v>opdhupar@yahoo.co.in</v>
          </cell>
          <cell r="H941" t="str">
            <v>1903  Silver Oak  Raheja Willows Bldg. Akurli Road</v>
          </cell>
        </row>
        <row r="942">
          <cell r="H942" t="str">
            <v>401 Rajniganda Punam Complex Asha Nagar Kandiwali</v>
          </cell>
        </row>
        <row r="943">
          <cell r="H943" t="str">
            <v>3C  11 02 WHISPERING PALMAS  LOKHANDWAL TOWNSHIP AKURLI ROAD</v>
          </cell>
        </row>
        <row r="944">
          <cell r="F944">
            <v>9892537304</v>
          </cell>
          <cell r="G944" t="str">
            <v>manojfalor@yahoo.com</v>
          </cell>
          <cell r="H944" t="str">
            <v>B - 204  Bhoomi Elegant   Opp. Gokul Garden  Thakur Complex  Kandivali (E</v>
          </cell>
        </row>
        <row r="945">
          <cell r="F945">
            <v>7303221249</v>
          </cell>
          <cell r="G945" t="str">
            <v>sudhafalor@gmail.com</v>
          </cell>
          <cell r="H945" t="str">
            <v>B - 204  Bhoomi Elegant   Opp. Gokul Garden  Thakur Complex  Kandivali (E</v>
          </cell>
        </row>
        <row r="946">
          <cell r="H946" t="str">
            <v>B-601  RAKHEE  VASANT UTSAV  THAKUR VILLAGE</v>
          </cell>
        </row>
        <row r="947">
          <cell r="F947">
            <v>9321532327</v>
          </cell>
          <cell r="G947" t="str">
            <v>kdgaggar1@gmail.com</v>
          </cell>
          <cell r="H947" t="str">
            <v>Rakhi  B-601  Vasant Utsav Thakur Village, Kandivali (E</v>
          </cell>
        </row>
        <row r="948">
          <cell r="F948">
            <v>9029404426</v>
          </cell>
          <cell r="G948" t="str">
            <v>kamlesh.gaggar@gmail.com</v>
          </cell>
          <cell r="H948" t="str">
            <v>B 601  Rakhee Vasant Utsav Thakur Village, Kandivali (E</v>
          </cell>
        </row>
        <row r="949">
          <cell r="F949">
            <v>9821048063</v>
          </cell>
          <cell r="G949" t="str">
            <v>sanjaygaggar@hotmail.com</v>
          </cell>
          <cell r="H949" t="str">
            <v>2b-113  Kalapatru Gardens Ashok Nagar Near Ganesh Temple  Mum-</v>
          </cell>
        </row>
        <row r="950">
          <cell r="F950">
            <v>9664467750</v>
          </cell>
          <cell r="G950" t="str">
            <v>gaggarsratan@gmail.com</v>
          </cell>
          <cell r="H950" t="str">
            <v>Krishna Vasant Sagar A-603   Thakur Village, Kandivali (E</v>
          </cell>
        </row>
        <row r="951">
          <cell r="F951">
            <v>9820305852</v>
          </cell>
          <cell r="H951" t="str">
            <v>H/603 Krishna Vasant Sagar Thakur Village</v>
          </cell>
        </row>
        <row r="952">
          <cell r="H952" t="str">
            <v>16/704  Evershine Millenium Paradise  Thakur Village</v>
          </cell>
        </row>
        <row r="953">
          <cell r="F953">
            <v>9967065195</v>
          </cell>
          <cell r="G953" t="str">
            <v>gagranisn@gmail.com</v>
          </cell>
          <cell r="H953" t="str">
            <v>D - 402  Gayatri Satsang Laxminarayan Dham  Near Gokul Gagan Tower  Thakur Village  Kandivali ( E</v>
          </cell>
        </row>
        <row r="954">
          <cell r="F954">
            <v>9892726278</v>
          </cell>
          <cell r="G954" t="str">
            <v>gopalgattani77@gmail.com</v>
          </cell>
          <cell r="H954" t="str">
            <v>4-B- 1604, Whispering Palms Co-Hsg  Soc Ltd  Akurli Road, Kandivali East</v>
          </cell>
        </row>
        <row r="955">
          <cell r="H955" t="str">
            <v>7d  Alika Nagar Lokhandwala Township</v>
          </cell>
        </row>
        <row r="956">
          <cell r="H956" t="str">
            <v>E-1004  Octracrest Lokhandwala Township</v>
          </cell>
        </row>
        <row r="957">
          <cell r="F957">
            <v>9370035892</v>
          </cell>
          <cell r="G957" t="str">
            <v>Manish81_G@rediffmail.Com</v>
          </cell>
          <cell r="H957" t="str">
            <v>301  Silver Oak Raheja Willows Next To Mahindra Gate No.-4  Akurli Road</v>
          </cell>
        </row>
        <row r="958">
          <cell r="H958" t="str">
            <v>Oberoi Garden  A Wing Flat No-2302 23rd Floor  Thakur Village</v>
          </cell>
        </row>
        <row r="959">
          <cell r="F959">
            <v>9323035882</v>
          </cell>
          <cell r="G959" t="str">
            <v>raj@compositestrap.in</v>
          </cell>
          <cell r="H959" t="str">
            <v>5C-102, Green Meadows Chsl, Lokhandwala Township, Kandivali (W</v>
          </cell>
        </row>
        <row r="960">
          <cell r="H960" t="str">
            <v>Oberoi Garden  A Wing Flat No-2302 23rd Floor  Thakur Village</v>
          </cell>
        </row>
        <row r="961">
          <cell r="F961">
            <v>9820216468</v>
          </cell>
          <cell r="G961" t="str">
            <v>vijaygattani@hotmail.com</v>
          </cell>
          <cell r="H961" t="str">
            <v>202, 3/C Whispering Palms, Akruli Road, Lokhandwala Townahip, Kandivali (E</v>
          </cell>
        </row>
        <row r="962">
          <cell r="F962">
            <v>9967015641</v>
          </cell>
          <cell r="G962" t="str">
            <v>summuji@gmail.com</v>
          </cell>
          <cell r="H962" t="str">
            <v>Pathik (A &amp; B CHSL., A-501 Vrindavan Association, Thakur Complex, Kandivali (E</v>
          </cell>
        </row>
        <row r="963">
          <cell r="F963">
            <v>9837338000</v>
          </cell>
          <cell r="G963" t="str">
            <v>rajnishgodani1412@gmail.com</v>
          </cell>
          <cell r="H963" t="str">
            <v>A - 1102  Oberoi Gardens Thakur Village Kandivali (E</v>
          </cell>
        </row>
        <row r="964">
          <cell r="F964">
            <v>9413245223</v>
          </cell>
          <cell r="G964" t="str">
            <v>kginani56@gmail.com</v>
          </cell>
          <cell r="H964" t="str">
            <v>B -1 / 203  Green Meadows  CHS Lokhandwala Township   Kandivali (E</v>
          </cell>
        </row>
        <row r="965">
          <cell r="F965">
            <v>9167390835</v>
          </cell>
          <cell r="G965" t="str">
            <v>sanjayinani@yahoo.com</v>
          </cell>
          <cell r="H965" t="str">
            <v>1006,  Tower 4, Spring Grove Tower, Lokhandwala Complex  Kandivali (E</v>
          </cell>
        </row>
        <row r="966">
          <cell r="F966" t="str">
            <v>0000000000</v>
          </cell>
          <cell r="G966" t="str">
            <v>anil.Jagetiya77@gmail.com</v>
          </cell>
          <cell r="H966" t="str">
            <v>B-104  Vishnu Shivam Tower Thakur Village, Kandivali (E</v>
          </cell>
        </row>
        <row r="967">
          <cell r="H967" t="str">
            <v>C-404 Gokul Heaven Co-Op Hsg.Soc..Thakur Complex</v>
          </cell>
        </row>
        <row r="968">
          <cell r="F968">
            <v>9321210074</v>
          </cell>
          <cell r="G968" t="str">
            <v>Jajsandeep@hotmail.Com</v>
          </cell>
          <cell r="H968" t="str">
            <v>Umang Building A-702   Vasant Visav  Thakur Village, Kandivali (E</v>
          </cell>
        </row>
        <row r="969">
          <cell r="F969">
            <v>9324400220</v>
          </cell>
          <cell r="G969" t="str">
            <v>sanjaysjaju@gmail.com</v>
          </cell>
          <cell r="H969" t="str">
            <v>21/402 Evarshine Milenium Pradise Thakyur Village</v>
          </cell>
        </row>
        <row r="970">
          <cell r="F970">
            <v>9821207646</v>
          </cell>
          <cell r="H970" t="str">
            <v>VEENA SAJSUR 1208  NEAR VIDEOCON TOWERS THAKUR COMPLEX</v>
          </cell>
        </row>
        <row r="971">
          <cell r="F971">
            <v>9028711211</v>
          </cell>
          <cell r="G971" t="str">
            <v>jaju_abhishek@yahoo.com</v>
          </cell>
          <cell r="H971" t="str">
            <v>603, Tulip A Valley of Flowers, Thakur Village, Kandivali (E,</v>
          </cell>
        </row>
        <row r="972">
          <cell r="F972">
            <v>9320767993</v>
          </cell>
          <cell r="H972" t="str">
            <v>Pine Wood -601/2  Raheja Village Akurli Road</v>
          </cell>
        </row>
        <row r="973">
          <cell r="F973">
            <v>9820189523</v>
          </cell>
          <cell r="G973" t="str">
            <v>banwari_maheshwari@yahoo.com</v>
          </cell>
          <cell r="H973" t="str">
            <v>Lodha White City, 28/3/ B Wing Near Apex Hospital, Lokhandwala Area, Akurli Road, Kandivali (E</v>
          </cell>
        </row>
        <row r="974">
          <cell r="F974">
            <v>8291376471</v>
          </cell>
          <cell r="G974" t="str">
            <v>banwari_maheshwari@yahoo.com</v>
          </cell>
          <cell r="H974" t="str">
            <v>Lodha White City, 28/3/ B Wing Near Apex Hospital, Lokhandwala Area, Akurli Road, Kandivali (E</v>
          </cell>
        </row>
        <row r="975">
          <cell r="F975">
            <v>9594784401</v>
          </cell>
          <cell r="G975" t="str">
            <v>jhanwarajay@gmail.com</v>
          </cell>
          <cell r="H975" t="str">
            <v>701  Green Meadows  Building 1-b Lokhandwala Complex</v>
          </cell>
        </row>
        <row r="976">
          <cell r="F976">
            <v>9325040615</v>
          </cell>
          <cell r="H976" t="str">
            <v>B-103  Krishna Tower Opp.Childrens Academy School  Ashok Nagar</v>
          </cell>
        </row>
        <row r="977">
          <cell r="F977">
            <v>9022848918</v>
          </cell>
          <cell r="G977" t="str">
            <v>harish.jhawar.hj@gmail.com</v>
          </cell>
          <cell r="H977" t="str">
            <v>Flat No.103, Bldg 7A, Spring Leaf CHSL. Lokhandwala Township, Kandivali (E</v>
          </cell>
        </row>
        <row r="978">
          <cell r="H978" t="str">
            <v>A 605  Kankia Park Thakur Complex</v>
          </cell>
        </row>
        <row r="979">
          <cell r="F979">
            <v>9819364345</v>
          </cell>
          <cell r="G979" t="str">
            <v>ankitkbr@rediffmail.com</v>
          </cell>
          <cell r="H979" t="str">
            <v>A-1104  Raheja Serenity Thakur Village, Kandivali (E</v>
          </cell>
        </row>
        <row r="980">
          <cell r="F980">
            <v>9819007027</v>
          </cell>
          <cell r="G980" t="str">
            <v>arpitca25@gmail.com</v>
          </cell>
          <cell r="H980" t="str">
            <v>Gaytri Darshan,  D-802  Nr. Suruchi Hotel, Thakur Complex, Kandivali (E</v>
          </cell>
        </row>
        <row r="981">
          <cell r="F981">
            <v>9324478418</v>
          </cell>
          <cell r="G981" t="str">
            <v>ashok.k@chromatopak.com</v>
          </cell>
          <cell r="H981" t="str">
            <v>D-1101  Octacrest Tower  Lokhandwala Complex</v>
          </cell>
        </row>
        <row r="982">
          <cell r="F982">
            <v>9422581711</v>
          </cell>
          <cell r="G982" t="str">
            <v>sachinkabra96@yahoo.com</v>
          </cell>
          <cell r="H982" t="str">
            <v>A-401, Evershine Crown, Thakur Village, Kandivali (E</v>
          </cell>
        </row>
        <row r="983">
          <cell r="H983" t="str">
            <v>B 302  Gayatri Shivam Thakur Complex  90th Road</v>
          </cell>
        </row>
        <row r="984">
          <cell r="F984">
            <v>9322337842</v>
          </cell>
          <cell r="G984" t="str">
            <v>jdkfca@rediffmail.com</v>
          </cell>
          <cell r="H984" t="str">
            <v>D-802/803  Gayatri Darshan Nr. Suruchi Hotel  Thakur Complex, Kandivali (E</v>
          </cell>
        </row>
        <row r="985">
          <cell r="F985">
            <v>9821129200</v>
          </cell>
          <cell r="H985" t="str">
            <v>B-1604 Gokul Gagan Tower Thakur Village</v>
          </cell>
        </row>
        <row r="986">
          <cell r="F986">
            <v>9323620237</v>
          </cell>
          <cell r="G986" t="str">
            <v>krishnakabra1706@gmail.com</v>
          </cell>
          <cell r="H986" t="str">
            <v>1706  Tower 4,  Challenger Tower, Thakur Village, Kandivali (E</v>
          </cell>
        </row>
        <row r="987">
          <cell r="F987">
            <v>9820659788</v>
          </cell>
          <cell r="G987" t="str">
            <v>lalitkabra56@gmail.com</v>
          </cell>
          <cell r="H987" t="str">
            <v>6D/103, Alica Nagar, Akurli Road Lokhandwala Complex, Kandivali (E</v>
          </cell>
        </row>
        <row r="988">
          <cell r="F988">
            <v>9322066124</v>
          </cell>
          <cell r="H988" t="str">
            <v>D-802/803  Gayatri Darshan  Near Suruchi Hotel  Thakur Complex</v>
          </cell>
        </row>
        <row r="989">
          <cell r="H989" t="str">
            <v>Flat No.3  1st Floor Dharamveer Shanti Nagar  Off Damodar Wadi</v>
          </cell>
        </row>
        <row r="990">
          <cell r="F990">
            <v>9867621977</v>
          </cell>
          <cell r="G990" t="str">
            <v>nkkabra001@gmail.com</v>
          </cell>
          <cell r="H990" t="str">
            <v>1A, 302, NG Suncity Phase III Farid Estate, Thakur Village, Kandivali (E</v>
          </cell>
        </row>
        <row r="991">
          <cell r="H991" t="str">
            <v>1403  B-Wing  Whispering Palms Bldg No.3 Lokhandwala Township  Akurli Road</v>
          </cell>
        </row>
        <row r="992">
          <cell r="F992">
            <v>9987005185</v>
          </cell>
          <cell r="G992" t="str">
            <v>kabrapawan@yahoo.com</v>
          </cell>
          <cell r="H992" t="str">
            <v>C-301  Cosmos  Gundecha Complex Thakur Village</v>
          </cell>
        </row>
        <row r="993">
          <cell r="H993" t="str">
            <v>2 B/G 1  Green Medows Lokhandwala Complex  Akurli Road</v>
          </cell>
        </row>
        <row r="994">
          <cell r="F994">
            <v>8871984007</v>
          </cell>
          <cell r="G994" t="str">
            <v>caprachirathi@gmail.com</v>
          </cell>
          <cell r="H994" t="str">
            <v>A/1104, Raheja Serenity  Thakur Village, Kandivali (E</v>
          </cell>
        </row>
        <row r="995">
          <cell r="F995">
            <v>9324545321</v>
          </cell>
          <cell r="G995" t="str">
            <v>kpr1706@yahoo.co.in</v>
          </cell>
          <cell r="H995" t="str">
            <v>1706 Challenger Tower -4 Thakur Village Kandivali (E.</v>
          </cell>
        </row>
        <row r="996">
          <cell r="F996">
            <v>9892289016</v>
          </cell>
          <cell r="H996" t="str">
            <v>8b  402 Alica Nagar  Lokhandwala Complex, Kandivali (E</v>
          </cell>
        </row>
        <row r="997">
          <cell r="F997">
            <v>9960186471</v>
          </cell>
          <cell r="G997" t="str">
            <v>preetik09@gmail.com</v>
          </cell>
          <cell r="H997" t="str">
            <v>705-06, Orchid Towers, Lokhandwala Township,  off Akurli Road,  Kandivali (E</v>
          </cell>
        </row>
        <row r="998">
          <cell r="F998">
            <v>8097078048</v>
          </cell>
          <cell r="H998" t="str">
            <v>Flat No.504  1 B  N G Suncity Phase-2  Thakur Village</v>
          </cell>
        </row>
        <row r="999">
          <cell r="F999">
            <v>9699859943</v>
          </cell>
          <cell r="H999" t="str">
            <v>Evershine Crown, A-401 Thakur Village, Kandivali (E</v>
          </cell>
        </row>
        <row r="1000">
          <cell r="F1000">
            <v>9820731770</v>
          </cell>
          <cell r="H1000" t="str">
            <v>1504  C Wing Oberoi Gardens Thakur Village,Kandivali (E</v>
          </cell>
        </row>
        <row r="1001">
          <cell r="F1001">
            <v>9820911988</v>
          </cell>
          <cell r="H1001" t="str">
            <v>T1 2602 Acme Oasis, Opp. Mahindra Yellow Gate, Akurli Road, Kandivali (E</v>
          </cell>
        </row>
        <row r="1002">
          <cell r="F1002">
            <v>9930799429</v>
          </cell>
          <cell r="G1002" t="str">
            <v>shyamkabra19533@gmail.com</v>
          </cell>
          <cell r="H1002" t="str">
            <v>Evershine Crown, A-401 Thakur Village, Kandivali (E</v>
          </cell>
        </row>
        <row r="1003">
          <cell r="F1003">
            <v>9967657235</v>
          </cell>
          <cell r="G1003" t="str">
            <v>sanjaymkabra@gmail.com</v>
          </cell>
          <cell r="H1003" t="str">
            <v>1504  C-wing  Oberoi Gardens  Thakur Village, Kandviali (E</v>
          </cell>
        </row>
        <row r="1004">
          <cell r="H1004" t="str">
            <v>Flat No.3  1st Floor Dharamveer Shanti Nagar  Off Damodar Wadi</v>
          </cell>
        </row>
        <row r="1005">
          <cell r="F1005">
            <v>9324543199</v>
          </cell>
          <cell r="G1005" t="str">
            <v>sckabra@hotmail.com</v>
          </cell>
          <cell r="H1005" t="str">
            <v>A Wing,Serenity Raheja Reflection,Thakur Village</v>
          </cell>
        </row>
        <row r="1006">
          <cell r="F1006">
            <v>9819514056</v>
          </cell>
          <cell r="G1006" t="str">
            <v>vaibhav_kabra@yahoo.com</v>
          </cell>
          <cell r="H1006" t="str">
            <v>Bhoomi Arcadec/ 501 &amp; 502 Ashok Chakravarti Road App. Children Academy High School Kandivali (E</v>
          </cell>
        </row>
        <row r="1007">
          <cell r="F1007">
            <v>9833374470</v>
          </cell>
          <cell r="G1007" t="str">
            <v>ankitkab@gmail.com</v>
          </cell>
          <cell r="H1007" t="str">
            <v>D-1002/3, Exclusive , Whispering Palms, Lokhandwala Complex, Kandivali (E</v>
          </cell>
        </row>
        <row r="1008">
          <cell r="F1008">
            <v>9324760100</v>
          </cell>
          <cell r="G1008" t="str">
            <v>yogendra_kabra@yahoo.com</v>
          </cell>
          <cell r="H1008" t="str">
            <v>1202  Gundecha Premiere Next to Sun Flower  Thakur Village</v>
          </cell>
        </row>
        <row r="1009">
          <cell r="F1009">
            <v>9820035543</v>
          </cell>
          <cell r="G1009" t="str">
            <v>komal.a.kalani@gmail.com</v>
          </cell>
          <cell r="H1009" t="str">
            <v>A-802  Mit Niketan CHS. 90 Feet Road Thakur Complex  Opp. Ryan School</v>
          </cell>
        </row>
        <row r="1010">
          <cell r="F1010">
            <v>9323035129</v>
          </cell>
          <cell r="G1010" t="str">
            <v>rrkalani@gmail.com</v>
          </cell>
          <cell r="H1010" t="str">
            <v>1506 Tower-A  Oberoi Park View Near Thakur Cinema Thakur Village Kandivali (E -</v>
          </cell>
        </row>
        <row r="1011">
          <cell r="F1011">
            <v>9322206108</v>
          </cell>
          <cell r="G1011" t="str">
            <v>kalantri.purushottam@gmail.com</v>
          </cell>
          <cell r="H1011" t="str">
            <v>B-3612, White City, CTS No. 174 -C Akurli Road, Lokhandwala, Near Damu Nagar, Kandivali (E</v>
          </cell>
        </row>
        <row r="1012">
          <cell r="F1012">
            <v>9702051155</v>
          </cell>
          <cell r="G1012" t="str">
            <v>satish.kalantri@gmail.com</v>
          </cell>
          <cell r="H1012" t="str">
            <v>White City, B-3712, Akruli Road,  Near Damu Nagar  Lokhandwala Kandivali (E,</v>
          </cell>
        </row>
        <row r="1013">
          <cell r="F1013">
            <v>9930491850</v>
          </cell>
          <cell r="G1013" t="str">
            <v>umeshkalantri@gmail.com</v>
          </cell>
          <cell r="H1013" t="str">
            <v>White City, B-3612, Akruli Road, Near Damu Nagar, Lokhandwala Kandivali (E</v>
          </cell>
        </row>
        <row r="1014">
          <cell r="F1014">
            <v>9819064004</v>
          </cell>
          <cell r="H1014" t="str">
            <v>6A/101-102  Whispering Palms Lokhandwala, Kandivali (E</v>
          </cell>
        </row>
        <row r="1015">
          <cell r="H1015" t="str">
            <v>301  Challenger Iii Thakur Village</v>
          </cell>
        </row>
        <row r="1016">
          <cell r="H1016" t="str">
            <v>301  Challenger Iii Thakur Village</v>
          </cell>
        </row>
        <row r="1017">
          <cell r="H1017" t="str">
            <v>B/202 River Park CHS Ltd  Opp.Sai Dham Dattani Park Kandivali (E -</v>
          </cell>
        </row>
        <row r="1018">
          <cell r="F1018">
            <v>9820078730</v>
          </cell>
          <cell r="H1018" t="str">
            <v>B/607-608  Thakur Blue Heaven CHS. Ltd. Thakur Complex</v>
          </cell>
        </row>
        <row r="1019">
          <cell r="H1019" t="str">
            <v>301  Challenger Iii Thakur Village</v>
          </cell>
        </row>
        <row r="1020">
          <cell r="H1020" t="str">
            <v>301  Challenger Iii Thakur Village</v>
          </cell>
        </row>
        <row r="1021">
          <cell r="F1021">
            <v>9769859980</v>
          </cell>
          <cell r="H1021" t="str">
            <v>B-607/608  Thakur's Blue Heaven Co-op. Hsg. Soc Thakur Complex</v>
          </cell>
        </row>
        <row r="1022">
          <cell r="H1022" t="str">
            <v>A/701  Vasant Smruti  Opp Lawwreace High School 90ft Road  Thakur Complex</v>
          </cell>
        </row>
        <row r="1023">
          <cell r="H1023" t="str">
            <v>1203  Birchwood  Raheja Willows Near Mahindra Gate No.-4  Akurli Road  Lokhandwala</v>
          </cell>
        </row>
        <row r="1024">
          <cell r="F1024">
            <v>7977214168</v>
          </cell>
          <cell r="G1024" t="str">
            <v>kala.j.kasat@gmail.com</v>
          </cell>
          <cell r="H1024" t="str">
            <v>1203  Birchwood  Raheja Willows, Near Mahindra Gate No.-4,  Akurli Road Lokhandwala, Kandivali (E</v>
          </cell>
        </row>
        <row r="1025">
          <cell r="F1025">
            <v>9833729262</v>
          </cell>
          <cell r="H1025" t="str">
            <v>1203  Birchwood  Raheja Willows Near Mahindra Gate No.-4  Akurli Road  Lokhandwala</v>
          </cell>
        </row>
        <row r="1026">
          <cell r="F1026">
            <v>9579122701</v>
          </cell>
          <cell r="G1026" t="str">
            <v>niraj.khemani@gmail.com</v>
          </cell>
          <cell r="H1026" t="str">
            <v>Flat no. 1601, Highland Towers, Lokhandwala, Kandivali (E</v>
          </cell>
        </row>
        <row r="1027">
          <cell r="F1027">
            <v>7666603760</v>
          </cell>
          <cell r="G1027" t="str">
            <v>rakesh@senandray.com</v>
          </cell>
          <cell r="H1027" t="str">
            <v>301 resort view  Thakur complex</v>
          </cell>
        </row>
        <row r="1028">
          <cell r="F1028">
            <v>9821406662</v>
          </cell>
          <cell r="H1028" t="str">
            <v>B/173, Kalpataru Towers, Akurli Road, Opp. ESIS Hospital, Kandivali (E</v>
          </cell>
        </row>
        <row r="1029">
          <cell r="F1029">
            <v>9987297056</v>
          </cell>
          <cell r="G1029" t="str">
            <v>vinodkothari10@rediffmail.com</v>
          </cell>
          <cell r="H1029" t="str">
            <v>B-807  Riviera Tower  Lokhandwala Township</v>
          </cell>
        </row>
        <row r="1030">
          <cell r="H1030" t="str">
            <v>21/703 Sanskruti  Near Sent Lawrence School Thakur Complex</v>
          </cell>
        </row>
        <row r="1031">
          <cell r="F1031">
            <v>9967592693</v>
          </cell>
          <cell r="H1031" t="str">
            <v>B-704  Mukta Mahek Residency Thakur Complex  90ft Road  Nr. Thakur Polytechnic College</v>
          </cell>
        </row>
        <row r="1032">
          <cell r="F1032">
            <v>9821721970</v>
          </cell>
          <cell r="H1032" t="str">
            <v>1005/06  D-Wing Sierra Towers  Lokhandwala Complex, kandivali (E</v>
          </cell>
        </row>
        <row r="1033">
          <cell r="F1033">
            <v>9699634839</v>
          </cell>
          <cell r="G1033" t="str">
            <v>sachinkladdha@gmail.com</v>
          </cell>
          <cell r="H1033" t="str">
            <v>D-803, Cosmos, Thakur Village, Kandivali (E</v>
          </cell>
        </row>
        <row r="1034">
          <cell r="F1034">
            <v>9820425656</v>
          </cell>
          <cell r="G1034" t="str">
            <v>rl@mvkassociates.com</v>
          </cell>
          <cell r="H1034" t="str">
            <v>Vishnu Shivam Tower, A-2003, 20th floor  Thakur Village, Kandivali (E</v>
          </cell>
        </row>
        <row r="1035">
          <cell r="H1035" t="str">
            <v>1/A  203/204  A-Wing  Kalpatru Gardens Ashok Nagar</v>
          </cell>
        </row>
        <row r="1036">
          <cell r="F1036">
            <v>9029394440</v>
          </cell>
          <cell r="G1036" t="str">
            <v>kamalalahoti27358@gmail.com</v>
          </cell>
          <cell r="H1036" t="str">
            <v>Vinay Tower B5  Lokhandwala Complex Vinay Tower, Kandivali (E</v>
          </cell>
        </row>
        <row r="1037">
          <cell r="F1037">
            <v>9892450932</v>
          </cell>
          <cell r="G1037" t="str">
            <v>murlilahoti@amitexindia.com</v>
          </cell>
          <cell r="H1037" t="str">
            <v>1/A  203/204  A-Wing  Kalpatru Gardens Ashok Nagar</v>
          </cell>
        </row>
        <row r="1038">
          <cell r="F1038">
            <v>9324236755</v>
          </cell>
          <cell r="G1038" t="str">
            <v>hnicapitals@gmail.com</v>
          </cell>
          <cell r="H1038" t="str">
            <v>B-906-907  Oberio Park View  Thakur Village</v>
          </cell>
        </row>
        <row r="1039">
          <cell r="F1039">
            <v>9820522401</v>
          </cell>
          <cell r="H1039" t="str">
            <v>1/A  203/204  A-Wing  Kalpatru Gardens Ashok Nagar Kandivali (E</v>
          </cell>
        </row>
        <row r="1040">
          <cell r="F1040">
            <v>9004390067</v>
          </cell>
          <cell r="G1040" t="str">
            <v>casatyen@gmail.com</v>
          </cell>
          <cell r="H1040" t="str">
            <v>Sun City,  , Flat No. 1B-301 Ph. III , N.G. Kandivali (E</v>
          </cell>
        </row>
        <row r="1041">
          <cell r="F1041">
            <v>9967321313</v>
          </cell>
          <cell r="G1041" t="str">
            <v>magicaltouchmumbai@gmail.com</v>
          </cell>
          <cell r="H1041" t="str">
            <v>B5  Vinay Tower Lokhandwala Complex . Vinay Tower</v>
          </cell>
        </row>
        <row r="1042">
          <cell r="F1042">
            <v>9820812296</v>
          </cell>
          <cell r="H1042" t="str">
            <v>9d/401  Whispering Palms-Exclusive Lokhandwala Township</v>
          </cell>
        </row>
        <row r="1043">
          <cell r="H1043" t="str">
            <v>B-703  Krishna Tower Co. Hsg. Soc.  Opp. Wlders Academy School Atmaram Sawant Marg  Ashok Nagar Cross Road No. 1</v>
          </cell>
        </row>
        <row r="1044">
          <cell r="F1044">
            <v>9892612707</v>
          </cell>
          <cell r="G1044" t="str">
            <v>bhaveshlakhotia894@gmail.com</v>
          </cell>
          <cell r="H1044" t="str">
            <v>Krishna Palace, A 101  Asha Nagar, Western Express Highway, Kandivali (E</v>
          </cell>
        </row>
        <row r="1045">
          <cell r="H1045" t="str">
            <v>9d/401  Whispering Palms-Exclusive Lokhandwala Township</v>
          </cell>
        </row>
        <row r="1046">
          <cell r="F1046">
            <v>7208855720</v>
          </cell>
          <cell r="H1046" t="str">
            <v>C-109  Shetrunji Apartment  Sahakargram  Ashok Cross Road no.3</v>
          </cell>
        </row>
        <row r="1047">
          <cell r="F1047">
            <v>9819213850</v>
          </cell>
          <cell r="G1047" t="str">
            <v>suryakant.lakhotia@gmail.com</v>
          </cell>
          <cell r="H1047" t="str">
            <v>Kalpataru Towers, Flat No-94, Tower-B   Near ESIS Hospital, Akurli Road, Kandivali (E</v>
          </cell>
        </row>
        <row r="1048">
          <cell r="F1048">
            <v>9967328169</v>
          </cell>
          <cell r="G1048" t="str">
            <v>rakeshlakhotiya@gmail.com</v>
          </cell>
          <cell r="H1048" t="str">
            <v>C-601  Gokul Residency (A-G CHS Thakur Village  Dattani Park Road</v>
          </cell>
        </row>
        <row r="1049">
          <cell r="F1049">
            <v>9702045640</v>
          </cell>
          <cell r="G1049" t="str">
            <v>Piyushml@gmail.Com</v>
          </cell>
          <cell r="H1049" t="str">
            <v>J-604  Gokurl Heaven Thakur Complex</v>
          </cell>
        </row>
        <row r="1050">
          <cell r="H1050" t="str">
            <v>3a/502  Asha Nagar Opp.Dattani Park</v>
          </cell>
        </row>
        <row r="1051">
          <cell r="F1051">
            <v>9930642134</v>
          </cell>
          <cell r="H1051" t="str">
            <v>254-b  Kalpatru Garden  25th Floor  Ashok Nagar  Near Flyover</v>
          </cell>
        </row>
        <row r="1052">
          <cell r="F1052">
            <v>9322673170</v>
          </cell>
          <cell r="G1052" t="str">
            <v>maheshwari_wire@yahoo.com</v>
          </cell>
          <cell r="H1052" t="str">
            <v>B-102 Oberoi Gardens  Thakur Village .</v>
          </cell>
        </row>
        <row r="1053">
          <cell r="F1053">
            <v>9223411117</v>
          </cell>
          <cell r="G1053" t="str">
            <v>koshal1965@gmail.com</v>
          </cell>
          <cell r="H1053" t="str">
            <v>B-301  Saraswati Vasant Sagar Complex Opp. Thakur Mall  Thakur Village</v>
          </cell>
        </row>
        <row r="1054">
          <cell r="F1054">
            <v>9819223498</v>
          </cell>
          <cell r="H1054" t="str">
            <v>Emp-20/801 Pluto CHSc  Evershine Millenium Thakur Village, Kandivali (E</v>
          </cell>
        </row>
        <row r="1055">
          <cell r="F1055">
            <v>9324460852</v>
          </cell>
          <cell r="G1055" t="str">
            <v>lalitamaheshwari121@gmail.com</v>
          </cell>
          <cell r="H1055" t="str">
            <v>EMP4/401  Building no. 4  4th Floor Evershine Milleninum Paradise  Thakur Viliage</v>
          </cell>
        </row>
        <row r="1056">
          <cell r="H1056" t="str">
            <v>206  Rashmi Avenue B Wing  Thakur Complex</v>
          </cell>
        </row>
        <row r="1057">
          <cell r="H1057" t="str">
            <v>2e/804 Phase Ing Suncity Thakur Village</v>
          </cell>
        </row>
        <row r="1058">
          <cell r="F1058">
            <v>9619187738</v>
          </cell>
          <cell r="G1058" t="str">
            <v>mrajesh.2704@gmail.com</v>
          </cell>
          <cell r="H1058" t="str">
            <v>D-402  Shri Ganesh Aangan CHS Ltd  Thakur Village</v>
          </cell>
        </row>
        <row r="1059">
          <cell r="F1059">
            <v>9833886788</v>
          </cell>
          <cell r="G1059" t="str">
            <v>ruteshzaveri@yahoo.co.in</v>
          </cell>
          <cell r="H1059" t="str">
            <v>Krishna Tower CHSL., A/502 Dr.A.S Marg, Ashok Nagar, Kandivali (E</v>
          </cell>
        </row>
        <row r="1060">
          <cell r="H1060" t="str">
            <v>Flat No.305  Challenge Tower No.4 Thakur Village</v>
          </cell>
        </row>
        <row r="1061">
          <cell r="F1061">
            <v>9920445444</v>
          </cell>
          <cell r="G1061" t="str">
            <v>Shyam1903@yahoo.Com</v>
          </cell>
          <cell r="H1061" t="str">
            <v>A-1903, Oberoi Gardens Thakur Village, Kandivali East,</v>
          </cell>
        </row>
        <row r="1062">
          <cell r="F1062">
            <v>9320013222</v>
          </cell>
          <cell r="G1062" t="str">
            <v>kunj_b@yahoo.com</v>
          </cell>
          <cell r="H1062" t="str">
            <v>Emp-20/801 Pluto CHSc  Evershine Millenium Thakur Village</v>
          </cell>
        </row>
        <row r="1063">
          <cell r="F1063">
            <v>9320308008</v>
          </cell>
          <cell r="G1063" t="str">
            <v>vinitmaheshwari@rediffmail.com</v>
          </cell>
          <cell r="H1063" t="str">
            <v>1111 Taal Wing  Veena Saaz  Near Videocon Tower  Thakur Complex</v>
          </cell>
        </row>
        <row r="1064">
          <cell r="G1064" t="str">
            <v>d_mallad@yahoo.com</v>
          </cell>
          <cell r="H1064" t="str">
            <v>C-706  GAYATRI SATSANG BLDG; VISHNU SHIVAM CHS LTD THKUR VILLAGE BEHIND VISHNU SHIVAM MALL</v>
          </cell>
        </row>
        <row r="1065">
          <cell r="F1065">
            <v>9324998811</v>
          </cell>
          <cell r="G1065" t="str">
            <v>princeymaloo98@gmail.com</v>
          </cell>
          <cell r="H1065" t="str">
            <v>C/704  Octacrest  Lokhandwala Township  Behind Centrium  Akruli Road</v>
          </cell>
        </row>
        <row r="1066">
          <cell r="F1066">
            <v>9867300018</v>
          </cell>
          <cell r="G1066" t="str">
            <v>adityaatnet@gmail.com</v>
          </cell>
          <cell r="H1066" t="str">
            <v>C-83  Kalpatru Tower  8th Floor Akurli Road</v>
          </cell>
        </row>
        <row r="1067">
          <cell r="F1067">
            <v>9869488744</v>
          </cell>
          <cell r="G1067" t="str">
            <v>chandramohan1903@gmail.com</v>
          </cell>
          <cell r="H1067" t="str">
            <v>Oberoi Gardens, A-1903   Thakur Village, Kandivali (E</v>
          </cell>
        </row>
        <row r="1068">
          <cell r="F1068">
            <v>9930723354</v>
          </cell>
          <cell r="G1068" t="str">
            <v>dilpin@yahoo.com</v>
          </cell>
          <cell r="H1068" t="str">
            <v>D-403, Gayatri Avenue, 90 Feet Road Thakur Complex, Kandivali (E</v>
          </cell>
        </row>
        <row r="1069">
          <cell r="H1069" t="str">
            <v>1502 Satyam Tower Gokul Nagar  -1 90d Road</v>
          </cell>
        </row>
        <row r="1070">
          <cell r="F1070">
            <v>9322123231</v>
          </cell>
          <cell r="H1070" t="str">
            <v>404  Jasmin B Poonam Complex 90 Feet Road  Thakur Complex</v>
          </cell>
        </row>
        <row r="1071">
          <cell r="F1071">
            <v>9324163209</v>
          </cell>
          <cell r="G1071" t="str">
            <v>rakeshspgold@gmail.com</v>
          </cell>
          <cell r="H1071" t="str">
            <v>901, Laya, Veena Saaz Society, Near Videocon Tower, Thakur Complex, Kandivali (E</v>
          </cell>
        </row>
        <row r="1072">
          <cell r="F1072">
            <v>9833169698</v>
          </cell>
          <cell r="G1072" t="str">
            <v>mahpankaj@hotmail.com</v>
          </cell>
          <cell r="H1072" t="str">
            <v>ISM House B-703, Plot No. 818/A Thakur Village, Kandivali (E</v>
          </cell>
        </row>
        <row r="1073">
          <cell r="F1073">
            <v>9324777747</v>
          </cell>
          <cell r="G1073" t="str">
            <v>hpmaniyar61@gmail.com</v>
          </cell>
          <cell r="H1073" t="str">
            <v>B- 410 Ganpati Tower, Thakur Village, Kandivali (E</v>
          </cell>
        </row>
        <row r="1074">
          <cell r="F1074">
            <v>9821528600</v>
          </cell>
          <cell r="G1074" t="str">
            <v>naval.maniyar@gmail.com</v>
          </cell>
          <cell r="H1074" t="str">
            <v>A-901, Evershine Crown Thakur Village, Kandivali (E</v>
          </cell>
        </row>
        <row r="1075">
          <cell r="F1075">
            <v>9833098570</v>
          </cell>
          <cell r="G1075" t="str">
            <v>nmaniyar84@gmail.com</v>
          </cell>
          <cell r="H1075" t="str">
            <v>A-1201, Alpine Tower, Opp. Thakur College, Thakur village  Kandivali east</v>
          </cell>
        </row>
        <row r="1076">
          <cell r="F1076">
            <v>8425048184</v>
          </cell>
          <cell r="G1076" t="str">
            <v>akhileshmantri@gmail.com</v>
          </cell>
          <cell r="H1076" t="str">
            <v>A-202, Rashmi Avenue Thakur Complex, Kandivali (E</v>
          </cell>
        </row>
        <row r="1077">
          <cell r="F1077">
            <v>9819461122</v>
          </cell>
          <cell r="G1077" t="str">
            <v>mantryanand@gmail.com</v>
          </cell>
          <cell r="H1077" t="str">
            <v>Riviera Tower  A-Wing  Flat No.1401/1402 Lokhandwala  Akurli Road</v>
          </cell>
        </row>
        <row r="1078">
          <cell r="F1078">
            <v>9920886839</v>
          </cell>
          <cell r="G1078" t="str">
            <v>anitabiyani29@gmail.com</v>
          </cell>
          <cell r="H1078" t="str">
            <v>White City, A/1605-1606,  White City, Akurli Road, Kandivali East</v>
          </cell>
        </row>
        <row r="1079">
          <cell r="H1079" t="str">
            <v>603  /4 Ami Appts. Behind Sai Dham Thakur Complex Kandiwali (E</v>
          </cell>
        </row>
        <row r="1080">
          <cell r="F1080">
            <v>9820027895</v>
          </cell>
          <cell r="H1080" t="str">
            <v>3A/503. Wishpring Palms  Lokhandwala Township Akurli Road</v>
          </cell>
        </row>
        <row r="1081">
          <cell r="H1081" t="str">
            <v>A Wing  1101 Videocon Tower Thakur Complex</v>
          </cell>
        </row>
        <row r="1082">
          <cell r="F1082">
            <v>9820027895</v>
          </cell>
          <cell r="G1082" t="str">
            <v>kuldeepmantry@hotmail.com</v>
          </cell>
          <cell r="H1082" t="str">
            <v>3A/503. Wishpring Palms  Lokhandwala Township Akurli Road</v>
          </cell>
        </row>
        <row r="1083">
          <cell r="F1083">
            <v>9833135254</v>
          </cell>
          <cell r="H1083" t="str">
            <v>D-191  Kalpatru Towers  Akruli Road</v>
          </cell>
        </row>
        <row r="1084">
          <cell r="F1084">
            <v>9594120790</v>
          </cell>
          <cell r="H1084" t="str">
            <v>D-202  Gokul Nagari  2nd (cde  Nr. Dattani Park Above Sai Communication</v>
          </cell>
        </row>
        <row r="1085">
          <cell r="F1085">
            <v>9967332737</v>
          </cell>
          <cell r="H1085" t="str">
            <v>Mineral House  A-303 Thakur Village</v>
          </cell>
        </row>
        <row r="1086">
          <cell r="F1086">
            <v>9892046790</v>
          </cell>
          <cell r="H1086" t="str">
            <v>White City, A/1605-1606,  White City, Akurli Road, Kandivali East</v>
          </cell>
        </row>
        <row r="1087">
          <cell r="H1087" t="str">
            <v>Flat No. 202  D-wing  Gokul Nagri Ii Cooperative Housing Soc. Ltd Thakur Village</v>
          </cell>
        </row>
        <row r="1088">
          <cell r="F1088">
            <v>9829088465</v>
          </cell>
          <cell r="G1088" t="str">
            <v>snlmaheshwari@yahoo.com</v>
          </cell>
          <cell r="H1088" t="str">
            <v>Neptune Chs. Ltd. EMP29,Thakur Village</v>
          </cell>
        </row>
        <row r="1089">
          <cell r="H1089" t="str">
            <v>5b  Tower-C Viceroy Park  Thakur Village</v>
          </cell>
        </row>
        <row r="1090">
          <cell r="F1090">
            <v>9699673526</v>
          </cell>
          <cell r="H1090" t="str">
            <v>I-404  Gokul Galaxy  90ft Road Thakur Complex</v>
          </cell>
        </row>
        <row r="1091">
          <cell r="F1091">
            <v>7021861203</v>
          </cell>
          <cell r="G1091" t="str">
            <v>rdmaru11@gmail.com</v>
          </cell>
          <cell r="H1091" t="str">
            <v>Sanskruti, 21/302 90 Feet Road, Thakur Complex, Kandivali (E</v>
          </cell>
        </row>
        <row r="1092">
          <cell r="F1092">
            <v>9892590626</v>
          </cell>
          <cell r="G1092" t="str">
            <v>amitmohta@hotmail.com</v>
          </cell>
          <cell r="H1092" t="str">
            <v>E-804  Octacrest Lokhandwala Township, Kandivali East</v>
          </cell>
        </row>
        <row r="1093">
          <cell r="F1093">
            <v>9324604104</v>
          </cell>
          <cell r="G1093" t="str">
            <v>anilmohta30@rediffmail.com</v>
          </cell>
          <cell r="H1093" t="str">
            <v>Emp-61  Flat No-103 Thakur Village   - .</v>
          </cell>
        </row>
        <row r="1094">
          <cell r="F1094">
            <v>9324171286</v>
          </cell>
          <cell r="H1094" t="str">
            <v>Emp-61  Flat No-103 Thakur Village   - .</v>
          </cell>
        </row>
        <row r="1095">
          <cell r="F1095">
            <v>9323854452</v>
          </cell>
          <cell r="H1095" t="str">
            <v>602  A-Wing  Rivar Park Western Express Highway  Thakur Village</v>
          </cell>
        </row>
        <row r="1096">
          <cell r="H1096" t="str">
            <v>K-503  Gokul Vihar Thakur Complex  W.E Highway</v>
          </cell>
        </row>
        <row r="1097">
          <cell r="F1097">
            <v>9820019992</v>
          </cell>
          <cell r="G1097" t="str">
            <v>purshottam.mohta@gmail.com</v>
          </cell>
          <cell r="H1097" t="str">
            <v>C-702  WHISPERING PLAMS EXXCLUSIVE  BLDG NO. B9  OFF AKURLI RD  LOKHANDWALA</v>
          </cell>
        </row>
        <row r="1098">
          <cell r="H1098" t="str">
            <v>501  K Wing Gokul Vihar -2  Thakur Complex</v>
          </cell>
        </row>
        <row r="1099">
          <cell r="F1099">
            <v>9820970907</v>
          </cell>
          <cell r="H1099" t="str">
            <v>Flat No.1802  Bldg.3c  Whispering Palms Lokhandwala Township  Akurli Road, Kandivali (E</v>
          </cell>
        </row>
        <row r="1100">
          <cell r="F1100">
            <v>9833650952</v>
          </cell>
          <cell r="G1100" t="str">
            <v>bmuchhal@hotmail.Com</v>
          </cell>
          <cell r="H1100" t="str">
            <v>New Saraswati CHS  Ltd Sagar  4c  Flat No 403  Ashanagar</v>
          </cell>
        </row>
        <row r="1101">
          <cell r="F1101">
            <v>9867382329</v>
          </cell>
          <cell r="G1101" t="str">
            <v>ramakantmu999@gmail.com</v>
          </cell>
          <cell r="H1101" t="str">
            <v>River Park, C/304    Near Dattani Park, Thakur Village, Kandivali (E</v>
          </cell>
        </row>
        <row r="1102">
          <cell r="F1102">
            <v>9699876904</v>
          </cell>
          <cell r="H1102" t="str">
            <v>Sarswati  B-203/303, 2nd Floor, Thakur Village  Vasant Sagar Complex Kandivali (E</v>
          </cell>
        </row>
        <row r="1103">
          <cell r="H1103" t="str">
            <v>C -401  Oberoi Garden Thakur Village, Kandivali (E</v>
          </cell>
        </row>
        <row r="1104">
          <cell r="F1104">
            <v>9322080898</v>
          </cell>
          <cell r="G1104" t="str">
            <v>akgupta1155@yahoo.in</v>
          </cell>
          <cell r="H1104" t="str">
            <v>Sanskruti, 30/703  Thakur Complex, Kandivali (E</v>
          </cell>
        </row>
        <row r="1105">
          <cell r="H1105" t="str">
            <v>Db-5b  403 Shradha Bldg Ashanagar Kandivali (E -</v>
          </cell>
        </row>
        <row r="1106">
          <cell r="F1106">
            <v>8652897767</v>
          </cell>
          <cell r="H1106" t="str">
            <v>FLAT NO 702 kaveri C wing  Vasant sagar complex THAKUR VILLAGE kandivali east</v>
          </cell>
        </row>
        <row r="1107">
          <cell r="F1107">
            <v>9322231062</v>
          </cell>
          <cell r="H1107" t="str">
            <v>303/B Saraswati Bldg. Vasant Sagar  Thakur Village</v>
          </cell>
        </row>
        <row r="1108">
          <cell r="F1108">
            <v>9619680714</v>
          </cell>
          <cell r="G1108" t="str">
            <v>sudhir@mundhra.com</v>
          </cell>
          <cell r="H1108" t="str">
            <v>C-703 704 Vasant Sarita Gokul Nagar-1</v>
          </cell>
        </row>
        <row r="1109">
          <cell r="F1109">
            <v>9819408854</v>
          </cell>
          <cell r="G1109" t="str">
            <v>mundra.kalpita@gmail.com</v>
          </cell>
          <cell r="H1109" t="str">
            <v>B-102  Arihant Darshan  Jain Derasar Lane Asha Nagar  Thakur Complex</v>
          </cell>
        </row>
        <row r="1110">
          <cell r="H1110" t="str">
            <v>701  /02  Emp Phase 1 Thakur Village Kandiwali (E.</v>
          </cell>
        </row>
        <row r="1111">
          <cell r="F1111">
            <v>9867174174</v>
          </cell>
          <cell r="G1111" t="str">
            <v>alokmundra@gmail.com</v>
          </cell>
          <cell r="H1111" t="str">
            <v>C/501, Whispering Palm Bldg. -1 CHS Ltd. Akurli Lokhandwala Township</v>
          </cell>
        </row>
        <row r="1112">
          <cell r="F1112">
            <v>9867712820</v>
          </cell>
          <cell r="G1112" t="str">
            <v>radhika.balajitravels@gmail.com</v>
          </cell>
          <cell r="H1112" t="str">
            <v>2B-302  Phase II   N.G. Suncity Thakur Village   Kandivali  (E</v>
          </cell>
        </row>
        <row r="1113">
          <cell r="F1113">
            <v>9702088221</v>
          </cell>
          <cell r="G1113" t="str">
            <v>harishm1975@gmail.com</v>
          </cell>
          <cell r="H1113" t="str">
            <v>606  Pine Wood  Raheja Willows Chs. Ltd. Nr. Mahindra and Mahindra Gate 4  Akruli Road, Lokhandwala Township, Kandivali (E</v>
          </cell>
        </row>
        <row r="1114">
          <cell r="F1114">
            <v>9820216355</v>
          </cell>
          <cell r="G1114" t="str">
            <v>MUNDRAFUTURE@GMAIL.COM</v>
          </cell>
          <cell r="H1114" t="str">
            <v>A 504, oberoi garden thakur village</v>
          </cell>
        </row>
        <row r="1115">
          <cell r="F1115">
            <v>9967841114</v>
          </cell>
          <cell r="G1115" t="str">
            <v>ramesh.mundra1@gmail.com</v>
          </cell>
          <cell r="H1115" t="str">
            <v>Flat No. 1806, Epsilon Towers, Nr. Thakur College, Samta Nagar, Thakur Village, Kandivali (E</v>
          </cell>
        </row>
        <row r="1116">
          <cell r="F1116">
            <v>9223304605</v>
          </cell>
          <cell r="G1116" t="str">
            <v>vijaymundra@hotmail.com</v>
          </cell>
          <cell r="H1116" t="str">
            <v>F-1304  Orchid Towers  13th Foor Gundecha Valley Of Flowers  Thakur Village</v>
          </cell>
        </row>
        <row r="1117">
          <cell r="F1117">
            <v>9029066833</v>
          </cell>
          <cell r="G1117" t="str">
            <v>arunrnawal@gmail.com</v>
          </cell>
          <cell r="H1117" t="str">
            <v>306, Spring leaf tower 5, near HDFC Bank Lokhandwala Complex, Kandivali (E</v>
          </cell>
        </row>
        <row r="1118">
          <cell r="F1118">
            <v>9223388791</v>
          </cell>
          <cell r="H1118" t="str">
            <v>D-002  Balaji Enclave Plot No.13 Akurli Anamika Chs Neaer Lokhandwala Complex Kandivali (E -</v>
          </cell>
        </row>
        <row r="1119">
          <cell r="H1119" t="str">
            <v>A-103  Green Vatika Dattani Park</v>
          </cell>
        </row>
        <row r="1120">
          <cell r="H1120" t="str">
            <v>B-510  Ganpat Tower Thakur Village</v>
          </cell>
        </row>
        <row r="1121">
          <cell r="H1121" t="str">
            <v>Tower No-2,Challengers Chs.Ltd. Thakur Village .</v>
          </cell>
        </row>
        <row r="1122">
          <cell r="F1122">
            <v>7498076883</v>
          </cell>
          <cell r="G1122" t="str">
            <v>knyati123@gmail.com</v>
          </cell>
          <cell r="H1122" t="str">
            <v>Raheja Willow  Flat no.1205  BIRCH WOOD Lokhandwala Complex</v>
          </cell>
        </row>
        <row r="1123">
          <cell r="F1123">
            <v>9769992623</v>
          </cell>
          <cell r="G1123" t="str">
            <v>manish.nyati@hdfcbank.com</v>
          </cell>
          <cell r="H1123" t="str">
            <v>Viceroy Park Tower A Flat no 3C  Opp Bhagat Singh Maidan  Thakur Village Kandivali (E</v>
          </cell>
        </row>
        <row r="1124">
          <cell r="F1124">
            <v>9867200070</v>
          </cell>
          <cell r="G1124" t="str">
            <v>apachisia@gmail.com</v>
          </cell>
          <cell r="H1124" t="str">
            <v>Viceroy Park  Tower B/13A Thakur Village, Kandivali (E</v>
          </cell>
        </row>
        <row r="1125">
          <cell r="F1125">
            <v>9867297925</v>
          </cell>
          <cell r="G1125" t="str">
            <v>pachisiaa@gmail.com</v>
          </cell>
          <cell r="H1125" t="str">
            <v>Viceroy Park  Tower B/13B Thakur Village, Kandivali (E</v>
          </cell>
        </row>
        <row r="1126">
          <cell r="F1126">
            <v>9967931264</v>
          </cell>
          <cell r="G1126" t="str">
            <v>falodsb@hotmail.com</v>
          </cell>
          <cell r="H1126" t="str">
            <v>A-Wing  2303 Oberoi Garden  Thakur Village</v>
          </cell>
        </row>
        <row r="1127">
          <cell r="F1127">
            <v>9967979838</v>
          </cell>
          <cell r="G1127" t="str">
            <v>parwalaruna@gmail.com</v>
          </cell>
          <cell r="H1127" t="str">
            <v>2004, 3/C Whispering Palms, Akruli Road, Lokhandwala Townahip, Kandivali (E</v>
          </cell>
        </row>
        <row r="1128">
          <cell r="F1128">
            <v>7045652750</v>
          </cell>
          <cell r="G1128" t="str">
            <v>manishpatwari@gmail.com</v>
          </cell>
          <cell r="H1128" t="str">
            <v>2903- Tower 2, Acme Oasis Lokhandwala Township, Kandivali (E</v>
          </cell>
        </row>
        <row r="1129">
          <cell r="F1129">
            <v>9702023242</v>
          </cell>
          <cell r="G1129" t="str">
            <v>Anilphalod46976@gmail.com</v>
          </cell>
          <cell r="H1129" t="str">
            <v>3-B 1702 Whispering Palms Lokhandwala Township Kanvivali (E -</v>
          </cell>
        </row>
        <row r="1130">
          <cell r="F1130">
            <v>9819189055</v>
          </cell>
          <cell r="G1130" t="str">
            <v>shantadeviphalod@gmail.com</v>
          </cell>
          <cell r="H1130" t="str">
            <v>3-C / 1102   Whispering Palms Lokhandwala Township  Akurli Road</v>
          </cell>
        </row>
        <row r="1131">
          <cell r="F1131">
            <v>9987065879</v>
          </cell>
          <cell r="G1131" t="str">
            <v>shriyaphalod@gmail.com</v>
          </cell>
          <cell r="H1131" t="str">
            <v>3-b  1702  Whispering Palms Lokhandwala Complex</v>
          </cell>
        </row>
        <row r="1132">
          <cell r="F1132">
            <v>9765000884</v>
          </cell>
          <cell r="G1132" t="str">
            <v>shashi.phophalia@gmail.com</v>
          </cell>
          <cell r="H1132" t="str">
            <v>404, 3/C Whispering Palms, Akruli Road, Lokhandwala Townahip, Kandivali (E</v>
          </cell>
        </row>
        <row r="1133">
          <cell r="F1133">
            <v>9594014078</v>
          </cell>
          <cell r="G1133" t="str">
            <v>phophalia@hotmail.com</v>
          </cell>
          <cell r="H1133" t="str">
            <v>1501-A  Hill View Park Nr. Oxford School Thakur Village</v>
          </cell>
        </row>
        <row r="1134">
          <cell r="F1134">
            <v>9820849697</v>
          </cell>
          <cell r="G1134" t="str">
            <v>maheshwarigg@gmail.com</v>
          </cell>
          <cell r="H1134" t="str">
            <v>B/2104  Oberoi Gardens Thakur Village</v>
          </cell>
        </row>
        <row r="1135">
          <cell r="F1135">
            <v>9920772647</v>
          </cell>
          <cell r="G1135" t="str">
            <v>Aarti@aarvia.in</v>
          </cell>
          <cell r="H1135" t="str">
            <v>3c-603/604  Siddhi Vinayak Society Asha Nagar  Thakur Complex</v>
          </cell>
        </row>
        <row r="1136">
          <cell r="F1136">
            <v>9820804282</v>
          </cell>
          <cell r="G1136" t="str">
            <v>shweta.maheshwari24@gmail.com</v>
          </cell>
          <cell r="H1136" t="str">
            <v>Flat No. 2402, Tower-2 Acme Oasis, Oasis Chs. Nr. Mahindra Yellow Gate, Akurli Road, Lokhandwala, Kandivali (E,</v>
          </cell>
        </row>
        <row r="1137">
          <cell r="F1137">
            <v>9529611813</v>
          </cell>
          <cell r="G1137" t="str">
            <v>coolabu19@gmail.com</v>
          </cell>
          <cell r="H1137" t="str">
            <v>Whitecity, A wing, 3605 Akurli Road Kandivali Lokhandwala east</v>
          </cell>
        </row>
        <row r="1138">
          <cell r="F1138">
            <v>9664033466</v>
          </cell>
          <cell r="G1138" t="str">
            <v>ajay9rathi@gmail.com</v>
          </cell>
          <cell r="H1138" t="str">
            <v>6b/103 spring Leaf  Lokhandwala Township  Akruli Road, Kandivali East</v>
          </cell>
        </row>
        <row r="1139">
          <cell r="F1139">
            <v>9000438763</v>
          </cell>
          <cell r="G1139" t="str">
            <v>archana.bhootra@gmail.com</v>
          </cell>
          <cell r="H1139" t="str">
            <v>1 -A  44  Kalpatru Gardens Ashok Nagar  Kandivali (E</v>
          </cell>
        </row>
        <row r="1140">
          <cell r="H1140" t="str">
            <v>6b/103 Spring Leaf Lokhandwala Complex</v>
          </cell>
        </row>
        <row r="1141">
          <cell r="F1141">
            <v>9820419060</v>
          </cell>
          <cell r="H1141" t="str">
            <v>B-907/908  Highland Towers Lokhandwala Akurli Road</v>
          </cell>
        </row>
        <row r="1142">
          <cell r="F1142">
            <v>9022989405</v>
          </cell>
          <cell r="G1142" t="str">
            <v>harshitrathi14@gmail.com</v>
          </cell>
          <cell r="H1142" t="str">
            <v>ROW House  C  Mangalm Apartments  Thakur Complex  Near Cambridge School  Thakur Complex  Kandivli (E</v>
          </cell>
        </row>
        <row r="1143">
          <cell r="H1143" t="str">
            <v>2/A 303-304 Green Meadows. Lokhandwala Complex  Mum-.</v>
          </cell>
        </row>
        <row r="1144">
          <cell r="F1144">
            <v>7506747155</v>
          </cell>
          <cell r="G1144" t="str">
            <v>rathijp56@gmail.com</v>
          </cell>
          <cell r="H1144" t="str">
            <v>Bangla No 3-C Manglam Co-Op Hsg Soc. Thakur Complex Kandiwali Mum-.</v>
          </cell>
        </row>
        <row r="1145">
          <cell r="F1145">
            <v>9321882437</v>
          </cell>
          <cell r="H1145" t="str">
            <v>B-401  Gokul Horizon Behind Dattani Park  Thakur Village</v>
          </cell>
        </row>
        <row r="1146">
          <cell r="F1146">
            <v>982056689</v>
          </cell>
          <cell r="G1146" t="str">
            <v>nehamundra15@gmail.com</v>
          </cell>
          <cell r="H1146" t="str">
            <v>ROW House  C  Mangalm Apartments  Thakur Complex  Near Cambridge School  Thakur Complex  Kandivli (E</v>
          </cell>
        </row>
        <row r="1147">
          <cell r="F1147">
            <v>9820551229</v>
          </cell>
          <cell r="G1147" t="str">
            <v>rathipankaj@hotmail.com</v>
          </cell>
          <cell r="H1147" t="str">
            <v>B-601, Burlington Court, Raheja Reflection, Thakur Village, Kandivali (E</v>
          </cell>
        </row>
        <row r="1148">
          <cell r="F1148">
            <v>9967587634</v>
          </cell>
          <cell r="G1148" t="str">
            <v>pgrathi@gmail.com</v>
          </cell>
          <cell r="H1148" t="str">
            <v>Flat no. A1-44  Kalpataru Garden Off Ashok Chakravarty Road  Nr. East West Flyover</v>
          </cell>
        </row>
        <row r="1149">
          <cell r="F1149">
            <v>9892199169</v>
          </cell>
          <cell r="G1149" t="str">
            <v>pragatichem6@gmail.com</v>
          </cell>
          <cell r="H1149" t="str">
            <v>1506  Challenger Tower No-1 Thakur Village, Kandivali (East</v>
          </cell>
        </row>
        <row r="1150">
          <cell r="G1150" t="str">
            <v>rathijp@rediffmail.com</v>
          </cell>
          <cell r="H1150" t="str">
            <v>Bungala No 3- C  Mangalam Co-Op Hsg.Soc Thakur Complex</v>
          </cell>
        </row>
        <row r="1151">
          <cell r="F1151">
            <v>9324587634</v>
          </cell>
          <cell r="H1151" t="str">
            <v>1A  - 44  Kalpatru Garden, Ashok Nagar, Near East West Flyover, Kandivali (E</v>
          </cell>
        </row>
        <row r="1152">
          <cell r="F1152">
            <v>9821915177</v>
          </cell>
          <cell r="G1152" t="str">
            <v>Rjrathi@yahoo.Com</v>
          </cell>
          <cell r="H1152" t="str">
            <v>1-B  144 KALPATARU GARDENS  OPP ASHOK NGR  NEAR FLY OVER</v>
          </cell>
        </row>
        <row r="1153">
          <cell r="H1153" t="str">
            <v>D-61 Zarokha (Kalpatru Vatika  Akurli Road Near Uco Bank, Kandivali (E</v>
          </cell>
        </row>
        <row r="1154">
          <cell r="H1154" t="str">
            <v>D-61 Zarokha (Kalpatru Vatika  Akurli Road Near Uco Bank, Kandivali (E</v>
          </cell>
        </row>
        <row r="1155">
          <cell r="H1155" t="str">
            <v>B1004  Oberoi Gardens. Near Samata Nagar Western Express Highway</v>
          </cell>
        </row>
        <row r="1156">
          <cell r="F1156">
            <v>9223435716</v>
          </cell>
          <cell r="G1156" t="str">
            <v>shivrajrathi@yahoo.co.in</v>
          </cell>
          <cell r="H1156" t="str">
            <v>12-d-503  Spring Leaf Lokhandwala Township</v>
          </cell>
        </row>
        <row r="1157">
          <cell r="F1157">
            <v>9321798999</v>
          </cell>
          <cell r="G1157" t="str">
            <v>umarathi704@gmail.com</v>
          </cell>
          <cell r="H1157" t="str">
            <v>A-704  Gaytri Satsang Behind Gokul Gagan Tower  Thakur Village</v>
          </cell>
        </row>
        <row r="1158">
          <cell r="F1158">
            <v>9967405105</v>
          </cell>
          <cell r="G1158" t="str">
            <v>vandana.maheshwari56@gmail.com</v>
          </cell>
          <cell r="H1158" t="str">
            <v>Flat No.1506  Challenger Tower No-1 Thakur Village, Kandivali (East</v>
          </cell>
        </row>
        <row r="1159">
          <cell r="F1159">
            <v>9833078523</v>
          </cell>
          <cell r="G1159" t="str">
            <v>Visra1805@rediffmail.Com</v>
          </cell>
          <cell r="H1159" t="str">
            <v>B-33 Priti Vihar CHS  L.T.D Thakur Complex</v>
          </cell>
        </row>
        <row r="1160">
          <cell r="F1160">
            <v>9324607730</v>
          </cell>
          <cell r="G1160" t="str">
            <v>saboodeepak01@gmail.com</v>
          </cell>
          <cell r="H1160" t="str">
            <v>201  Gaurav Shikhar Aakash Bldg. A Wing. Thakur Village, Kandivali (E</v>
          </cell>
        </row>
        <row r="1161">
          <cell r="F1161">
            <v>9820335021</v>
          </cell>
          <cell r="H1161" t="str">
            <v>1103/A  Oberoi Gardens Thakur Village, Kandivali (E</v>
          </cell>
        </row>
        <row r="1162">
          <cell r="H1162" t="str">
            <v>Mangalam Apartment Thakur Complex , Kandivali (E</v>
          </cell>
        </row>
        <row r="1163">
          <cell r="F1163">
            <v>9820513340</v>
          </cell>
          <cell r="G1163" t="str">
            <v>prakashsaboo@yahoo.com</v>
          </cell>
          <cell r="H1163" t="str">
            <v>FLAT NO. 601  COSMOS CHS LTD NEAR EVERSHINEDREAM PARK GUNDECHA VALLEY OF FLOWERS  THAKUUR VILLAGE</v>
          </cell>
        </row>
        <row r="1164">
          <cell r="H1164" t="str">
            <v>1119/C Oberoi Garden  Thakur Village .</v>
          </cell>
        </row>
        <row r="1165">
          <cell r="F1165">
            <v>9324060127</v>
          </cell>
          <cell r="G1165" t="str">
            <v>sanjana_saboo@yahoo.com</v>
          </cell>
          <cell r="H1165" t="str">
            <v>407  Orchid Tower  Lokhandwala Township  Akurli Road</v>
          </cell>
        </row>
        <row r="1166">
          <cell r="F1166">
            <v>9992033502</v>
          </cell>
          <cell r="G1166" t="str">
            <v>gsaboo@hotmail.com</v>
          </cell>
          <cell r="H1166" t="str">
            <v>1103/A  Oberoi Gardens Thakur Village, Kandivali (E</v>
          </cell>
        </row>
        <row r="1167">
          <cell r="F1167">
            <v>9820064425</v>
          </cell>
          <cell r="G1167" t="str">
            <v>aksamariya@gmail.com</v>
          </cell>
          <cell r="H1167" t="str">
            <v>Whispering Palms, 1/B, 803 Lokhandwala Township, Kandivali (E</v>
          </cell>
        </row>
        <row r="1168">
          <cell r="F1168">
            <v>9820431506</v>
          </cell>
          <cell r="G1168" t="str">
            <v>sanjeevsamariya@gmail.com</v>
          </cell>
          <cell r="H1168" t="str">
            <v>1 c 2102  Whispering Palms CHS Ltd  Lokhandwala Township</v>
          </cell>
        </row>
        <row r="1169">
          <cell r="F1169">
            <v>9821049895</v>
          </cell>
          <cell r="H1169" t="str">
            <v>Lokhandwala Township, Akurli X Road</v>
          </cell>
        </row>
        <row r="1170">
          <cell r="F1170">
            <v>9820313050</v>
          </cell>
          <cell r="H1170" t="str">
            <v>A-103/106  Shivalya Tower 90 Feet Road  Thakur Complex, Kandivali (E</v>
          </cell>
        </row>
        <row r="1171">
          <cell r="F1171">
            <v>9819110951</v>
          </cell>
          <cell r="G1171" t="str">
            <v>manish@deserve.co.in</v>
          </cell>
          <cell r="H1171" t="str">
            <v>103  Shivalya Appartment 90 Feet Road  Thakurcomplex</v>
          </cell>
        </row>
        <row r="1172">
          <cell r="F1172">
            <v>9869397519</v>
          </cell>
          <cell r="G1172" t="str">
            <v>nareshchandsharda@gmail.com</v>
          </cell>
          <cell r="H1172" t="str">
            <v>8-B  703  Alika Nagar Lokhandwala Tounship  Aakurli Road</v>
          </cell>
        </row>
        <row r="1173">
          <cell r="F1173">
            <v>9819045884</v>
          </cell>
          <cell r="G1173" t="str">
            <v>Navinsarda@hotmail.Com</v>
          </cell>
          <cell r="H1173" t="str">
            <v>A-303  Cosmos Valley Of Flowers Thakur Village</v>
          </cell>
        </row>
        <row r="1174">
          <cell r="F1174">
            <v>8779689904</v>
          </cell>
          <cell r="G1174" t="str">
            <v>sikchi.preet0801@gmail.com</v>
          </cell>
          <cell r="H1174" t="str">
            <v>Krishna Gokul Garden CHSL., C-605/606,  Thakur Complex, Kandivali (E</v>
          </cell>
        </row>
        <row r="1175">
          <cell r="F1175">
            <v>9920816543</v>
          </cell>
          <cell r="G1175" t="str">
            <v>prem.sikchi@gmail.com</v>
          </cell>
          <cell r="H1175" t="str">
            <v>Krishna Gokul Garden CHSL., C-605/606,  Thakur Complex, Kandivali (E</v>
          </cell>
        </row>
        <row r="1176">
          <cell r="F1176">
            <v>8097549747</v>
          </cell>
          <cell r="G1176" t="str">
            <v>aboutvina@yhaoo.co.in</v>
          </cell>
          <cell r="H1176" t="str">
            <v>Krishna Gokul Garden CHSL., C-605/606,  Thakur Complex, Kandivali (E</v>
          </cell>
        </row>
        <row r="1177">
          <cell r="H1177" t="str">
            <v>2-C/103 Green Medows  Lokhandwalaa Complex Akurli Road Kandiwali (E.</v>
          </cell>
        </row>
        <row r="1178">
          <cell r="F1178">
            <v>9029051390</v>
          </cell>
          <cell r="G1178" t="str">
            <v>ashishksodani@gmail.com</v>
          </cell>
          <cell r="H1178" t="str">
            <v>Barkha Bahar CHS, A/32 Near Videocon Tower, Thakur Complex, Kandivali (E</v>
          </cell>
        </row>
        <row r="1179">
          <cell r="F1179">
            <v>9920425307</v>
          </cell>
          <cell r="G1179" t="str">
            <v>dinesh9122@yahoo.com</v>
          </cell>
          <cell r="H1179" t="str">
            <v>C- 205, Gayetri Satsang, Near Vishnu Shivam Mall Thakur Village , Kandivali (E</v>
          </cell>
        </row>
        <row r="1180">
          <cell r="F1180">
            <v>9769215307</v>
          </cell>
          <cell r="G1180" t="str">
            <v>neelam9122@yahoo.com</v>
          </cell>
          <cell r="H1180" t="str">
            <v>C- 205  Gayetri Satsang, Near Vishnu Shivam Mall Thakur Village , Kandivali (E</v>
          </cell>
        </row>
        <row r="1181">
          <cell r="F1181">
            <v>9414069059</v>
          </cell>
          <cell r="G1181" t="str">
            <v>bs_sodhani@hotmail.com</v>
          </cell>
          <cell r="H1181" t="str">
            <v>30-203  E.M.P. Ph - 2  Thakur Village  Kandivali ( E</v>
          </cell>
        </row>
        <row r="1182">
          <cell r="F1182">
            <v>9320269488</v>
          </cell>
          <cell r="H1182" t="str">
            <v>Flat No. 805, Tower No. 3, Kanakia Challengers Chs. Ltd, Thakur Village, Kandivali (E</v>
          </cell>
        </row>
        <row r="1183">
          <cell r="F1183">
            <v>9892329991</v>
          </cell>
          <cell r="G1183" t="str">
            <v>sodhani_vishnu@yahoo.co.in</v>
          </cell>
          <cell r="H1183" t="str">
            <v>Flat No. 805, Tower No. 3, Kanakia Challengers Chs. Ltd, Thakur Village, Kandivali (E</v>
          </cell>
        </row>
        <row r="1184">
          <cell r="F1184">
            <v>9029105124</v>
          </cell>
          <cell r="G1184" t="str">
            <v>somaniakanksha14@gmail.com</v>
          </cell>
          <cell r="H1184" t="str">
            <v>G 1304, Octacrest CHS. Lokhandwala Township, Akurli Road, Kandivali (E</v>
          </cell>
        </row>
        <row r="1185">
          <cell r="F1185">
            <v>8080477051</v>
          </cell>
          <cell r="G1185" t="str">
            <v>gopal_somani7@yahoo.com</v>
          </cell>
          <cell r="H1185" t="str">
            <v>D-402  GOKUL HORIZEN CHS  JIVLA PADA HAKUR VILLAGE</v>
          </cell>
        </row>
        <row r="1186">
          <cell r="F1186">
            <v>9769093157</v>
          </cell>
          <cell r="H1186" t="str">
            <v>D-202/203 Gokul Accord Thakur Compex, Kandivali (E</v>
          </cell>
        </row>
        <row r="1187">
          <cell r="F1187">
            <v>8692930700</v>
          </cell>
          <cell r="G1187" t="str">
            <v>somanisunil1982@gmail.com</v>
          </cell>
          <cell r="H1187" t="str">
            <v>2d /207  Ng Suncity Phase II Farid Estate Thakur Village, Kandivali (E</v>
          </cell>
        </row>
        <row r="1188">
          <cell r="F1188">
            <v>7738254854</v>
          </cell>
          <cell r="G1188" t="str">
            <v>capankaj1@yahoo.co.in</v>
          </cell>
          <cell r="H1188" t="str">
            <v>Flat No. 1404, Tower No. 3, Challengers CHS, Thakur Village, Kandivali (East Flat No. 1404, Tower No. 3, Challengers CHS, Thakur Village, Kandivali (East</v>
          </cell>
        </row>
        <row r="1189">
          <cell r="F1189">
            <v>9929590248</v>
          </cell>
          <cell r="G1189" t="str">
            <v>psomani.apj@gmail.com</v>
          </cell>
          <cell r="H1189" t="str">
            <v>Cosmos B-Wing  602  Gundachaj Valley Of Flowers Thakur Village Kandivali (E</v>
          </cell>
        </row>
        <row r="1190">
          <cell r="F1190">
            <v>9322896944</v>
          </cell>
          <cell r="H1190" t="str">
            <v>D-202/203 Gokul Accord Thakur Compex, Kandivali (E</v>
          </cell>
        </row>
        <row r="1191">
          <cell r="F1191">
            <v>9892864444</v>
          </cell>
          <cell r="H1191" t="str">
            <v>G-1304  Octacrest CHS  Lokhandwala Township  Akurli Road</v>
          </cell>
        </row>
        <row r="1192">
          <cell r="F1192">
            <v>9829790501</v>
          </cell>
          <cell r="G1192" t="str">
            <v>rssomani@gmail.com</v>
          </cell>
          <cell r="H1192" t="str">
            <v>C -502  Shraddha Building Asha Nagar,   Kandivali (E</v>
          </cell>
        </row>
        <row r="1193">
          <cell r="H1193" t="str">
            <v>B-302 Kaveri Vasant Sagar Thakur Village</v>
          </cell>
        </row>
        <row r="1194">
          <cell r="F1194">
            <v>8383088008</v>
          </cell>
          <cell r="G1194" t="str">
            <v>casanwariya@gmail.com</v>
          </cell>
          <cell r="H1194" t="str">
            <v>203-A, Parijat  90 Feet Road, Poonam Complex, Thakur Complex, Kandivali (E</v>
          </cell>
        </row>
        <row r="1195">
          <cell r="F1195">
            <v>9324564402</v>
          </cell>
          <cell r="G1195" t="str">
            <v>somani_shailesh@yahoo.com</v>
          </cell>
          <cell r="H1195" t="str">
            <v>D/202-201  Gokul Accord Thakur Complex , Kandivali (E</v>
          </cell>
        </row>
        <row r="1196">
          <cell r="F1196">
            <v>9321694896</v>
          </cell>
          <cell r="G1196" t="str">
            <v>shobha.somani67@gmail.com</v>
          </cell>
          <cell r="H1196" t="str">
            <v>E-203/204, Gokul Residency Thakur Village Kandivali East</v>
          </cell>
        </row>
        <row r="1197">
          <cell r="F1197">
            <v>9322694897</v>
          </cell>
          <cell r="H1197" t="str">
            <v>E-203 / 204, Gokul Residency Thakur Village, Opp.  Oberoi Garden Tower, Kandivali (E</v>
          </cell>
        </row>
        <row r="1198">
          <cell r="F1198">
            <v>9833004194</v>
          </cell>
          <cell r="G1198" t="str">
            <v>sunil.somani@hotmail.com</v>
          </cell>
          <cell r="H1198" t="str">
            <v>C-401  Gundecha Trillium Thakur Village Kandivali East</v>
          </cell>
        </row>
        <row r="1199">
          <cell r="F1199">
            <v>9820477296</v>
          </cell>
          <cell r="G1199" t="str">
            <v>ssomani777@gmail.com</v>
          </cell>
          <cell r="H1199" t="str">
            <v>Sierra Tower, B/1205/06  1702 Whispering Palms, Lokhandwala Township, Kandivali (E</v>
          </cell>
        </row>
        <row r="1200">
          <cell r="F1200">
            <v>9082360561</v>
          </cell>
          <cell r="G1200" t="str">
            <v>somanivinay11@gmail.com</v>
          </cell>
          <cell r="H1200" t="str">
            <v>D- 202/201 Gokul Accord</v>
          </cell>
        </row>
        <row r="1201">
          <cell r="H1201" t="str">
            <v>B/1702  Oberoi Garden  Thakur Village W.E.Highway Kandivali (E  -</v>
          </cell>
        </row>
        <row r="1202">
          <cell r="F1202">
            <v>9869064553</v>
          </cell>
          <cell r="G1202" t="str">
            <v>prem.ca@rediffmail.com</v>
          </cell>
          <cell r="H1202" t="str">
            <v>307 SUR, Veena Saaz, Thakur Complex, Kandivali (E</v>
          </cell>
        </row>
        <row r="1203">
          <cell r="F1203">
            <v>9820894257</v>
          </cell>
          <cell r="H1203" t="str">
            <v>9/702  Kanakia Sanskruti 90 Feet Road Opp.Lawrence School  Thakur Complex</v>
          </cell>
        </row>
        <row r="1204">
          <cell r="F1204">
            <v>9821111757</v>
          </cell>
          <cell r="G1204" t="str">
            <v>Cottny@gmail.com</v>
          </cell>
          <cell r="H1204" t="str">
            <v>Baronet Bldg., A/104  Lokhandwala Township, Akurli Road, Kandivali (E</v>
          </cell>
        </row>
        <row r="1205">
          <cell r="F1205">
            <v>9920442374</v>
          </cell>
          <cell r="G1205" t="str">
            <v>toshniwal66@gmail.com</v>
          </cell>
          <cell r="H1205" t="str">
            <v>Raheja Eternity, C-1504 Thakur Village, Kandivali (E</v>
          </cell>
        </row>
        <row r="1206">
          <cell r="F1206">
            <v>9167669682</v>
          </cell>
          <cell r="G1206" t="str">
            <v>dbmaheshwari49@gmail.com</v>
          </cell>
          <cell r="H1206" t="str">
            <v>A-403  Ganga  Vasant Sagar  Thakur Village</v>
          </cell>
        </row>
        <row r="1207">
          <cell r="F1207">
            <v>9820049848</v>
          </cell>
          <cell r="G1207" t="str">
            <v>gstoshniwal@gmail.com</v>
          </cell>
          <cell r="H1207" t="str">
            <v>Octacrest, 901 -A Wing,  Lokhandwala Township, Kandivali (E</v>
          </cell>
        </row>
        <row r="1208">
          <cell r="F1208">
            <v>9821070860</v>
          </cell>
          <cell r="H1208" t="str">
            <v>A-1801, Oberoi Garden CHS Thakur Village Off Western Express Highway Kandivali (E .</v>
          </cell>
        </row>
        <row r="1209">
          <cell r="F1209">
            <v>9223427892</v>
          </cell>
          <cell r="H1209" t="str">
            <v>A/804 Vasant Smruti  Thakur Complex 90 Ft.Road  Opp Saint Lawrence High School</v>
          </cell>
        </row>
        <row r="1210">
          <cell r="F1210">
            <v>9320770849</v>
          </cell>
          <cell r="G1210" t="str">
            <v>neelam.toshniwal@gmail.com</v>
          </cell>
          <cell r="H1210" t="str">
            <v>Octacrest, 901 -A Wing,  Lokhandwala Township, Kandivali (E</v>
          </cell>
        </row>
        <row r="1211">
          <cell r="F1211">
            <v>9815222337</v>
          </cell>
          <cell r="H1211" t="str">
            <v>A - 1101  Silver Leaf  Near Growels Mall Akruli Raod</v>
          </cell>
        </row>
        <row r="1212">
          <cell r="F1212">
            <v>9820899735</v>
          </cell>
          <cell r="H1212" t="str">
            <v>411  Taal Veena Saaz  Videocon Tower Thakur Complex</v>
          </cell>
        </row>
        <row r="1213">
          <cell r="F1213">
            <v>9892686153</v>
          </cell>
        </row>
        <row r="1214">
          <cell r="F1214">
            <v>9324051973</v>
          </cell>
          <cell r="G1214" t="str">
            <v>ramanujsoni1966@gmail.com</v>
          </cell>
          <cell r="H1214" t="str">
            <v>Unnat Nagar Road No 1 Goregaon West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31064-E6C9-4E54-906A-7379BB53868D}">
  <dimension ref="A1:H967"/>
  <sheetViews>
    <sheetView topLeftCell="B1" workbookViewId="0">
      <selection activeCell="C1" sqref="C1"/>
    </sheetView>
  </sheetViews>
  <sheetFormatPr defaultRowHeight="15" x14ac:dyDescent="0.25"/>
  <cols>
    <col min="1" max="1" width="38.5703125" bestFit="1" customWidth="1"/>
    <col min="2" max="2" width="39" bestFit="1" customWidth="1"/>
    <col min="3" max="3" width="15.140625" bestFit="1" customWidth="1"/>
    <col min="4" max="4" width="22.85546875" bestFit="1" customWidth="1"/>
    <col min="5" max="5" width="14.42578125" bestFit="1" customWidth="1"/>
    <col min="6" max="6" width="29" bestFit="1" customWidth="1"/>
    <col min="7" max="7" width="61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1004</v>
      </c>
      <c r="E1" t="s">
        <v>1018</v>
      </c>
      <c r="F1" t="s">
        <v>1017</v>
      </c>
      <c r="G1" t="s">
        <v>1023</v>
      </c>
      <c r="H1" t="s">
        <v>1127</v>
      </c>
    </row>
    <row r="2" spans="1:8" x14ac:dyDescent="0.25">
      <c r="A2" t="s">
        <v>3</v>
      </c>
      <c r="B2" t="s">
        <v>4</v>
      </c>
      <c r="C2">
        <v>9821381810</v>
      </c>
      <c r="D2" t="str">
        <f>_xlfn.IFNA(VLOOKUP(C2,CallLog_Latest!A:H,7,FALSE),"Not Called")</f>
        <v>Not Called</v>
      </c>
      <c r="E2" t="str">
        <f>IF(ISNA(VLOOKUP(C2,Registration!A:A,1,FALSE)),"Not Registered","Registered")</f>
        <v>Not Registered</v>
      </c>
      <c r="F2">
        <f>VLOOKUP(A2,Sheet1!A:B,2,FALSE)</f>
        <v>9326379737</v>
      </c>
      <c r="G2" t="str">
        <f>_xlfn.IFNA(VLOOKUP(C2,CallLog_Latest!A:H,8,FALSE),"")</f>
        <v/>
      </c>
      <c r="H2" t="str">
        <f>VLOOKUP(C2,[1]Sheet1!$F:$H,3,FALSE)</f>
        <v>Galaxy CHSL. B-205, Mith Chowky, Marve Road, Malad (W</v>
      </c>
    </row>
    <row r="3" spans="1:8" x14ac:dyDescent="0.25">
      <c r="A3" t="s">
        <v>5</v>
      </c>
      <c r="B3" t="s">
        <v>6</v>
      </c>
      <c r="C3">
        <v>9324420871</v>
      </c>
      <c r="D3" t="str">
        <f>_xlfn.IFNA(VLOOKUP(C3,CallLog_Latest!A:H,7,FALSE),"Not Called")</f>
        <v>Not Called</v>
      </c>
      <c r="E3" t="str">
        <f>IF(ISNA(VLOOKUP(C3,Registration!A:A,1,FALSE)),"Not Registered","Registered")</f>
        <v>Not Registered</v>
      </c>
      <c r="F3">
        <f>VLOOKUP(A3,Sheet1!A:B,2,FALSE)</f>
        <v>9323541634</v>
      </c>
      <c r="G3" t="str">
        <f>_xlfn.IFNA(VLOOKUP(C3,CallLog_Latest!A:H,8,FALSE),"")</f>
        <v/>
      </c>
      <c r="H3" t="str">
        <f>VLOOKUP(C3,[1]Sheet1!$F:$H,3,FALSE)</f>
        <v>F/102  Krishna Residency Behind Sunder Nagar  S.V.Road</v>
      </c>
    </row>
    <row r="4" spans="1:8" x14ac:dyDescent="0.25">
      <c r="A4" t="s">
        <v>7</v>
      </c>
      <c r="B4" t="s">
        <v>8</v>
      </c>
      <c r="C4">
        <v>9820265640</v>
      </c>
      <c r="D4" t="str">
        <f>_xlfn.IFNA(VLOOKUP(C4,CallLog_Latest!A:H,7,FALSE),"Not Called")</f>
        <v>Not Called</v>
      </c>
      <c r="E4" t="str">
        <f>IF(ISNA(VLOOKUP(C4,Registration!A:A,1,FALSE)),"Not Registered","Registered")</f>
        <v>Not Registered</v>
      </c>
      <c r="F4">
        <f>VLOOKUP(A4,Sheet1!A:B,2,FALSE)</f>
        <v>9867015031</v>
      </c>
      <c r="G4" t="str">
        <f>_xlfn.IFNA(VLOOKUP(C4,CallLog_Latest!A:H,8,FALSE),"")</f>
        <v/>
      </c>
      <c r="H4" t="str">
        <f>VLOOKUP(C4,[1]Sheet1!$F:$H,3,FALSE)</f>
        <v>F/102,  Krishna Residency, Behind Sunder Nagar, Malad (W</v>
      </c>
    </row>
    <row r="5" spans="1:8" x14ac:dyDescent="0.25">
      <c r="A5" t="s">
        <v>9</v>
      </c>
      <c r="B5" t="s">
        <v>10</v>
      </c>
      <c r="C5">
        <v>9821460734</v>
      </c>
      <c r="D5" t="str">
        <f>_xlfn.IFNA(VLOOKUP(C5,CallLog_Latest!A:H,7,FALSE),"Not Called")</f>
        <v>Not Called</v>
      </c>
      <c r="E5" t="str">
        <f>IF(ISNA(VLOOKUP(C5,Registration!A:A,1,FALSE)),"Not Registered","Registered")</f>
        <v>Not Registered</v>
      </c>
      <c r="F5">
        <f>VLOOKUP(A5,Sheet1!A:B,2,FALSE)</f>
        <v>9821268271</v>
      </c>
      <c r="G5" t="str">
        <f>_xlfn.IFNA(VLOOKUP(C5,CallLog_Latest!A:H,8,FALSE),"")</f>
        <v/>
      </c>
      <c r="H5" t="str">
        <f>VLOOKUP(C5,[1]Sheet1!$F:$H,3,FALSE)</f>
        <v>C/403  KINGSTON HEIGHTS Chincholi Bunder Road, Malad (W</v>
      </c>
    </row>
    <row r="6" spans="1:8" x14ac:dyDescent="0.25">
      <c r="A6" t="s">
        <v>11</v>
      </c>
      <c r="B6" t="s">
        <v>12</v>
      </c>
      <c r="C6">
        <v>9820454734</v>
      </c>
      <c r="D6" t="str">
        <f>_xlfn.IFNA(VLOOKUP(C6,CallLog_Latest!A:H,7,FALSE),"Not Called")</f>
        <v>Not Called</v>
      </c>
      <c r="E6" t="str">
        <f>IF(ISNA(VLOOKUP(C6,Registration!A:A,1,FALSE)),"Not Registered","Registered")</f>
        <v>Not Registered</v>
      </c>
      <c r="F6">
        <f>VLOOKUP(A6,Sheet1!A:B,2,FALSE)</f>
        <v>9322598681</v>
      </c>
      <c r="G6" t="str">
        <f>_xlfn.IFNA(VLOOKUP(C6,CallLog_Latest!A:H,8,FALSE),"")</f>
        <v/>
      </c>
      <c r="H6" t="str">
        <f>VLOOKUP(C6,[1]Sheet1!$F:$H,3,FALSE)</f>
        <v>C-403, Kingston Heights Chincholi Bunder Road, Malad (W</v>
      </c>
    </row>
    <row r="7" spans="1:8" x14ac:dyDescent="0.25">
      <c r="A7" t="s">
        <v>13</v>
      </c>
      <c r="B7" t="s">
        <v>14</v>
      </c>
      <c r="C7">
        <v>9920318503</v>
      </c>
      <c r="D7" t="str">
        <f>_xlfn.IFNA(VLOOKUP(C7,CallLog_Latest!A:H,7,FALSE),"Not Called")</f>
        <v>Not Called</v>
      </c>
      <c r="E7" t="str">
        <f>IF(ISNA(VLOOKUP(C7,Registration!A:A,1,FALSE)),"Not Registered","Registered")</f>
        <v>Not Registered</v>
      </c>
      <c r="F7">
        <f>VLOOKUP(A7,Sheet1!A:B,2,FALSE)</f>
        <v>9969403870</v>
      </c>
      <c r="G7" t="str">
        <f>_xlfn.IFNA(VLOOKUP(C7,CallLog_Latest!A:H,8,FALSE),"")</f>
        <v/>
      </c>
      <c r="H7" t="str">
        <f>VLOOKUP(C7,[1]Sheet1!$F:$H,3,FALSE)</f>
        <v>G-504  Krishna Residency  Atmaram Compound  Near Dalmiya College  Behind Sunder Nagar  Malad (W</v>
      </c>
    </row>
    <row r="8" spans="1:8" x14ac:dyDescent="0.25">
      <c r="A8" t="s">
        <v>15</v>
      </c>
      <c r="B8" t="s">
        <v>16</v>
      </c>
      <c r="C8">
        <v>9322854440</v>
      </c>
      <c r="D8" t="str">
        <f>_xlfn.IFNA(VLOOKUP(C8,CallLog_Latest!A:H,7,FALSE),"Not Called")</f>
        <v>Not Called</v>
      </c>
      <c r="E8" t="str">
        <f>IF(ISNA(VLOOKUP(C8,Registration!A:A,1,FALSE)),"Not Registered","Registered")</f>
        <v>Not Registered</v>
      </c>
      <c r="F8">
        <f>VLOOKUP(A8,Sheet1!A:B,2,FALSE)</f>
        <v>9892726278</v>
      </c>
      <c r="G8" t="str">
        <f>_xlfn.IFNA(VLOOKUP(C8,CallLog_Latest!A:H,8,FALSE),"")</f>
        <v/>
      </c>
      <c r="H8" t="str">
        <f>VLOOKUP(C8,[1]Sheet1!$F:$H,3,FALSE)</f>
        <v>209 Malad Shoppint Centre  Near Sai Mandir S.V.Road</v>
      </c>
    </row>
    <row r="9" spans="1:8" x14ac:dyDescent="0.25">
      <c r="A9" t="s">
        <v>17</v>
      </c>
      <c r="B9" t="s">
        <v>18</v>
      </c>
      <c r="C9">
        <v>9892486921</v>
      </c>
      <c r="D9" t="str">
        <f>_xlfn.IFNA(VLOOKUP(C9,CallLog_Latest!A:H,7,FALSE),"Not Called")</f>
        <v>Not Called</v>
      </c>
      <c r="E9" t="str">
        <f>IF(ISNA(VLOOKUP(C9,Registration!A:A,1,FALSE)),"Not Registered","Registered")</f>
        <v>Not Registered</v>
      </c>
      <c r="F9">
        <f>VLOOKUP(A9,Sheet1!A:B,2,FALSE)</f>
        <v>9869798705</v>
      </c>
      <c r="G9" t="str">
        <f>_xlfn.IFNA(VLOOKUP(C9,CallLog_Latest!A:H,8,FALSE),"")</f>
        <v/>
      </c>
      <c r="H9" t="str">
        <f>VLOOKUP(C9,[1]Sheet1!$F:$H,3,FALSE)</f>
        <v>Sunder Nagar</v>
      </c>
    </row>
    <row r="10" spans="1:8" x14ac:dyDescent="0.25">
      <c r="A10" t="s">
        <v>19</v>
      </c>
      <c r="B10" t="s">
        <v>20</v>
      </c>
      <c r="C10">
        <v>9869309871</v>
      </c>
      <c r="D10" t="str">
        <f>_xlfn.IFNA(VLOOKUP(C10,CallLog_Latest!A:H,7,FALSE),"Not Called")</f>
        <v>Not Called</v>
      </c>
      <c r="E10" t="str">
        <f>IF(ISNA(VLOOKUP(C10,Registration!A:A,1,FALSE)),"Not Registered","Registered")</f>
        <v>Not Registered</v>
      </c>
      <c r="F10">
        <f>VLOOKUP(A10,Sheet1!A:B,2,FALSE)</f>
        <v>9820265640</v>
      </c>
      <c r="G10" t="str">
        <f>_xlfn.IFNA(VLOOKUP(C10,CallLog_Latest!A:H,8,FALSE),"")</f>
        <v/>
      </c>
      <c r="H10" t="str">
        <f>VLOOKUP(C10,[1]Sheet1!$F:$H,3,FALSE)</f>
        <v>Flat No.106  The Kanchan Nalanda Chs. Sundar Nagar  S.V. Road, Malad (W</v>
      </c>
    </row>
    <row r="11" spans="1:8" x14ac:dyDescent="0.25">
      <c r="A11" t="s">
        <v>21</v>
      </c>
      <c r="B11" t="s">
        <v>22</v>
      </c>
      <c r="C11">
        <v>9820506066</v>
      </c>
      <c r="D11" t="str">
        <f>_xlfn.IFNA(VLOOKUP(C11,CallLog_Latest!A:H,7,FALSE),"Not Called")</f>
        <v>Not Called</v>
      </c>
      <c r="E11" t="str">
        <f>IF(ISNA(VLOOKUP(C11,Registration!A:A,1,FALSE)),"Not Registered","Registered")</f>
        <v>Not Registered</v>
      </c>
      <c r="F11">
        <f>VLOOKUP(A11,Sheet1!A:B,2,FALSE)</f>
        <v>9820636392</v>
      </c>
      <c r="G11" t="str">
        <f>_xlfn.IFNA(VLOOKUP(C11,CallLog_Latest!A:H,8,FALSE),"")</f>
        <v/>
      </c>
      <c r="H11" t="str">
        <f>VLOOKUP(C11,[1]Sheet1!$F:$H,3,FALSE)</f>
        <v>B-701, Aruna Residency, Behind Sundar Nagar Opp. Krishna Residency, Nr. Dalmia College, Malad (W</v>
      </c>
    </row>
    <row r="12" spans="1:8" x14ac:dyDescent="0.25">
      <c r="A12" t="s">
        <v>23</v>
      </c>
      <c r="B12" t="s">
        <v>24</v>
      </c>
      <c r="C12">
        <v>9820620702</v>
      </c>
      <c r="D12" t="str">
        <f>_xlfn.IFNA(VLOOKUP(C12,CallLog_Latest!A:H,7,FALSE),"Not Called")</f>
        <v>Not Called</v>
      </c>
      <c r="E12" t="str">
        <f>IF(ISNA(VLOOKUP(C12,Registration!A:A,1,FALSE)),"Not Registered","Registered")</f>
        <v>Not Registered</v>
      </c>
      <c r="F12">
        <f>VLOOKUP(A12,Sheet1!A:B,2,FALSE)</f>
        <v>7977439717</v>
      </c>
      <c r="G12" t="str">
        <f>_xlfn.IFNA(VLOOKUP(C12,CallLog_Latest!A:H,8,FALSE),"")</f>
        <v/>
      </c>
      <c r="H12" t="str">
        <f>VLOOKUP(C12,[1]Sheet1!$F:$H,3,FALSE)</f>
        <v>C-2802  Rustomjee Elanza  Off Link Road</v>
      </c>
    </row>
    <row r="13" spans="1:8" x14ac:dyDescent="0.25">
      <c r="A13" t="s">
        <v>25</v>
      </c>
      <c r="B13" t="s">
        <v>26</v>
      </c>
      <c r="C13">
        <v>8108066289</v>
      </c>
      <c r="D13" t="str">
        <f>_xlfn.IFNA(VLOOKUP(C13,CallLog_Latest!A:H,7,FALSE),"Not Called")</f>
        <v>Not Called</v>
      </c>
      <c r="E13" t="str">
        <f>IF(ISNA(VLOOKUP(C13,Registration!A:A,1,FALSE)),"Not Registered","Registered")</f>
        <v>Not Registered</v>
      </c>
      <c r="F13">
        <f>VLOOKUP(A13,Sheet1!A:B,2,FALSE)</f>
        <v>9967045520</v>
      </c>
      <c r="G13" t="str">
        <f>_xlfn.IFNA(VLOOKUP(C13,CallLog_Latest!A:H,8,FALSE),"")</f>
        <v/>
      </c>
      <c r="H13" t="str">
        <f>VLOOKUP(C13,[1]Sheet1!$F:$H,3,FALSE)</f>
        <v>G-1106  Palm Court New Link Road</v>
      </c>
    </row>
    <row r="14" spans="1:8" x14ac:dyDescent="0.25">
      <c r="A14" t="s">
        <v>27</v>
      </c>
      <c r="B14" t="s">
        <v>28</v>
      </c>
      <c r="C14">
        <v>9819721858</v>
      </c>
      <c r="D14" t="str">
        <f>_xlfn.IFNA(VLOOKUP(C14,CallLog_Latest!A:H,7,FALSE),"Not Called")</f>
        <v>Not Called</v>
      </c>
      <c r="E14" t="str">
        <f>IF(ISNA(VLOOKUP(C14,Registration!A:A,1,FALSE)),"Not Registered","Registered")</f>
        <v>Not Registered</v>
      </c>
      <c r="F14">
        <f>VLOOKUP(A14,Sheet1!A:B,2,FALSE)</f>
        <v>9820075931</v>
      </c>
      <c r="G14" t="str">
        <f>_xlfn.IFNA(VLOOKUP(C14,CallLog_Latest!A:H,8,FALSE),"")</f>
        <v/>
      </c>
      <c r="H14" t="str">
        <f>VLOOKUP(C14,[1]Sheet1!$F:$H,3,FALSE)</f>
        <v>302  Snehal Building  Adarsh lane, Malad west</v>
      </c>
    </row>
    <row r="15" spans="1:8" x14ac:dyDescent="0.25">
      <c r="A15" t="s">
        <v>29</v>
      </c>
      <c r="B15" t="s">
        <v>30</v>
      </c>
      <c r="C15">
        <v>9820290360</v>
      </c>
      <c r="D15" t="str">
        <f>_xlfn.IFNA(VLOOKUP(C15,CallLog_Latest!A:H,7,FALSE),"Not Called")</f>
        <v>Not Called</v>
      </c>
      <c r="E15" t="str">
        <f>IF(ISNA(VLOOKUP(C15,Registration!A:A,1,FALSE)),"Not Registered","Registered")</f>
        <v>Not Registered</v>
      </c>
      <c r="F15">
        <f>VLOOKUP(A15,Sheet1!A:B,2,FALSE)</f>
        <v>9819364345</v>
      </c>
      <c r="G15" t="str">
        <f>_xlfn.IFNA(VLOOKUP(C15,CallLog_Latest!A:H,8,FALSE),"")</f>
        <v/>
      </c>
      <c r="H15" t="str">
        <f>VLOOKUP(C15,[1]Sheet1!$F:$H,3,FALSE)</f>
        <v>302  Snehal Building  Adarsh lane, Malad west</v>
      </c>
    </row>
    <row r="16" spans="1:8" x14ac:dyDescent="0.25">
      <c r="A16" t="s">
        <v>31</v>
      </c>
      <c r="B16" t="s">
        <v>32</v>
      </c>
      <c r="C16">
        <v>9819789523</v>
      </c>
      <c r="D16" t="str">
        <f>_xlfn.IFNA(VLOOKUP(C16,CallLog_Latest!A:H,7,FALSE),"Not Called")</f>
        <v>Confirmed Presence</v>
      </c>
      <c r="E16" t="str">
        <f>IF(ISNA(VLOOKUP(C16,Registration!A:A,1,FALSE)),"Not Registered","Registered")</f>
        <v>Not Registered</v>
      </c>
      <c r="F16">
        <f>VLOOKUP(A16,Sheet1!A:B,2,FALSE)</f>
        <v>9869064553</v>
      </c>
      <c r="G16">
        <f>_xlfn.IFNA(VLOOKUP(C16,CallLog_Latest!A:H,8,FALSE),"")</f>
        <v>0</v>
      </c>
      <c r="H16" t="str">
        <f>VLOOKUP(C16,[1]Sheet1!$F:$H,3,FALSE)</f>
        <v>302  Snehal Building  Adarsh lane, Malad west</v>
      </c>
    </row>
    <row r="17" spans="1:8" x14ac:dyDescent="0.25">
      <c r="A17" t="s">
        <v>33</v>
      </c>
      <c r="B17" t="s">
        <v>34</v>
      </c>
      <c r="C17">
        <v>9928444867</v>
      </c>
      <c r="D17" t="str">
        <f>_xlfn.IFNA(VLOOKUP(C17,CallLog_Latest!A:H,7,FALSE),"Not Called")</f>
        <v>Not Reachable</v>
      </c>
      <c r="E17" t="str">
        <f>IF(ISNA(VLOOKUP(C17,Registration!A:A,1,FALSE)),"Not Registered","Registered")</f>
        <v>Not Registered</v>
      </c>
      <c r="F17">
        <f>VLOOKUP(A17,Sheet1!A:B,2,FALSE)</f>
        <v>9930070116</v>
      </c>
      <c r="G17" t="str">
        <f>_xlfn.IFNA(VLOOKUP(C17,CallLog_Latest!A:H,8,FALSE),"")</f>
        <v>No is not taking incoming calls</v>
      </c>
      <c r="H17" t="str">
        <f>VLOOKUP(C17,[1]Sheet1!$F:$H,3,FALSE)</f>
        <v>302  Snehal Building  Adarsh lane, Malad west</v>
      </c>
    </row>
    <row r="18" spans="1:8" x14ac:dyDescent="0.25">
      <c r="A18" t="s">
        <v>35</v>
      </c>
      <c r="B18" t="s">
        <v>36</v>
      </c>
      <c r="C18">
        <v>9892460090</v>
      </c>
      <c r="D18" t="str">
        <f>_xlfn.IFNA(VLOOKUP(C18,CallLog_Latest!A:H,7,FALSE),"Not Called")</f>
        <v>Not Called</v>
      </c>
      <c r="E18" t="str">
        <f>IF(ISNA(VLOOKUP(C18,Registration!A:A,1,FALSE)),"Not Registered","Registered")</f>
        <v>Not Registered</v>
      </c>
      <c r="F18">
        <f>VLOOKUP(A18,Sheet1!A:B,2,FALSE)</f>
        <v>9833705425</v>
      </c>
      <c r="G18" t="str">
        <f>_xlfn.IFNA(VLOOKUP(C18,CallLog_Latest!A:H,8,FALSE),"")</f>
        <v/>
      </c>
      <c r="H18" t="str">
        <f>VLOOKUP(C18,[1]Sheet1!$F:$H,3,FALSE)</f>
        <v>E-803  Krishna Residency  Sundar Nagar</v>
      </c>
    </row>
    <row r="19" spans="1:8" x14ac:dyDescent="0.25">
      <c r="A19" t="s">
        <v>37</v>
      </c>
      <c r="B19" t="s">
        <v>38</v>
      </c>
      <c r="C19">
        <v>9323938639</v>
      </c>
      <c r="D19" t="str">
        <f>_xlfn.IFNA(VLOOKUP(C19,CallLog_Latest!A:H,7,FALSE),"Not Called")</f>
        <v>Not Called</v>
      </c>
      <c r="E19" t="str">
        <f>IF(ISNA(VLOOKUP(C19,Registration!A:A,1,FALSE)),"Not Registered","Registered")</f>
        <v>Not Registered</v>
      </c>
      <c r="F19">
        <f>VLOOKUP(A19,Sheet1!A:B,2,FALSE)</f>
        <v>9167390835</v>
      </c>
      <c r="G19" t="str">
        <f>_xlfn.IFNA(VLOOKUP(C19,CallLog_Latest!A:H,8,FALSE),"")</f>
        <v/>
      </c>
      <c r="H19" t="str">
        <f>VLOOKUP(C19,[1]Sheet1!$F:$H,3,FALSE)</f>
        <v>Evershine Grandeur CHS. Behind Inorbit Mall,Near Rustomjee Elanza Mindspace</v>
      </c>
    </row>
    <row r="20" spans="1:8" x14ac:dyDescent="0.25">
      <c r="A20" t="s">
        <v>39</v>
      </c>
      <c r="B20" t="s">
        <v>40</v>
      </c>
      <c r="C20">
        <v>9833184392</v>
      </c>
      <c r="D20" t="str">
        <f>_xlfn.IFNA(VLOOKUP(C20,CallLog_Latest!A:H,7,FALSE),"Not Called")</f>
        <v>Confirmed Presence</v>
      </c>
      <c r="E20" t="str">
        <f>IF(ISNA(VLOOKUP(C20,Registration!A:A,1,FALSE)),"Not Registered","Registered")</f>
        <v>Not Registered</v>
      </c>
      <c r="F20">
        <f>VLOOKUP(A20,Sheet1!A:B,2,FALSE)</f>
        <v>9820505363</v>
      </c>
      <c r="G20" t="str">
        <f>_xlfn.IFNA(VLOOKUP(C20,CallLog_Latest!A:H,8,FALSE),"")</f>
        <v>Will register</v>
      </c>
      <c r="H20" t="str">
        <f>VLOOKUP(C20,[1]Sheet1!$F:$H,3,FALSE)</f>
        <v>A-104  Evershine Grandeur CHS. Behind Inorbit Mall  Near Rustomjee Elanza  Mindspace , Malad (W</v>
      </c>
    </row>
    <row r="21" spans="1:8" x14ac:dyDescent="0.25">
      <c r="A21" t="s">
        <v>41</v>
      </c>
      <c r="B21" t="s">
        <v>42</v>
      </c>
      <c r="C21">
        <v>9321169646</v>
      </c>
      <c r="D21" t="str">
        <f>_xlfn.IFNA(VLOOKUP(C21,CallLog_Latest!A:H,7,FALSE),"Not Called")</f>
        <v>May be Attending</v>
      </c>
      <c r="E21" t="str">
        <f>IF(ISNA(VLOOKUP(C21,Registration!A:A,1,FALSE)),"Not Registered","Registered")</f>
        <v>Not Registered</v>
      </c>
      <c r="F21">
        <f>VLOOKUP(A21,Sheet1!A:B,2,FALSE)</f>
        <v>8058973809</v>
      </c>
      <c r="G21">
        <f>_xlfn.IFNA(VLOOKUP(C21,CallLog_Latest!A:H,8,FALSE),"")</f>
        <v>0</v>
      </c>
      <c r="H21" t="str">
        <f>VLOOKUP(C21,[1]Sheet1!$F:$H,3,FALSE)</f>
        <v>504 Bharat Apartmant  Bhadran Nagar Khajurya Tank Road</v>
      </c>
    </row>
    <row r="22" spans="1:8" x14ac:dyDescent="0.25">
      <c r="A22" t="s">
        <v>43</v>
      </c>
      <c r="B22" t="s">
        <v>44</v>
      </c>
      <c r="C22">
        <v>9323852536</v>
      </c>
      <c r="D22" t="str">
        <f>_xlfn.IFNA(VLOOKUP(C22,CallLog_Latest!A:H,7,FALSE),"Not Called")</f>
        <v>Confirmed Presence ✅</v>
      </c>
      <c r="E22" t="str">
        <f>IF(ISNA(VLOOKUP(C22,Registration!A:A,1,FALSE)),"Not Registered","Registered")</f>
        <v>Not Registered</v>
      </c>
      <c r="F22">
        <f>VLOOKUP(A22,Sheet1!A:B,2,FALSE)</f>
        <v>9320683201</v>
      </c>
      <c r="G22" t="str">
        <f>_xlfn.IFNA(VLOOKUP(C22,CallLog_Latest!A:H,8,FALSE),"")</f>
        <v>Sure 3 members</v>
      </c>
      <c r="H22" t="str">
        <f>VLOOKUP(C22,[1]Sheet1!$F:$H,3,FALSE)</f>
        <v>Asmita Sand Dunes, 802, Sunder Nager,  Near Dalmiya College,  Malad (W</v>
      </c>
    </row>
    <row r="23" spans="1:8" x14ac:dyDescent="0.25">
      <c r="A23" t="s">
        <v>45</v>
      </c>
      <c r="B23" t="s">
        <v>46</v>
      </c>
      <c r="C23">
        <v>9892635936</v>
      </c>
      <c r="D23" t="str">
        <f>_xlfn.IFNA(VLOOKUP(C23,CallLog_Latest!A:H,7,FALSE),"Not Called")</f>
        <v>Confirmed Presence ✅</v>
      </c>
      <c r="E23" t="str">
        <f>IF(ISNA(VLOOKUP(C23,Registration!A:A,1,FALSE)),"Not Registered","Registered")</f>
        <v>Not Registered</v>
      </c>
      <c r="F23">
        <f>VLOOKUP(A23,Sheet1!A:B,2,FALSE)</f>
        <v>9967235652</v>
      </c>
      <c r="G23">
        <f>_xlfn.IFNA(VLOOKUP(C23,CallLog_Latest!A:H,8,FALSE),"")</f>
        <v>0</v>
      </c>
      <c r="H23" t="str">
        <f>VLOOKUP(C23,[1]Sheet1!$F:$H,3,FALSE)</f>
        <v>B - 1002 / B Romell Diva   Off Chincholi Bunder Road  Near Bhujale Talao  Malad (W</v>
      </c>
    </row>
    <row r="24" spans="1:8" x14ac:dyDescent="0.25">
      <c r="A24" t="s">
        <v>47</v>
      </c>
      <c r="B24" t="s">
        <v>48</v>
      </c>
      <c r="C24">
        <v>9324309045</v>
      </c>
      <c r="D24" t="str">
        <f>_xlfn.IFNA(VLOOKUP(C24,CallLog_Latest!A:H,7,FALSE),"Not Called")</f>
        <v>Confirmed Presence ✅</v>
      </c>
      <c r="E24" t="str">
        <f>IF(ISNA(VLOOKUP(C24,Registration!A:A,1,FALSE)),"Not Registered","Registered")</f>
        <v>Not Registered</v>
      </c>
      <c r="F24">
        <f>VLOOKUP(A24,Sheet1!A:B,2,FALSE)</f>
        <v>8108711149</v>
      </c>
      <c r="G24">
        <f>_xlfn.IFNA(VLOOKUP(C24,CallLog_Latest!A:H,8,FALSE),"")</f>
        <v>0</v>
      </c>
      <c r="H24" t="str">
        <f>VLOOKUP(C24,[1]Sheet1!$F:$H,3,FALSE)</f>
        <v>B - 1002 / B Romell Diva   Off Chincholi Bunder Road  Near Bhujale Talao  Malad (W</v>
      </c>
    </row>
    <row r="25" spans="1:8" x14ac:dyDescent="0.25">
      <c r="A25" t="s">
        <v>49</v>
      </c>
      <c r="B25" t="s">
        <v>50</v>
      </c>
      <c r="C25">
        <v>9820913318</v>
      </c>
      <c r="D25" t="str">
        <f>_xlfn.IFNA(VLOOKUP(C25,CallLog_Latest!A:H,7,FALSE),"Not Called")</f>
        <v>Confirmed Presence ✅</v>
      </c>
      <c r="E25" t="str">
        <f>IF(ISNA(VLOOKUP(C25,Registration!A:A,1,FALSE)),"Not Registered","Registered")</f>
        <v>Not Registered</v>
      </c>
      <c r="F25">
        <f>VLOOKUP(A25,Sheet1!A:B,2,FALSE)</f>
        <v>9322206108</v>
      </c>
      <c r="G25">
        <f>_xlfn.IFNA(VLOOKUP(C25,CallLog_Latest!A:H,8,FALSE),"")</f>
        <v>0</v>
      </c>
      <c r="H25" t="str">
        <f>VLOOKUP(C25,[1]Sheet1!$F:$H,3,FALSE)</f>
        <v>Bhoomi Classic CHS. C-603  Link Road</v>
      </c>
    </row>
    <row r="26" spans="1:8" x14ac:dyDescent="0.25">
      <c r="A26" t="s">
        <v>51</v>
      </c>
      <c r="B26" t="s">
        <v>52</v>
      </c>
      <c r="C26">
        <v>9820026235</v>
      </c>
      <c r="D26" t="str">
        <f>_xlfn.IFNA(VLOOKUP(C26,CallLog_Latest!A:H,7,FALSE),"Not Called")</f>
        <v>Not Called</v>
      </c>
      <c r="E26" t="str">
        <f>IF(ISNA(VLOOKUP(C26,Registration!A:A,1,FALSE)),"Not Registered","Registered")</f>
        <v>Not Registered</v>
      </c>
      <c r="F26">
        <f>VLOOKUP(A26,Sheet1!A:B,2,FALSE)</f>
        <v>9967015641</v>
      </c>
      <c r="G26" t="str">
        <f>_xlfn.IFNA(VLOOKUP(C26,CallLog_Latest!A:H,8,FALSE),"")</f>
        <v/>
      </c>
      <c r="H26" t="str">
        <f>VLOOKUP(C26,[1]Sheet1!$F:$H,3,FALSE)</f>
        <v>Flat 1801  Floor-18  Kingston Palace   Kingstone Complex  Chincholi Bunder Road  Nr. Hanuman Temple</v>
      </c>
    </row>
    <row r="27" spans="1:8" x14ac:dyDescent="0.25">
      <c r="A27" t="s">
        <v>53</v>
      </c>
      <c r="B27" t="s">
        <v>54</v>
      </c>
      <c r="C27">
        <v>9819407540</v>
      </c>
      <c r="D27" t="str">
        <f>_xlfn.IFNA(VLOOKUP(C27,CallLog_Latest!A:H,7,FALSE),"Not Called")</f>
        <v>Not Called</v>
      </c>
      <c r="E27" t="str">
        <f>IF(ISNA(VLOOKUP(C27,Registration!A:A,1,FALSE)),"Not Registered","Registered")</f>
        <v>Not Registered</v>
      </c>
      <c r="F27">
        <f>VLOOKUP(A27,Sheet1!A:B,2,FALSE)</f>
        <v>9820216355</v>
      </c>
      <c r="G27" t="str">
        <f>_xlfn.IFNA(VLOOKUP(C27,CallLog_Latest!A:H,8,FALSE),"")</f>
        <v/>
      </c>
      <c r="H27" t="str">
        <f>VLOOKUP(C27,[1]Sheet1!$F:$H,3,FALSE)</f>
        <v>Shanti Kunj  Anand Road  Block No. 1</v>
      </c>
    </row>
    <row r="28" spans="1:8" x14ac:dyDescent="0.25">
      <c r="A28" t="s">
        <v>55</v>
      </c>
      <c r="B28" t="s">
        <v>56</v>
      </c>
      <c r="C28">
        <v>9821013859</v>
      </c>
      <c r="D28" t="str">
        <f>_xlfn.IFNA(VLOOKUP(C28,CallLog_Latest!A:H,7,FALSE),"Not Called")</f>
        <v>Confirmed Presence</v>
      </c>
      <c r="E28" t="str">
        <f>IF(ISNA(VLOOKUP(C28,Registration!A:A,1,FALSE)),"Not Registered","Registered")</f>
        <v>Not Registered</v>
      </c>
      <c r="F28">
        <f>VLOOKUP(A28,Sheet1!A:B,2,FALSE)</f>
        <v>9819083540</v>
      </c>
      <c r="G28">
        <f>_xlfn.IFNA(VLOOKUP(C28,CallLog_Latest!A:H,8,FALSE),"")</f>
        <v>0</v>
      </c>
      <c r="H28" t="str">
        <f>VLOOKUP(C28,[1]Sheet1!$F:$H,3,FALSE)</f>
        <v>1203  Simplex Khush Aangan Opp. Indian Oil Petrol Pump  S. V. Road</v>
      </c>
    </row>
    <row r="29" spans="1:8" x14ac:dyDescent="0.25">
      <c r="A29" t="s">
        <v>57</v>
      </c>
      <c r="B29" t="s">
        <v>58</v>
      </c>
      <c r="C29">
        <v>9322252410</v>
      </c>
      <c r="D29" t="str">
        <f>_xlfn.IFNA(VLOOKUP(C29,CallLog_Latest!A:H,7,FALSE),"Not Called")</f>
        <v>Not Called</v>
      </c>
      <c r="E29" t="str">
        <f>IF(ISNA(VLOOKUP(C29,Registration!A:A,1,FALSE)),"Not Registered","Registered")</f>
        <v>Not Registered</v>
      </c>
      <c r="F29">
        <f>VLOOKUP(A29,Sheet1!A:B,2,FALSE)</f>
        <v>9101910341</v>
      </c>
      <c r="G29" t="str">
        <f>_xlfn.IFNA(VLOOKUP(C29,CallLog_Latest!A:H,8,FALSE),"")</f>
        <v/>
      </c>
      <c r="H29" t="str">
        <f>VLOOKUP(C29,[1]Sheet1!$F:$H,3,FALSE)</f>
        <v>1403, Arkade Serene Sunder Nagar, S.V.Road, Malad (W,</v>
      </c>
    </row>
    <row r="30" spans="1:8" x14ac:dyDescent="0.25">
      <c r="A30" t="s">
        <v>59</v>
      </c>
      <c r="B30" t="s">
        <v>60</v>
      </c>
      <c r="C30">
        <v>9892444456</v>
      </c>
      <c r="D30" t="str">
        <f>_xlfn.IFNA(VLOOKUP(C30,CallLog_Latest!A:H,7,FALSE),"Not Called")</f>
        <v>Not Called</v>
      </c>
      <c r="E30" t="str">
        <f>IF(ISNA(VLOOKUP(C30,Registration!A:A,1,FALSE)),"Not Registered","Registered")</f>
        <v>Not Registered</v>
      </c>
      <c r="F30">
        <f>VLOOKUP(A30,Sheet1!A:B,2,FALSE)</f>
        <v>9920121726</v>
      </c>
      <c r="G30" t="str">
        <f>_xlfn.IFNA(VLOOKUP(C30,CallLog_Latest!A:H,8,FALSE),"")</f>
        <v/>
      </c>
      <c r="H30" t="str">
        <f>VLOOKUP(C30,[1]Sheet1!$F:$H,3,FALSE)</f>
        <v>1904, Ashmita Sand Dunes,Corner of Ahimsha Road, Near Dalmia College, Sunder Nagar, Malad (W</v>
      </c>
    </row>
    <row r="31" spans="1:8" x14ac:dyDescent="0.25">
      <c r="A31" t="s">
        <v>61</v>
      </c>
      <c r="B31" t="s">
        <v>62</v>
      </c>
      <c r="C31">
        <v>9819345040</v>
      </c>
      <c r="D31" t="str">
        <f>_xlfn.IFNA(VLOOKUP(C31,CallLog_Latest!A:H,7,FALSE),"Not Called")</f>
        <v>Phone Busy</v>
      </c>
      <c r="E31" t="str">
        <f>IF(ISNA(VLOOKUP(C31,Registration!A:A,1,FALSE)),"Not Registered","Registered")</f>
        <v>Not Registered</v>
      </c>
      <c r="F31">
        <f>VLOOKUP(A31,Sheet1!A:B,2,FALSE)</f>
        <v>9820779873</v>
      </c>
      <c r="G31" t="str">
        <f>_xlfn.IFNA(VLOOKUP(C31,CallLog_Latest!A:H,8,FALSE),"")</f>
        <v>Didnt attend call. Have dropped a message</v>
      </c>
      <c r="H31" t="str">
        <f>VLOOKUP(C31,[1]Sheet1!$F:$H,3,FALSE)</f>
        <v>Palm Court Complex, G -606    Link Road, Malad (W</v>
      </c>
    </row>
    <row r="32" spans="1:8" x14ac:dyDescent="0.25">
      <c r="A32" t="s">
        <v>63</v>
      </c>
      <c r="B32" t="s">
        <v>64</v>
      </c>
      <c r="C32">
        <v>9820798531</v>
      </c>
      <c r="D32" t="str">
        <f>_xlfn.IFNA(VLOOKUP(C32,CallLog_Latest!A:H,7,FALSE),"Not Called")</f>
        <v>Not Called</v>
      </c>
      <c r="E32" t="str">
        <f>IF(ISNA(VLOOKUP(C32,Registration!A:A,1,FALSE)),"Not Registered","Registered")</f>
        <v>Not Registered</v>
      </c>
      <c r="F32">
        <f>VLOOKUP(A32,Sheet1!A:B,2,FALSE)</f>
        <v>9930396709</v>
      </c>
      <c r="G32" t="str">
        <f>_xlfn.IFNA(VLOOKUP(C32,CallLog_Latest!A:H,8,FALSE),"")</f>
        <v/>
      </c>
      <c r="H32" t="str">
        <f>VLOOKUP(C32,[1]Sheet1!$F:$H,3,FALSE)</f>
        <v>Flat No 1702, Daffodil TOwer Pawan Baug Road</v>
      </c>
    </row>
    <row r="33" spans="1:8" x14ac:dyDescent="0.25">
      <c r="A33" t="s">
        <v>65</v>
      </c>
      <c r="B33" t="s">
        <v>66</v>
      </c>
      <c r="C33">
        <v>9821104708</v>
      </c>
      <c r="D33" t="str">
        <f>_xlfn.IFNA(VLOOKUP(C33,CallLog_Latest!A:H,7,FALSE),"Not Called")</f>
        <v>Not Called</v>
      </c>
      <c r="E33" t="str">
        <f>IF(ISNA(VLOOKUP(C33,Registration!A:A,1,FALSE)),"Not Registered","Registered")</f>
        <v>Not Registered</v>
      </c>
      <c r="F33">
        <f>VLOOKUP(A33,Sheet1!A:B,2,FALSE)</f>
        <v>7738892551</v>
      </c>
      <c r="G33" t="str">
        <f>_xlfn.IFNA(VLOOKUP(C33,CallLog_Latest!A:H,8,FALSE),"")</f>
        <v/>
      </c>
      <c r="H33" t="str">
        <f>VLOOKUP(C33,[1]Sheet1!$F:$H,3,FALSE)</f>
        <v>Daffodil Tower,Flat No. 1702 off Pawan Baug Road, Chincholi Fatak Malad (W</v>
      </c>
    </row>
    <row r="34" spans="1:8" x14ac:dyDescent="0.25">
      <c r="A34" t="s">
        <v>67</v>
      </c>
      <c r="B34" t="s">
        <v>68</v>
      </c>
      <c r="C34">
        <v>7666612335</v>
      </c>
      <c r="D34" t="str">
        <f>_xlfn.IFNA(VLOOKUP(C34,CallLog_Latest!A:H,7,FALSE),"Not Called")</f>
        <v>Not Called</v>
      </c>
      <c r="E34" t="str">
        <f>IF(ISNA(VLOOKUP(C34,Registration!A:A,1,FALSE)),"Not Registered","Registered")</f>
        <v>Not Registered</v>
      </c>
      <c r="F34">
        <f>VLOOKUP(A34,Sheet1!A:B,2,FALSE)</f>
        <v>9820251565</v>
      </c>
      <c r="G34" t="str">
        <f>_xlfn.IFNA(VLOOKUP(C34,CallLog_Latest!A:H,8,FALSE),"")</f>
        <v/>
      </c>
      <c r="H34" t="str">
        <f>VLOOKUP(C34,[1]Sheet1!$F:$H,3,FALSE)</f>
        <v>F/702  Krishna Residency  Behind Sunder Nagar  S V Road</v>
      </c>
    </row>
    <row r="35" spans="1:8" x14ac:dyDescent="0.25">
      <c r="A35" t="s">
        <v>69</v>
      </c>
      <c r="B35" t="s">
        <v>70</v>
      </c>
      <c r="C35">
        <v>9820746836</v>
      </c>
      <c r="D35" t="str">
        <f>_xlfn.IFNA(VLOOKUP(C35,CallLog_Latest!A:H,7,FALSE),"Not Called")</f>
        <v>Not Called</v>
      </c>
      <c r="E35" t="str">
        <f>IF(ISNA(VLOOKUP(C35,Registration!A:A,1,FALSE)),"Not Registered","Registered")</f>
        <v>Not Registered</v>
      </c>
      <c r="F35">
        <f>VLOOKUP(A35,Sheet1!A:B,2,FALSE)</f>
        <v>9968855475</v>
      </c>
      <c r="G35" t="str">
        <f>_xlfn.IFNA(VLOOKUP(C35,CallLog_Latest!A:H,8,FALSE),"")</f>
        <v/>
      </c>
      <c r="H35" t="str">
        <f>VLOOKUP(C35,[1]Sheet1!$F:$H,3,FALSE)</f>
        <v>B -204  Blue Orbit Chs Ltd  Goregaon Mulund Link Road Opp Yugdharma Tower Near Inorbit Mall  Malad (W</v>
      </c>
    </row>
    <row r="36" spans="1:8" x14ac:dyDescent="0.25">
      <c r="A36" t="s">
        <v>71</v>
      </c>
      <c r="B36" t="s">
        <v>72</v>
      </c>
      <c r="C36">
        <v>9820960490</v>
      </c>
      <c r="D36" t="str">
        <f>_xlfn.IFNA(VLOOKUP(C36,CallLog_Latest!A:H,7,FALSE),"Not Called")</f>
        <v>May be Attending</v>
      </c>
      <c r="E36" t="str">
        <f>IF(ISNA(VLOOKUP(C36,Registration!A:A,1,FALSE)),"Not Registered","Registered")</f>
        <v>Not Registered</v>
      </c>
      <c r="F36">
        <f>VLOOKUP(A36,Sheet1!A:B,2,FALSE)</f>
        <v>9405263833</v>
      </c>
      <c r="G36" t="str">
        <f>_xlfn.IFNA(VLOOKUP(C36,CallLog_Latest!A:H,8,FALSE),"")</f>
        <v>Will confirm soon</v>
      </c>
      <c r="H36" t="str">
        <f>VLOOKUP(C36,[1]Sheet1!$F:$H,3,FALSE)</f>
        <v>B - 601  Dheeraj Solitaire Chincholi Bunder Road  Near Link Road  Malad (W</v>
      </c>
    </row>
    <row r="37" spans="1:8" x14ac:dyDescent="0.25">
      <c r="A37" t="s">
        <v>73</v>
      </c>
      <c r="B37" t="s">
        <v>74</v>
      </c>
      <c r="C37">
        <v>9819383377</v>
      </c>
      <c r="D37" t="str">
        <f>_xlfn.IFNA(VLOOKUP(C37,CallLog_Latest!A:H,7,FALSE),"Not Called")</f>
        <v>Not Coming 🚫</v>
      </c>
      <c r="E37" t="str">
        <f>IF(ISNA(VLOOKUP(C37,Registration!A:A,1,FALSE)),"Not Registered","Registered")</f>
        <v>Not Registered</v>
      </c>
      <c r="F37">
        <f>VLOOKUP(A37,Sheet1!A:B,2,FALSE)</f>
        <v>8879433174</v>
      </c>
      <c r="G37">
        <f>_xlfn.IFNA(VLOOKUP(C37,CallLog_Latest!A:H,8,FALSE),"")</f>
        <v>0</v>
      </c>
      <c r="H37" t="str">
        <f>VLOOKUP(C37,[1]Sheet1!$F:$H,3,FALSE)</f>
        <v>802  Simplex KhushAagan S.V.Road  Vijaykarwadi  Opp. Indian Oil Petrol Pump</v>
      </c>
    </row>
    <row r="38" spans="1:8" x14ac:dyDescent="0.25">
      <c r="A38" t="s">
        <v>75</v>
      </c>
      <c r="B38" t="s">
        <v>76</v>
      </c>
      <c r="C38">
        <v>9829049614</v>
      </c>
      <c r="D38" t="str">
        <f>_xlfn.IFNA(VLOOKUP(C38,CallLog_Latest!A:H,7,FALSE),"Not Called")</f>
        <v>Not Called</v>
      </c>
      <c r="E38" t="str">
        <f>IF(ISNA(VLOOKUP(C38,Registration!A:A,1,FALSE)),"Not Registered","Registered")</f>
        <v>Not Registered</v>
      </c>
      <c r="F38">
        <f>VLOOKUP(A38,Sheet1!A:B,2,FALSE)</f>
        <v>9993325021</v>
      </c>
      <c r="G38" t="str">
        <f>_xlfn.IFNA(VLOOKUP(C38,CallLog_Latest!A:H,8,FALSE),"")</f>
        <v/>
      </c>
      <c r="H38" t="str">
        <f>VLOOKUP(C38,[1]Sheet1!$F:$H,3,FALSE)</f>
        <v>Evershine Nagar Link, Opp. Movie Time Theater</v>
      </c>
    </row>
    <row r="39" spans="1:8" x14ac:dyDescent="0.25">
      <c r="A39" t="s">
        <v>12</v>
      </c>
      <c r="B39" t="s">
        <v>77</v>
      </c>
      <c r="C39">
        <v>9819920011</v>
      </c>
      <c r="D39" t="str">
        <f>_xlfn.IFNA(VLOOKUP(C39,CallLog_Latest!A:H,7,FALSE),"Not Called")</f>
        <v>Phone Busy</v>
      </c>
      <c r="E39" t="str">
        <f>IF(ISNA(VLOOKUP(C39,Registration!A:A,1,FALSE)),"Not Registered","Registered")</f>
        <v>Not Registered</v>
      </c>
      <c r="F39">
        <f>VLOOKUP(A39,Sheet1!A:B,2,FALSE)</f>
        <v>9820454734</v>
      </c>
      <c r="G39">
        <f>_xlfn.IFNA(VLOOKUP(C39,CallLog_Latest!A:H,8,FALSE),"")</f>
        <v>0</v>
      </c>
      <c r="H39" t="str">
        <f>VLOOKUP(C39,[1]Sheet1!$F:$H,3,FALSE)</f>
        <v>B 607  Dheeraj Pooja Chincholi Bunder Road</v>
      </c>
    </row>
    <row r="40" spans="1:8" x14ac:dyDescent="0.25">
      <c r="A40" t="s">
        <v>78</v>
      </c>
      <c r="B40" t="s">
        <v>79</v>
      </c>
      <c r="C40">
        <v>9833202274</v>
      </c>
      <c r="D40" t="str">
        <f>_xlfn.IFNA(VLOOKUP(C40,CallLog_Latest!A:H,7,FALSE),"Not Called")</f>
        <v>May be Attending</v>
      </c>
      <c r="E40" t="str">
        <f>IF(ISNA(VLOOKUP(C40,Registration!A:A,1,FALSE)),"Not Registered","Registered")</f>
        <v>Not Registered</v>
      </c>
      <c r="F40">
        <f>VLOOKUP(A40,Sheet1!A:B,2,FALSE)</f>
        <v>9029105124</v>
      </c>
      <c r="G40">
        <f>_xlfn.IFNA(VLOOKUP(C40,CallLog_Latest!A:H,8,FALSE),"")</f>
        <v>0</v>
      </c>
      <c r="H40" t="str">
        <f>VLOOKUP(C40,[1]Sheet1!$F:$H,3,FALSE)</f>
        <v>1102 a-wing  Jaswanti Garden Behind Liberty Garden</v>
      </c>
    </row>
    <row r="41" spans="1:8" x14ac:dyDescent="0.25">
      <c r="A41" t="s">
        <v>80</v>
      </c>
      <c r="B41" t="s">
        <v>81</v>
      </c>
      <c r="C41">
        <v>9820968744</v>
      </c>
      <c r="D41" t="str">
        <f>_xlfn.IFNA(VLOOKUP(C41,CallLog_Latest!A:H,7,FALSE),"Not Called")</f>
        <v>Not Called</v>
      </c>
      <c r="E41" t="str">
        <f>IF(ISNA(VLOOKUP(C41,Registration!A:A,1,FALSE)),"Not Registered","Registered")</f>
        <v>Not Registered</v>
      </c>
      <c r="F41">
        <f>VLOOKUP(A41,Sheet1!A:B,2,FALSE)</f>
        <v>9599704370</v>
      </c>
      <c r="G41" t="str">
        <f>_xlfn.IFNA(VLOOKUP(C41,CallLog_Latest!A:H,8,FALSE),"")</f>
        <v/>
      </c>
      <c r="H41" t="str">
        <f>VLOOKUP(C41,[1]Sheet1!$F:$H,3,FALSE)</f>
        <v>B 607  Dheeraj Pooja Chincholi Bunder Road</v>
      </c>
    </row>
    <row r="42" spans="1:8" x14ac:dyDescent="0.25">
      <c r="A42" t="s">
        <v>82</v>
      </c>
      <c r="B42" t="s">
        <v>83</v>
      </c>
      <c r="C42">
        <v>9326379737</v>
      </c>
      <c r="D42" t="str">
        <f>_xlfn.IFNA(VLOOKUP(C42,CallLog_Latest!A:H,7,FALSE),"Not Called")</f>
        <v>Confirmed Presence ✅</v>
      </c>
      <c r="E42" t="str">
        <f>IF(ISNA(VLOOKUP(C42,Registration!A:A,1,FALSE)),"Not Registered","Registered")</f>
        <v>Not Registered</v>
      </c>
      <c r="F42">
        <f>VLOOKUP(A42,Sheet1!A:B,2,FALSE)</f>
        <v>9824100412</v>
      </c>
      <c r="G42">
        <f>_xlfn.IFNA(VLOOKUP(C42,CallLog_Latest!A:H,8,FALSE),"")</f>
        <v>0</v>
      </c>
      <c r="H42" t="str">
        <f>VLOOKUP(C42,[1]Sheet1!$F:$H,3,FALSE)</f>
        <v>Chandak Heritage Bldg. 5th Floor  Flat no. 502  Goraswadi  Nr. Kailash Laundry. S.V. Road  Opp Patel Petrol Pump</v>
      </c>
    </row>
    <row r="43" spans="1:8" x14ac:dyDescent="0.25">
      <c r="A43" t="s">
        <v>84</v>
      </c>
      <c r="B43" t="s">
        <v>85</v>
      </c>
      <c r="C43">
        <v>9967045520</v>
      </c>
      <c r="D43" t="str">
        <f>_xlfn.IFNA(VLOOKUP(C43,CallLog_Latest!A:H,7,FALSE),"Not Called")</f>
        <v>Confirmed Presence</v>
      </c>
      <c r="E43" t="str">
        <f>IF(ISNA(VLOOKUP(C43,Registration!A:A,1,FALSE)),"Not Registered","Registered")</f>
        <v>Not Registered</v>
      </c>
      <c r="F43">
        <f>VLOOKUP(A43,Sheet1!A:B,2,FALSE)</f>
        <v>9225211083</v>
      </c>
      <c r="G43">
        <f>_xlfn.IFNA(VLOOKUP(C43,CallLog_Latest!A:H,8,FALSE),"")</f>
        <v>0</v>
      </c>
      <c r="H43" t="str">
        <f>VLOOKUP(C43,[1]Sheet1!$F:$H,3,FALSE)</f>
        <v>C-1202  Interface Heights  Off New Link Road Near Goregaon Sports Club</v>
      </c>
    </row>
    <row r="44" spans="1:8" x14ac:dyDescent="0.25">
      <c r="A44" t="s">
        <v>86</v>
      </c>
      <c r="B44" t="s">
        <v>87</v>
      </c>
      <c r="C44">
        <v>9892989978</v>
      </c>
      <c r="D44" t="str">
        <f>_xlfn.IFNA(VLOOKUP(C44,CallLog_Latest!A:H,7,FALSE),"Not Called")</f>
        <v>Not Called</v>
      </c>
      <c r="E44" t="str">
        <f>IF(ISNA(VLOOKUP(C44,Registration!A:A,1,FALSE)),"Not Registered","Registered")</f>
        <v>Not Registered</v>
      </c>
      <c r="F44">
        <f>VLOOKUP(A44,Sheet1!A:B,2,FALSE)</f>
        <v>9930252076</v>
      </c>
      <c r="G44" t="str">
        <f>_xlfn.IFNA(VLOOKUP(C44,CallLog_Latest!A:H,8,FALSE),"")</f>
        <v/>
      </c>
      <c r="H44" t="str">
        <f>VLOOKUP(C44,[1]Sheet1!$F:$H,3,FALSE)</f>
        <v>B-201, Shiv Gauri Appartment, Chincholi Bunder Road, Off Link Road, Near Privilege Hotel, Malad (W</v>
      </c>
    </row>
    <row r="45" spans="1:8" x14ac:dyDescent="0.25">
      <c r="A45" t="s">
        <v>88</v>
      </c>
      <c r="B45" t="s">
        <v>89</v>
      </c>
      <c r="C45">
        <v>9920121726</v>
      </c>
      <c r="D45" t="str">
        <f>_xlfn.IFNA(VLOOKUP(C45,CallLog_Latest!A:H,7,FALSE),"Not Called")</f>
        <v>Not Called</v>
      </c>
      <c r="E45" t="str">
        <f>IF(ISNA(VLOOKUP(C45,Registration!A:A,1,FALSE)),"Not Registered","Registered")</f>
        <v>Not Registered</v>
      </c>
      <c r="F45">
        <f>VLOOKUP(A45,Sheet1!A:B,2,FALSE)</f>
        <v>9661270782</v>
      </c>
      <c r="G45" t="str">
        <f>_xlfn.IFNA(VLOOKUP(C45,CallLog_Latest!A:H,8,FALSE),"")</f>
        <v/>
      </c>
      <c r="H45" t="str">
        <f>VLOOKUP(C45,[1]Sheet1!$F:$H,3,FALSE)</f>
        <v>Asmita Sand Dune, 302 Above Global Chemist, Sunder Nagar, Malad (W</v>
      </c>
    </row>
    <row r="46" spans="1:8" x14ac:dyDescent="0.25">
      <c r="A46" t="s">
        <v>90</v>
      </c>
      <c r="B46" t="s">
        <v>91</v>
      </c>
      <c r="C46">
        <v>9820432076</v>
      </c>
      <c r="D46" t="str">
        <f>_xlfn.IFNA(VLOOKUP(C46,CallLog_Latest!A:H,7,FALSE),"Not Called")</f>
        <v>Not Called</v>
      </c>
      <c r="E46" t="str">
        <f>IF(ISNA(VLOOKUP(C46,Registration!A:A,1,FALSE)),"Not Registered","Registered")</f>
        <v>Not Registered</v>
      </c>
      <c r="F46">
        <f>VLOOKUP(A46,Sheet1!A:B,2,FALSE)</f>
        <v>9819128389</v>
      </c>
      <c r="G46" t="str">
        <f>_xlfn.IFNA(VLOOKUP(C46,CallLog_Latest!A:H,8,FALSE),"")</f>
        <v/>
      </c>
      <c r="H46" t="str">
        <f>VLOOKUP(C46,[1]Sheet1!$F:$H,3,FALSE)</f>
        <v>Asmita Sand Dune, 302 Above Global Chemist, Sunder Nagar, Malad (W</v>
      </c>
    </row>
    <row r="47" spans="1:8" x14ac:dyDescent="0.25">
      <c r="A47" t="s">
        <v>92</v>
      </c>
      <c r="B47" t="s">
        <v>93</v>
      </c>
      <c r="C47">
        <v>9833224506</v>
      </c>
      <c r="D47" t="str">
        <f>_xlfn.IFNA(VLOOKUP(C47,CallLog_Latest!A:H,7,FALSE),"Not Called")</f>
        <v>Not Called</v>
      </c>
      <c r="E47" t="str">
        <f>IF(ISNA(VLOOKUP(C47,Registration!A:A,1,FALSE)),"Not Registered","Registered")</f>
        <v>Not Registered</v>
      </c>
      <c r="F47">
        <f>VLOOKUP(A47,Sheet1!A:B,2,FALSE)</f>
        <v>8268665777</v>
      </c>
      <c r="G47" t="str">
        <f>_xlfn.IFNA(VLOOKUP(C47,CallLog_Latest!A:H,8,FALSE),"")</f>
        <v/>
      </c>
      <c r="H47" t="str">
        <f>VLOOKUP(C47,[1]Sheet1!$F:$H,3,FALSE)</f>
        <v>Asmita Sand Dune, 302 Above Global Chemist, Sunder Nagar, Malad (W</v>
      </c>
    </row>
    <row r="48" spans="1:8" x14ac:dyDescent="0.25">
      <c r="A48" t="s">
        <v>94</v>
      </c>
      <c r="B48" t="s">
        <v>95</v>
      </c>
      <c r="C48">
        <v>9324268981</v>
      </c>
      <c r="D48" t="str">
        <f>_xlfn.IFNA(VLOOKUP(C48,CallLog_Latest!A:H,7,FALSE),"Not Called")</f>
        <v>Not Called</v>
      </c>
      <c r="E48" t="str">
        <f>IF(ISNA(VLOOKUP(C48,Registration!A:A,1,FALSE)),"Not Registered","Registered")</f>
        <v>Not Registered</v>
      </c>
      <c r="F48">
        <f>VLOOKUP(A48,Sheet1!A:B,2,FALSE)</f>
        <v>9920085455</v>
      </c>
      <c r="G48" t="str">
        <f>_xlfn.IFNA(VLOOKUP(C48,CallLog_Latest!A:H,8,FALSE),"")</f>
        <v/>
      </c>
      <c r="H48" t="str">
        <f>VLOOKUP(C48,[1]Sheet1!$F:$H,3,FALSE)</f>
        <v>B/702  Krishna Regency Opp D.G Khetan School  Sunder Nagar</v>
      </c>
    </row>
    <row r="49" spans="1:8" x14ac:dyDescent="0.25">
      <c r="A49" t="s">
        <v>96</v>
      </c>
      <c r="B49" t="s">
        <v>97</v>
      </c>
      <c r="C49">
        <v>9820144705</v>
      </c>
      <c r="D49" t="str">
        <f>_xlfn.IFNA(VLOOKUP(C49,CallLog_Latest!A:H,7,FALSE),"Not Called")</f>
        <v>Not Reachable</v>
      </c>
      <c r="E49" t="str">
        <f>IF(ISNA(VLOOKUP(C49,Registration!A:A,1,FALSE)),"Not Registered","Registered")</f>
        <v>Not Registered</v>
      </c>
      <c r="F49">
        <f>VLOOKUP(A49,Sheet1!A:B,2,FALSE)</f>
        <v>9424584007</v>
      </c>
      <c r="G49" t="str">
        <f>_xlfn.IFNA(VLOOKUP(C49,CallLog_Latest!A:H,8,FALSE),"")</f>
        <v>Call not picked</v>
      </c>
      <c r="H49" t="str">
        <f>VLOOKUP(C49,[1]Sheet1!$F:$H,3,FALSE)</f>
        <v>Flat No.903/904  Daffodil Tower Pawan Baug Road  Near Chincholi Phatak</v>
      </c>
    </row>
    <row r="50" spans="1:8" x14ac:dyDescent="0.25">
      <c r="A50" t="s">
        <v>3</v>
      </c>
      <c r="B50" t="s">
        <v>98</v>
      </c>
      <c r="C50">
        <v>9322019125</v>
      </c>
      <c r="D50" t="str">
        <f>_xlfn.IFNA(VLOOKUP(C50,CallLog_Latest!A:H,7,FALSE),"Not Called")</f>
        <v>Not Called</v>
      </c>
      <c r="E50" t="str">
        <f>IF(ISNA(VLOOKUP(C50,Registration!A:A,1,FALSE)),"Not Registered","Registered")</f>
        <v>Not Registered</v>
      </c>
      <c r="F50">
        <f>VLOOKUP(A50,Sheet1!A:B,2,FALSE)</f>
        <v>9326379737</v>
      </c>
      <c r="G50" t="str">
        <f>_xlfn.IFNA(VLOOKUP(C50,CallLog_Latest!A:H,8,FALSE),"")</f>
        <v/>
      </c>
      <c r="H50" t="str">
        <f>VLOOKUP(C50,[1]Sheet1!$F:$H,3,FALSE)</f>
        <v>B/702  Krishna Regency Opp D.G Khetan School  Sunder Nagar</v>
      </c>
    </row>
    <row r="51" spans="1:8" x14ac:dyDescent="0.25">
      <c r="A51" t="s">
        <v>5</v>
      </c>
      <c r="B51" t="s">
        <v>99</v>
      </c>
      <c r="C51">
        <v>9987888951</v>
      </c>
      <c r="D51" t="str">
        <f>_xlfn.IFNA(VLOOKUP(C51,CallLog_Latest!A:H,7,FALSE),"Not Called")</f>
        <v>Not Called</v>
      </c>
      <c r="E51" t="str">
        <f>IF(ISNA(VLOOKUP(C51,Registration!A:A,1,FALSE)),"Not Registered","Registered")</f>
        <v>Not Registered</v>
      </c>
      <c r="F51">
        <f>VLOOKUP(A51,Sheet1!A:B,2,FALSE)</f>
        <v>9323541634</v>
      </c>
      <c r="G51" t="str">
        <f>_xlfn.IFNA(VLOOKUP(C51,CallLog_Latest!A:H,8,FALSE),"")</f>
        <v/>
      </c>
      <c r="H51" t="str">
        <f>VLOOKUP(C51,[1]Sheet1!$F:$H,3,FALSE)</f>
        <v>Manali Building NO. 4 CHSL, 4B/42 Evershine Nagar, Malad (W</v>
      </c>
    </row>
    <row r="52" spans="1:8" x14ac:dyDescent="0.25">
      <c r="A52" t="s">
        <v>7</v>
      </c>
      <c r="B52" t="s">
        <v>71</v>
      </c>
      <c r="C52">
        <v>9405263833</v>
      </c>
      <c r="D52" t="str">
        <f>_xlfn.IFNA(VLOOKUP(C52,CallLog_Latest!A:H,7,FALSE),"Not Called")</f>
        <v>Not Called</v>
      </c>
      <c r="E52" t="str">
        <f>IF(ISNA(VLOOKUP(C52,Registration!A:A,1,FALSE)),"Not Registered","Registered")</f>
        <v>Not Registered</v>
      </c>
      <c r="F52">
        <f>VLOOKUP(A52,Sheet1!A:B,2,FALSE)</f>
        <v>9867015031</v>
      </c>
      <c r="G52" t="str">
        <f>_xlfn.IFNA(VLOOKUP(C52,CallLog_Latest!A:H,8,FALSE),"")</f>
        <v/>
      </c>
      <c r="H52" t="str">
        <f>VLOOKUP(C52,[1]Sheet1!$F:$H,3,FALSE)</f>
        <v>704, Kingston Height, Chincholi Bunder Road, Malad (W</v>
      </c>
    </row>
    <row r="53" spans="1:8" x14ac:dyDescent="0.25">
      <c r="A53" t="s">
        <v>9</v>
      </c>
      <c r="B53" t="s">
        <v>100</v>
      </c>
      <c r="C53">
        <v>9324234555</v>
      </c>
      <c r="D53" t="str">
        <f>_xlfn.IFNA(VLOOKUP(C53,CallLog_Latest!A:H,7,FALSE),"Not Called")</f>
        <v>Not Called</v>
      </c>
      <c r="E53" t="str">
        <f>IF(ISNA(VLOOKUP(C53,Registration!A:A,1,FALSE)),"Not Registered","Registered")</f>
        <v>Not Registered</v>
      </c>
      <c r="F53">
        <f>VLOOKUP(A53,Sheet1!A:B,2,FALSE)</f>
        <v>9821268271</v>
      </c>
      <c r="G53" t="str">
        <f>_xlfn.IFNA(VLOOKUP(C53,CallLog_Latest!A:H,8,FALSE),"")</f>
        <v/>
      </c>
      <c r="H53" t="str">
        <f>VLOOKUP(C53,[1]Sheet1!$F:$H,3,FALSE)</f>
        <v>B - 1102 / B Romell Diva   Off Chincholi Bunder Road  Near Bhujale Talao  Malad (W</v>
      </c>
    </row>
    <row r="54" spans="1:8" x14ac:dyDescent="0.25">
      <c r="A54" t="s">
        <v>11</v>
      </c>
      <c r="B54" t="s">
        <v>101</v>
      </c>
      <c r="C54">
        <v>9820450815</v>
      </c>
      <c r="D54" t="str">
        <f>_xlfn.IFNA(VLOOKUP(C54,CallLog_Latest!A:H,7,FALSE),"Not Called")</f>
        <v>Not Called</v>
      </c>
      <c r="E54" t="str">
        <f>IF(ISNA(VLOOKUP(C54,Registration!A:A,1,FALSE)),"Not Registered","Registered")</f>
        <v>Not Registered</v>
      </c>
      <c r="F54">
        <f>VLOOKUP(A54,Sheet1!A:B,2,FALSE)</f>
        <v>9322598681</v>
      </c>
      <c r="G54" t="str">
        <f>_xlfn.IFNA(VLOOKUP(C54,CallLog_Latest!A:H,8,FALSE),"")</f>
        <v/>
      </c>
      <c r="H54" t="str">
        <f>VLOOKUP(C54,[1]Sheet1!$F:$H,3,FALSE)</f>
        <v>D-504  Krishna Residency  5th Floor Behind Sundar Nagar  S V Road</v>
      </c>
    </row>
    <row r="55" spans="1:8" x14ac:dyDescent="0.25">
      <c r="A55" t="s">
        <v>13</v>
      </c>
      <c r="B55" t="s">
        <v>102</v>
      </c>
      <c r="C55">
        <v>9867745206</v>
      </c>
      <c r="D55" t="str">
        <f>_xlfn.IFNA(VLOOKUP(C55,CallLog_Latest!A:H,7,FALSE),"Not Called")</f>
        <v>Not Called</v>
      </c>
      <c r="E55" t="str">
        <f>IF(ISNA(VLOOKUP(C55,Registration!A:A,1,FALSE)),"Not Registered","Registered")</f>
        <v>Not Registered</v>
      </c>
      <c r="F55">
        <f>VLOOKUP(A55,Sheet1!A:B,2,FALSE)</f>
        <v>9969403870</v>
      </c>
      <c r="G55" t="str">
        <f>_xlfn.IFNA(VLOOKUP(C55,CallLog_Latest!A:H,8,FALSE),"")</f>
        <v/>
      </c>
      <c r="H55" t="str">
        <f>VLOOKUP(C55,[1]Sheet1!$F:$H,3,FALSE)</f>
        <v>508  Dhanmahal N.l. School  S.v.road, Malad (W</v>
      </c>
    </row>
    <row r="56" spans="1:8" x14ac:dyDescent="0.25">
      <c r="A56" t="s">
        <v>15</v>
      </c>
      <c r="B56" t="s">
        <v>57</v>
      </c>
      <c r="C56">
        <v>9101910341</v>
      </c>
      <c r="D56" t="str">
        <f>_xlfn.IFNA(VLOOKUP(C56,CallLog_Latest!A:H,7,FALSE),"Not Called")</f>
        <v>Not Called</v>
      </c>
      <c r="E56" t="str">
        <f>IF(ISNA(VLOOKUP(C56,Registration!A:A,1,FALSE)),"Not Registered","Registered")</f>
        <v>Not Registered</v>
      </c>
      <c r="F56">
        <f>VLOOKUP(A56,Sheet1!A:B,2,FALSE)</f>
        <v>9892726278</v>
      </c>
      <c r="G56" t="str">
        <f>_xlfn.IFNA(VLOOKUP(C56,CallLog_Latest!A:H,8,FALSE),"")</f>
        <v/>
      </c>
      <c r="H56" t="str">
        <f>VLOOKUP(C56,[1]Sheet1!$F:$H,3,FALSE)</f>
        <v>17-A  Shyamkunj, 6th Road, Mamledarwadi, Malad (W</v>
      </c>
    </row>
    <row r="57" spans="1:8" x14ac:dyDescent="0.25">
      <c r="A57" t="s">
        <v>17</v>
      </c>
      <c r="B57" t="s">
        <v>103</v>
      </c>
      <c r="C57">
        <v>9224198417</v>
      </c>
      <c r="D57" t="str">
        <f>_xlfn.IFNA(VLOOKUP(C57,CallLog_Latest!A:H,7,FALSE),"Not Called")</f>
        <v>Confirmed Presence ✅</v>
      </c>
      <c r="E57" t="str">
        <f>IF(ISNA(VLOOKUP(C57,Registration!A:A,1,FALSE)),"Not Registered","Registered")</f>
        <v>Not Registered</v>
      </c>
      <c r="F57">
        <f>VLOOKUP(A57,Sheet1!A:B,2,FALSE)</f>
        <v>9869798705</v>
      </c>
      <c r="G57">
        <f>_xlfn.IFNA(VLOOKUP(C57,CallLog_Latest!A:H,8,FALSE),"")</f>
        <v>0</v>
      </c>
      <c r="H57" t="str">
        <f>VLOOKUP(C57,[1]Sheet1!$F:$H,3,FALSE)</f>
        <v>Rahul Building Room No. 407  1/c  4th Floor Nr. Malad Gym Khana Marve Road, Malad (W</v>
      </c>
    </row>
    <row r="58" spans="1:8" x14ac:dyDescent="0.25">
      <c r="A58" t="s">
        <v>19</v>
      </c>
      <c r="B58" t="s">
        <v>104</v>
      </c>
      <c r="C58">
        <v>9321046554</v>
      </c>
      <c r="D58" t="str">
        <f>_xlfn.IFNA(VLOOKUP(C58,CallLog_Latest!A:H,7,FALSE),"Not Called")</f>
        <v>Not Called</v>
      </c>
      <c r="E58" t="str">
        <f>IF(ISNA(VLOOKUP(C58,Registration!A:A,1,FALSE)),"Not Registered","Registered")</f>
        <v>Not Registered</v>
      </c>
      <c r="F58">
        <f>VLOOKUP(A58,Sheet1!A:B,2,FALSE)</f>
        <v>9820265640</v>
      </c>
      <c r="G58" t="str">
        <f>_xlfn.IFNA(VLOOKUP(C58,CallLog_Latest!A:H,8,FALSE),"")</f>
        <v/>
      </c>
      <c r="H58" t="str">
        <f>VLOOKUP(C58,[1]Sheet1!$F:$H,3,FALSE)</f>
        <v>Auris Serenity Flat 1205 Tower-1 Kachpada, Off Link Road, Near Silver Oaks Hotel, Malad (W</v>
      </c>
    </row>
    <row r="59" spans="1:8" x14ac:dyDescent="0.25">
      <c r="A59" t="s">
        <v>21</v>
      </c>
      <c r="B59" t="s">
        <v>105</v>
      </c>
      <c r="C59">
        <v>9987001430</v>
      </c>
      <c r="D59" t="str">
        <f>_xlfn.IFNA(VLOOKUP(C59,CallLog_Latest!A:H,7,FALSE),"Not Called")</f>
        <v>Not Called</v>
      </c>
      <c r="E59" t="str">
        <f>IF(ISNA(VLOOKUP(C59,Registration!A:A,1,FALSE)),"Not Registered","Registered")</f>
        <v>Not Registered</v>
      </c>
      <c r="F59">
        <f>VLOOKUP(A59,Sheet1!A:B,2,FALSE)</f>
        <v>9820636392</v>
      </c>
      <c r="G59" t="str">
        <f>_xlfn.IFNA(VLOOKUP(C59,CallLog_Latest!A:H,8,FALSE),"")</f>
        <v/>
      </c>
      <c r="H59" t="str">
        <f>VLOOKUP(C59,[1]Sheet1!$F:$H,3,FALSE)</f>
        <v>B-703, Krishna Regency, Opp. DG Khetan School Above HDFC Bank, Malad (W</v>
      </c>
    </row>
    <row r="60" spans="1:8" x14ac:dyDescent="0.25">
      <c r="A60" t="s">
        <v>23</v>
      </c>
      <c r="B60" t="s">
        <v>106</v>
      </c>
      <c r="C60">
        <v>9322553303</v>
      </c>
      <c r="D60" t="str">
        <f>_xlfn.IFNA(VLOOKUP(C60,CallLog_Latest!A:H,7,FALSE),"Not Called")</f>
        <v>Not Called</v>
      </c>
      <c r="E60" t="str">
        <f>IF(ISNA(VLOOKUP(C60,Registration!A:A,1,FALSE)),"Not Registered","Registered")</f>
        <v>Not Registered</v>
      </c>
      <c r="F60">
        <f>VLOOKUP(A60,Sheet1!A:B,2,FALSE)</f>
        <v>7977439717</v>
      </c>
      <c r="G60" t="str">
        <f>_xlfn.IFNA(VLOOKUP(C60,CallLog_Latest!A:H,8,FALSE),"")</f>
        <v/>
      </c>
      <c r="H60" t="str">
        <f>VLOOKUP(C60,[1]Sheet1!$F:$H,3,FALSE)</f>
        <v>A 201  Evershine Grandeur CHS  Next to Rustomjee Elanza  Mindspace  Link Road  Malad (W</v>
      </c>
    </row>
    <row r="61" spans="1:8" x14ac:dyDescent="0.25">
      <c r="A61" t="s">
        <v>25</v>
      </c>
      <c r="B61" t="s">
        <v>55</v>
      </c>
      <c r="C61">
        <v>9819083540</v>
      </c>
      <c r="D61" t="str">
        <f>_xlfn.IFNA(VLOOKUP(C61,CallLog_Latest!A:H,7,FALSE),"Not Called")</f>
        <v>Not Called</v>
      </c>
      <c r="E61" t="str">
        <f>IF(ISNA(VLOOKUP(C61,Registration!A:A,1,FALSE)),"Not Registered","Registered")</f>
        <v>Not Registered</v>
      </c>
      <c r="F61">
        <f>VLOOKUP(A61,Sheet1!A:B,2,FALSE)</f>
        <v>9967045520</v>
      </c>
      <c r="G61" t="str">
        <f>_xlfn.IFNA(VLOOKUP(C61,CallLog_Latest!A:H,8,FALSE),"")</f>
        <v/>
      </c>
      <c r="H61" t="str">
        <f>VLOOKUP(C61,[1]Sheet1!$F:$H,3,FALSE)</f>
        <v>C-4-6 Sunder Nagar, S V Road, Malad (W,</v>
      </c>
    </row>
    <row r="62" spans="1:8" x14ac:dyDescent="0.25">
      <c r="A62" t="s">
        <v>27</v>
      </c>
      <c r="B62" t="s">
        <v>107</v>
      </c>
      <c r="C62">
        <v>9892055604</v>
      </c>
      <c r="D62" t="str">
        <f>_xlfn.IFNA(VLOOKUP(C62,CallLog_Latest!A:H,7,FALSE),"Not Called")</f>
        <v>Not Called</v>
      </c>
      <c r="E62" t="str">
        <f>IF(ISNA(VLOOKUP(C62,Registration!A:A,1,FALSE)),"Not Registered","Registered")</f>
        <v>Not Registered</v>
      </c>
      <c r="F62">
        <f>VLOOKUP(A62,Sheet1!A:B,2,FALSE)</f>
        <v>9820075931</v>
      </c>
      <c r="G62" t="str">
        <f>_xlfn.IFNA(VLOOKUP(C62,CallLog_Latest!A:H,8,FALSE),"")</f>
        <v/>
      </c>
      <c r="H62" t="str">
        <f>VLOOKUP(C62,[1]Sheet1!$F:$H,3,FALSE)</f>
        <v>G-10/10 Rani Sati Nagar 3rd Floor S V Road Malad W Mumbai .</v>
      </c>
    </row>
    <row r="63" spans="1:8" x14ac:dyDescent="0.25">
      <c r="A63" t="s">
        <v>29</v>
      </c>
      <c r="B63" t="s">
        <v>108</v>
      </c>
      <c r="C63">
        <v>9324425857</v>
      </c>
      <c r="D63" t="str">
        <f>_xlfn.IFNA(VLOOKUP(C63,CallLog_Latest!A:H,7,FALSE),"Not Called")</f>
        <v>Not Called</v>
      </c>
      <c r="E63" t="str">
        <f>IF(ISNA(VLOOKUP(C63,Registration!A:A,1,FALSE)),"Not Registered","Registered")</f>
        <v>Not Registered</v>
      </c>
      <c r="F63">
        <f>VLOOKUP(A63,Sheet1!A:B,2,FALSE)</f>
        <v>9819364345</v>
      </c>
      <c r="G63" t="str">
        <f>_xlfn.IFNA(VLOOKUP(C63,CallLog_Latest!A:H,8,FALSE),"")</f>
        <v/>
      </c>
      <c r="H63" t="str">
        <f>VLOOKUP(C63,[1]Sheet1!$F:$H,3,FALSE)</f>
        <v>1804, Asmita Sand Dunes, Ahimsa Marg, Malad - West</v>
      </c>
    </row>
    <row r="64" spans="1:8" x14ac:dyDescent="0.25">
      <c r="A64" t="s">
        <v>31</v>
      </c>
      <c r="B64" t="s">
        <v>109</v>
      </c>
      <c r="C64">
        <v>9892123876</v>
      </c>
      <c r="D64" t="str">
        <f>_xlfn.IFNA(VLOOKUP(C64,CallLog_Latest!A:H,7,FALSE),"Not Called")</f>
        <v>Not Reachable</v>
      </c>
      <c r="E64" t="str">
        <f>IF(ISNA(VLOOKUP(C64,Registration!A:A,1,FALSE)),"Not Registered","Registered")</f>
        <v>Not Registered</v>
      </c>
      <c r="F64">
        <f>VLOOKUP(A64,Sheet1!A:B,2,FALSE)</f>
        <v>9869064553</v>
      </c>
      <c r="G64">
        <f>_xlfn.IFNA(VLOOKUP(C64,CallLog_Latest!A:H,8,FALSE),"")</f>
        <v>0</v>
      </c>
      <c r="H64" t="str">
        <f>VLOOKUP(C64,[1]Sheet1!$F:$H,3,FALSE)</f>
        <v>C-4/5  Sunder Nagar S V Road</v>
      </c>
    </row>
    <row r="65" spans="1:8" x14ac:dyDescent="0.25">
      <c r="A65" t="s">
        <v>33</v>
      </c>
      <c r="B65" t="s">
        <v>110</v>
      </c>
      <c r="C65">
        <v>9321602436</v>
      </c>
      <c r="D65" t="str">
        <f>_xlfn.IFNA(VLOOKUP(C65,CallLog_Latest!A:H,7,FALSE),"Not Called")</f>
        <v>Not Called</v>
      </c>
      <c r="E65" t="str">
        <f>IF(ISNA(VLOOKUP(C65,Registration!A:A,1,FALSE)),"Not Registered","Registered")</f>
        <v>Not Registered</v>
      </c>
      <c r="F65">
        <f>VLOOKUP(A65,Sheet1!A:B,2,FALSE)</f>
        <v>9930070116</v>
      </c>
      <c r="G65" t="str">
        <f>_xlfn.IFNA(VLOOKUP(C65,CallLog_Latest!A:H,8,FALSE),"")</f>
        <v/>
      </c>
      <c r="H65" t="str">
        <f>VLOOKUP(C65,[1]Sheet1!$F:$H,3,FALSE)</f>
        <v>Auris serenity tower 1,5005 Guriya pada, link road, Malad west</v>
      </c>
    </row>
    <row r="66" spans="1:8" x14ac:dyDescent="0.25">
      <c r="A66" t="s">
        <v>35</v>
      </c>
      <c r="B66" t="s">
        <v>111</v>
      </c>
      <c r="C66">
        <v>9869005638</v>
      </c>
      <c r="D66" t="str">
        <f>_xlfn.IFNA(VLOOKUP(C66,CallLog_Latest!A:H,7,FALSE),"Not Called")</f>
        <v>Not Reachable</v>
      </c>
      <c r="E66" t="str">
        <f>IF(ISNA(VLOOKUP(C66,Registration!A:A,1,FALSE)),"Not Registered","Registered")</f>
        <v>Not Registered</v>
      </c>
      <c r="F66">
        <f>VLOOKUP(A66,Sheet1!A:B,2,FALSE)</f>
        <v>9833705425</v>
      </c>
      <c r="G66" t="str">
        <f>_xlfn.IFNA(VLOOKUP(C66,CallLog_Latest!A:H,8,FALSE),"")</f>
        <v>Incorrect number</v>
      </c>
      <c r="H66" t="str">
        <f>VLOOKUP(C66,[1]Sheet1!$F:$H,3,FALSE)</f>
        <v>G-11/15 Shri Rani Sati Nagar S V Road</v>
      </c>
    </row>
    <row r="67" spans="1:8" x14ac:dyDescent="0.25">
      <c r="A67" t="s">
        <v>37</v>
      </c>
      <c r="B67" t="s">
        <v>112</v>
      </c>
      <c r="C67">
        <v>9820385328</v>
      </c>
      <c r="D67" t="str">
        <f>_xlfn.IFNA(VLOOKUP(C67,CallLog_Latest!A:H,7,FALSE),"Not Called")</f>
        <v>Not Called</v>
      </c>
      <c r="E67" t="str">
        <f>IF(ISNA(VLOOKUP(C67,Registration!A:A,1,FALSE)),"Not Registered","Registered")</f>
        <v>Not Registered</v>
      </c>
      <c r="F67">
        <f>VLOOKUP(A67,Sheet1!A:B,2,FALSE)</f>
        <v>9167390835</v>
      </c>
      <c r="G67" t="str">
        <f>_xlfn.IFNA(VLOOKUP(C67,CallLog_Latest!A:H,8,FALSE),"")</f>
        <v/>
      </c>
      <c r="H67" t="str">
        <f>VLOOKUP(C67,[1]Sheet1!$F:$H,3,FALSE)</f>
        <v>G-205 krishna residency  Behind sunder nagar, Malad west</v>
      </c>
    </row>
    <row r="68" spans="1:8" x14ac:dyDescent="0.25">
      <c r="A68" t="s">
        <v>39</v>
      </c>
      <c r="B68" t="s">
        <v>113</v>
      </c>
      <c r="C68">
        <v>9167342290</v>
      </c>
      <c r="D68" t="str">
        <f>_xlfn.IFNA(VLOOKUP(C68,CallLog_Latest!A:H,7,FALSE),"Not Called")</f>
        <v>Not Called</v>
      </c>
      <c r="E68" t="str">
        <f>IF(ISNA(VLOOKUP(C68,Registration!A:A,1,FALSE)),"Not Registered","Registered")</f>
        <v>Not Registered</v>
      </c>
      <c r="F68">
        <f>VLOOKUP(A68,Sheet1!A:B,2,FALSE)</f>
        <v>9820505363</v>
      </c>
      <c r="G68" t="str">
        <f>_xlfn.IFNA(VLOOKUP(C68,CallLog_Latest!A:H,8,FALSE),"")</f>
        <v/>
      </c>
      <c r="H68" t="str">
        <f>VLOOKUP(C68,[1]Sheet1!$F:$H,3,FALSE)</f>
        <v>505  I Block  Palm Court  Link Road</v>
      </c>
    </row>
    <row r="69" spans="1:8" x14ac:dyDescent="0.25">
      <c r="A69" t="s">
        <v>41</v>
      </c>
      <c r="B69" t="s">
        <v>114</v>
      </c>
      <c r="C69">
        <v>9320969649</v>
      </c>
      <c r="D69" t="str">
        <f>_xlfn.IFNA(VLOOKUP(C69,CallLog_Latest!A:H,7,FALSE),"Not Called")</f>
        <v>Confirmed Presence</v>
      </c>
      <c r="E69" t="str">
        <f>IF(ISNA(VLOOKUP(C69,Registration!A:A,1,FALSE)),"Not Registered","Registered")</f>
        <v>Not Registered</v>
      </c>
      <c r="F69">
        <f>VLOOKUP(A69,Sheet1!A:B,2,FALSE)</f>
        <v>8058973809</v>
      </c>
      <c r="G69">
        <f>_xlfn.IFNA(VLOOKUP(C69,CallLog_Latest!A:H,8,FALSE),"")</f>
        <v>0</v>
      </c>
      <c r="H69" t="str">
        <f>VLOOKUP(C69,[1]Sheet1!$F:$H,3,FALSE)</f>
        <v>D-503  Krishna Residency Sundar nagar, Malad West</v>
      </c>
    </row>
    <row r="70" spans="1:8" x14ac:dyDescent="0.25">
      <c r="A70" t="s">
        <v>43</v>
      </c>
      <c r="B70" t="s">
        <v>115</v>
      </c>
      <c r="C70">
        <v>9820001618</v>
      </c>
      <c r="D70" t="str">
        <f>_xlfn.IFNA(VLOOKUP(C70,CallLog_Latest!A:H,7,FALSE),"Not Called")</f>
        <v>Confirmed Presence ✅</v>
      </c>
      <c r="E70" t="str">
        <f>IF(ISNA(VLOOKUP(C70,Registration!A:A,1,FALSE)),"Not Registered","Registered")</f>
        <v>Registered</v>
      </c>
      <c r="F70">
        <f>VLOOKUP(A70,Sheet1!A:B,2,FALSE)</f>
        <v>9320683201</v>
      </c>
      <c r="G70" t="str">
        <f>_xlfn.IFNA(VLOOKUP(C70,CallLog_Latest!A:H,8,FALSE),"")</f>
        <v>Registration done</v>
      </c>
      <c r="H70" t="str">
        <f>VLOOKUP(C70,[1]Sheet1!$F:$H,3,FALSE)</f>
        <v>D-503  Krishna Residency Bh.Sunder Nagar  Near Dalmiya College</v>
      </c>
    </row>
    <row r="71" spans="1:8" x14ac:dyDescent="0.25">
      <c r="A71" t="s">
        <v>45</v>
      </c>
      <c r="B71" t="s">
        <v>116</v>
      </c>
      <c r="C71">
        <v>9820969649</v>
      </c>
      <c r="D71" t="str">
        <f>_xlfn.IFNA(VLOOKUP(C71,CallLog_Latest!A:H,7,FALSE),"Not Called")</f>
        <v>Not Reachable</v>
      </c>
      <c r="E71" t="str">
        <f>IF(ISNA(VLOOKUP(C71,Registration!A:A,1,FALSE)),"Not Registered","Registered")</f>
        <v>Not Registered</v>
      </c>
      <c r="F71">
        <f>VLOOKUP(A71,Sheet1!A:B,2,FALSE)</f>
        <v>9967235652</v>
      </c>
      <c r="G71">
        <f>_xlfn.IFNA(VLOOKUP(C71,CallLog_Latest!A:H,8,FALSE),"")</f>
        <v>0</v>
      </c>
      <c r="H71" t="str">
        <f>VLOOKUP(C71,[1]Sheet1!$F:$H,3,FALSE)</f>
        <v>D-503  Krishna Residency Bh.Sunder Nagar  Near Dalmiya College</v>
      </c>
    </row>
    <row r="72" spans="1:8" x14ac:dyDescent="0.25">
      <c r="A72" t="s">
        <v>47</v>
      </c>
      <c r="B72" t="s">
        <v>117</v>
      </c>
      <c r="C72">
        <v>9769422928</v>
      </c>
      <c r="D72" t="str">
        <f>_xlfn.IFNA(VLOOKUP(C72,CallLog_Latest!A:H,7,FALSE),"Not Called")</f>
        <v>Not Reachable</v>
      </c>
      <c r="E72" t="str">
        <f>IF(ISNA(VLOOKUP(C72,Registration!A:A,1,FALSE)),"Not Registered","Registered")</f>
        <v>Not Registered</v>
      </c>
      <c r="F72">
        <f>VLOOKUP(A72,Sheet1!A:B,2,FALSE)</f>
        <v>8108711149</v>
      </c>
      <c r="G72" t="str">
        <f>_xlfn.IFNA(VLOOKUP(C72,CallLog_Latest!A:H,8,FALSE),"")</f>
        <v>Not on whatsapp</v>
      </c>
      <c r="H72" t="str">
        <f>VLOOKUP(C72,[1]Sheet1!$F:$H,3,FALSE)</f>
        <v>606  Agrawal Triniti Tower Kanchpada, Malad (W</v>
      </c>
    </row>
    <row r="73" spans="1:8" x14ac:dyDescent="0.25">
      <c r="A73" t="s">
        <v>49</v>
      </c>
      <c r="B73" t="s">
        <v>118</v>
      </c>
      <c r="C73">
        <v>9004259412</v>
      </c>
      <c r="D73" t="str">
        <f>_xlfn.IFNA(VLOOKUP(C73,CallLog_Latest!A:H,7,FALSE),"Not Called")</f>
        <v>Confirmed Presence ✅</v>
      </c>
      <c r="E73" t="str">
        <f>IF(ISNA(VLOOKUP(C73,Registration!A:A,1,FALSE)),"Not Registered","Registered")</f>
        <v>Not Registered</v>
      </c>
      <c r="F73">
        <f>VLOOKUP(A73,Sheet1!A:B,2,FALSE)</f>
        <v>9322206108</v>
      </c>
      <c r="G73">
        <f>_xlfn.IFNA(VLOOKUP(C73,CallLog_Latest!A:H,8,FALSE),"")</f>
        <v>0</v>
      </c>
      <c r="H73" t="str">
        <f>VLOOKUP(C73,[1]Sheet1!$F:$H,3,FALSE)</f>
        <v>B-31  Rustomjee Adarsh Regal  B Chs. Adarsh Lane  Goras Wadi  Off Marve Road, Malad (W  .-400064</v>
      </c>
    </row>
    <row r="74" spans="1:8" x14ac:dyDescent="0.25">
      <c r="A74" t="s">
        <v>51</v>
      </c>
      <c r="B74" t="s">
        <v>119</v>
      </c>
      <c r="C74">
        <v>9967060564</v>
      </c>
      <c r="D74" t="str">
        <f>_xlfn.IFNA(VLOOKUP(C74,CallLog_Latest!A:H,7,FALSE),"Not Called")</f>
        <v>Not Called</v>
      </c>
      <c r="E74" t="str">
        <f>IF(ISNA(VLOOKUP(C74,Registration!A:A,1,FALSE)),"Not Registered","Registered")</f>
        <v>Not Registered</v>
      </c>
      <c r="F74">
        <f>VLOOKUP(A74,Sheet1!A:B,2,FALSE)</f>
        <v>9967015641</v>
      </c>
      <c r="G74" t="str">
        <f>_xlfn.IFNA(VLOOKUP(C74,CallLog_Latest!A:H,8,FALSE),"")</f>
        <v/>
      </c>
      <c r="H74" t="str">
        <f>VLOOKUP(C74,[1]Sheet1!$F:$H,3,FALSE)</f>
        <v>Chincholi Bunder Road</v>
      </c>
    </row>
    <row r="75" spans="1:8" x14ac:dyDescent="0.25">
      <c r="A75" t="s">
        <v>53</v>
      </c>
      <c r="B75" t="s">
        <v>120</v>
      </c>
      <c r="C75">
        <v>9820026780</v>
      </c>
      <c r="D75" t="str">
        <f>_xlfn.IFNA(VLOOKUP(C75,CallLog_Latest!A:H,7,FALSE),"Not Called")</f>
        <v>Not Called</v>
      </c>
      <c r="E75" t="str">
        <f>IF(ISNA(VLOOKUP(C75,Registration!A:A,1,FALSE)),"Not Registered","Registered")</f>
        <v>Not Registered</v>
      </c>
      <c r="F75">
        <f>VLOOKUP(A75,Sheet1!A:B,2,FALSE)</f>
        <v>9820216355</v>
      </c>
      <c r="G75" t="str">
        <f>_xlfn.IFNA(VLOOKUP(C75,CallLog_Latest!A:H,8,FALSE),"")</f>
        <v/>
      </c>
      <c r="H75" t="str">
        <f>VLOOKUP(C75,[1]Sheet1!$F:$H,3,FALSE)</f>
        <v>801  8th Floor  Bharat Apparttment Bhadran Nagar Road No.2  Opp Milap /pvr Theater</v>
      </c>
    </row>
    <row r="76" spans="1:8" x14ac:dyDescent="0.25">
      <c r="A76" t="s">
        <v>55</v>
      </c>
      <c r="B76" t="s">
        <v>121</v>
      </c>
      <c r="C76">
        <v>9594929376</v>
      </c>
      <c r="D76" t="str">
        <f>_xlfn.IFNA(VLOOKUP(C76,CallLog_Latest!A:H,7,FALSE),"Not Called")</f>
        <v>Phone Busy</v>
      </c>
      <c r="E76" t="str">
        <f>IF(ISNA(VLOOKUP(C76,Registration!A:A,1,FALSE)),"Not Registered","Registered")</f>
        <v>Not Registered</v>
      </c>
      <c r="F76">
        <f>VLOOKUP(A76,Sheet1!A:B,2,FALSE)</f>
        <v>9819083540</v>
      </c>
      <c r="G76">
        <f>_xlfn.IFNA(VLOOKUP(C76,CallLog_Latest!A:H,8,FALSE),"")</f>
        <v>0</v>
      </c>
      <c r="H76" t="str">
        <f>VLOOKUP(C76,[1]Sheet1!$F:$H,3,FALSE)</f>
        <v>B-103  Evershine Grandeur  Off Link Road</v>
      </c>
    </row>
    <row r="77" spans="1:8" x14ac:dyDescent="0.25">
      <c r="A77" t="s">
        <v>57</v>
      </c>
      <c r="B77" t="s">
        <v>122</v>
      </c>
      <c r="C77">
        <v>9324812699</v>
      </c>
      <c r="D77" t="str">
        <f>_xlfn.IFNA(VLOOKUP(C77,CallLog_Latest!A:H,7,FALSE),"Not Called")</f>
        <v>Not Reachable</v>
      </c>
      <c r="E77" t="str">
        <f>IF(ISNA(VLOOKUP(C77,Registration!A:A,1,FALSE)),"Not Registered","Registered")</f>
        <v>Not Registered</v>
      </c>
      <c r="F77">
        <f>VLOOKUP(A77,Sheet1!A:B,2,FALSE)</f>
        <v>9101910341</v>
      </c>
      <c r="G77">
        <f>_xlfn.IFNA(VLOOKUP(C77,CallLog_Latest!A:H,8,FALSE),"")</f>
        <v>0</v>
      </c>
      <c r="H77" t="str">
        <f>VLOOKUP(C77,[1]Sheet1!$F:$H,3,FALSE)</f>
        <v>B-801, Vini Tower, Next to Infant Jesus School Chincholi Bunder Road, Malad (W</v>
      </c>
    </row>
    <row r="78" spans="1:8" x14ac:dyDescent="0.25">
      <c r="A78" t="s">
        <v>59</v>
      </c>
      <c r="B78" t="s">
        <v>123</v>
      </c>
      <c r="C78">
        <v>9867277012</v>
      </c>
      <c r="D78" t="str">
        <f>_xlfn.IFNA(VLOOKUP(C78,CallLog_Latest!A:H,7,FALSE),"Not Called")</f>
        <v>Not Called</v>
      </c>
      <c r="E78" t="str">
        <f>IF(ISNA(VLOOKUP(C78,Registration!A:A,1,FALSE)),"Not Registered","Registered")</f>
        <v>Not Registered</v>
      </c>
      <c r="F78">
        <f>VLOOKUP(A78,Sheet1!A:B,2,FALSE)</f>
        <v>9920121726</v>
      </c>
      <c r="G78" t="str">
        <f>_xlfn.IFNA(VLOOKUP(C78,CallLog_Latest!A:H,8,FALSE),"")</f>
        <v/>
      </c>
      <c r="H78" t="str">
        <f>VLOOKUP(C78,[1]Sheet1!$F:$H,3,FALSE)</f>
        <v>704 Dheeraj Basera Chincholi Bunder Road Malad (W Mumbai .</v>
      </c>
    </row>
    <row r="79" spans="1:8" x14ac:dyDescent="0.25">
      <c r="A79" t="s">
        <v>61</v>
      </c>
      <c r="B79" t="s">
        <v>124</v>
      </c>
      <c r="C79">
        <v>9867986666</v>
      </c>
      <c r="D79" t="str">
        <f>_xlfn.IFNA(VLOOKUP(C79,CallLog_Latest!A:H,7,FALSE),"Not Called")</f>
        <v>Not Reachable</v>
      </c>
      <c r="E79" t="str">
        <f>IF(ISNA(VLOOKUP(C79,Registration!A:A,1,FALSE)),"Not Registered","Registered")</f>
        <v>Not Registered</v>
      </c>
      <c r="F79">
        <f>VLOOKUP(A79,Sheet1!A:B,2,FALSE)</f>
        <v>9820779873</v>
      </c>
      <c r="G79" t="str">
        <f>_xlfn.IFNA(VLOOKUP(C79,CallLog_Latest!A:H,8,FALSE),"")</f>
        <v>Phone not reachable</v>
      </c>
      <c r="H79" t="str">
        <f>VLOOKUP(C79,[1]Sheet1!$F:$H,3,FALSE)</f>
        <v>A-404/2 Shiv Ganga  Off Chincholi Bunder Road, Malad (W</v>
      </c>
    </row>
    <row r="80" spans="1:8" x14ac:dyDescent="0.25">
      <c r="A80" t="s">
        <v>63</v>
      </c>
      <c r="B80" t="s">
        <v>125</v>
      </c>
      <c r="C80">
        <v>9867688889</v>
      </c>
      <c r="D80" t="str">
        <f>_xlfn.IFNA(VLOOKUP(C80,CallLog_Latest!A:H,7,FALSE),"Not Called")</f>
        <v>Not Called</v>
      </c>
      <c r="E80" t="str">
        <f>IF(ISNA(VLOOKUP(C80,Registration!A:A,1,FALSE)),"Not Registered","Registered")</f>
        <v>Not Registered</v>
      </c>
      <c r="F80">
        <f>VLOOKUP(A80,Sheet1!A:B,2,FALSE)</f>
        <v>9930396709</v>
      </c>
      <c r="G80" t="str">
        <f>_xlfn.IFNA(VLOOKUP(C80,CallLog_Latest!A:H,8,FALSE),"")</f>
        <v/>
      </c>
      <c r="H80" t="str">
        <f>VLOOKUP(C80,[1]Sheet1!$F:$H,3,FALSE)</f>
        <v>Advent Plazzo CHSL, 1303 Rambaug Lane, Off. S. V.Road, Behind State Bank of India, Malad (W</v>
      </c>
    </row>
    <row r="81" spans="1:8" x14ac:dyDescent="0.25">
      <c r="A81" t="s">
        <v>65</v>
      </c>
      <c r="B81" t="s">
        <v>126</v>
      </c>
      <c r="C81">
        <v>9004591113</v>
      </c>
      <c r="D81" t="str">
        <f>_xlfn.IFNA(VLOOKUP(C81,CallLog_Latest!A:H,7,FALSE),"Not Called")</f>
        <v>Not Called</v>
      </c>
      <c r="E81" t="str">
        <f>IF(ISNA(VLOOKUP(C81,Registration!A:A,1,FALSE)),"Not Registered","Registered")</f>
        <v>Not Registered</v>
      </c>
      <c r="F81">
        <f>VLOOKUP(A81,Sheet1!A:B,2,FALSE)</f>
        <v>7738892551</v>
      </c>
      <c r="G81" t="str">
        <f>_xlfn.IFNA(VLOOKUP(C81,CallLog_Latest!A:H,8,FALSE),"")</f>
        <v/>
      </c>
      <c r="H81" t="str">
        <f>VLOOKUP(C81,[1]Sheet1!$F:$H,3,FALSE)</f>
        <v>Above Central Bank, Sunder Nagar</v>
      </c>
    </row>
    <row r="82" spans="1:8" x14ac:dyDescent="0.25">
      <c r="A82" t="s">
        <v>67</v>
      </c>
      <c r="B82" t="s">
        <v>127</v>
      </c>
      <c r="C82">
        <v>9820158417</v>
      </c>
      <c r="D82" t="str">
        <f>_xlfn.IFNA(VLOOKUP(C82,CallLog_Latest!A:H,7,FALSE),"Not Called")</f>
        <v>Not Called</v>
      </c>
      <c r="E82" t="str">
        <f>IF(ISNA(VLOOKUP(C82,Registration!A:A,1,FALSE)),"Not Registered","Registered")</f>
        <v>Not Registered</v>
      </c>
      <c r="F82">
        <f>VLOOKUP(A82,Sheet1!A:B,2,FALSE)</f>
        <v>9820251565</v>
      </c>
      <c r="G82" t="str">
        <f>_xlfn.IFNA(VLOOKUP(C82,CallLog_Latest!A:H,8,FALSE),"")</f>
        <v/>
      </c>
      <c r="H82" t="str">
        <f>VLOOKUP(C82,[1]Sheet1!$F:$H,3,FALSE)</f>
        <v>504  Daffodil Towers  Pawan Baug Lane Near Chincholi Phatak</v>
      </c>
    </row>
    <row r="83" spans="1:8" x14ac:dyDescent="0.25">
      <c r="A83" t="s">
        <v>69</v>
      </c>
      <c r="B83" t="s">
        <v>128</v>
      </c>
      <c r="C83">
        <v>9821167085</v>
      </c>
      <c r="D83" t="str">
        <f>_xlfn.IFNA(VLOOKUP(C83,CallLog_Latest!A:H,7,FALSE),"Not Called")</f>
        <v>Not Called</v>
      </c>
      <c r="E83" t="str">
        <f>IF(ISNA(VLOOKUP(C83,Registration!A:A,1,FALSE)),"Not Registered","Registered")</f>
        <v>Not Registered</v>
      </c>
      <c r="F83">
        <f>VLOOKUP(A83,Sheet1!A:B,2,FALSE)</f>
        <v>9968855475</v>
      </c>
      <c r="G83" t="str">
        <f>_xlfn.IFNA(VLOOKUP(C83,CallLog_Latest!A:H,8,FALSE),"")</f>
        <v/>
      </c>
      <c r="H83" t="str">
        <f>VLOOKUP(C83,[1]Sheet1!$F:$H,3,FALSE)</f>
        <v>801  Simplex Khushangan Bldg. Vijaykarwadi  Opp. Kala Kendra  Petrol Pump  S.V. Road,Malad (W</v>
      </c>
    </row>
    <row r="84" spans="1:8" x14ac:dyDescent="0.25">
      <c r="A84" t="s">
        <v>71</v>
      </c>
      <c r="B84" t="s">
        <v>129</v>
      </c>
      <c r="C84">
        <v>9820070274</v>
      </c>
      <c r="D84" t="str">
        <f>_xlfn.IFNA(VLOOKUP(C84,CallLog_Latest!A:H,7,FALSE),"Not Called")</f>
        <v>Confirmed Presence</v>
      </c>
      <c r="E84" t="str">
        <f>IF(ISNA(VLOOKUP(C84,Registration!A:A,1,FALSE)),"Not Registered","Registered")</f>
        <v>Not Registered</v>
      </c>
      <c r="F84">
        <f>VLOOKUP(A84,Sheet1!A:B,2,FALSE)</f>
        <v>9405263833</v>
      </c>
      <c r="G84" t="str">
        <f>_xlfn.IFNA(VLOOKUP(C84,CallLog_Latest!A:H,8,FALSE),"")</f>
        <v>2 Confirmation</v>
      </c>
      <c r="H84" t="str">
        <f>VLOOKUP(C84,[1]Sheet1!$F:$H,3,FALSE)</f>
        <v>1102, 11th Floor, Shankar Smruti, Opp. Sun Flower Lab, Above Kotak Bank, Marve Road, Malad (W</v>
      </c>
    </row>
    <row r="85" spans="1:8" x14ac:dyDescent="0.25">
      <c r="A85" t="s">
        <v>73</v>
      </c>
      <c r="B85" t="s">
        <v>130</v>
      </c>
      <c r="C85">
        <v>9619444648</v>
      </c>
      <c r="D85" t="str">
        <f>_xlfn.IFNA(VLOOKUP(C85,CallLog_Latest!A:H,7,FALSE),"Not Called")</f>
        <v>Not Called</v>
      </c>
      <c r="E85" t="str">
        <f>IF(ISNA(VLOOKUP(C85,Registration!A:A,1,FALSE)),"Not Registered","Registered")</f>
        <v>Not Registered</v>
      </c>
      <c r="F85">
        <f>VLOOKUP(A85,Sheet1!A:B,2,FALSE)</f>
        <v>8879433174</v>
      </c>
      <c r="G85" t="str">
        <f>_xlfn.IFNA(VLOOKUP(C85,CallLog_Latest!A:H,8,FALSE),"")</f>
        <v/>
      </c>
      <c r="H85" t="str">
        <f>VLOOKUP(C85,[1]Sheet1!$F:$H,3,FALSE)</f>
        <v>C-1304  Rustomjee Elanza Off Link Road</v>
      </c>
    </row>
    <row r="86" spans="1:8" x14ac:dyDescent="0.25">
      <c r="A86" t="s">
        <v>75</v>
      </c>
      <c r="B86" t="s">
        <v>131</v>
      </c>
      <c r="C86">
        <v>9821167085</v>
      </c>
      <c r="D86" t="str">
        <f>_xlfn.IFNA(VLOOKUP(C86,CallLog_Latest!A:H,7,FALSE),"Not Called")</f>
        <v>Not Called</v>
      </c>
      <c r="E86" t="str">
        <f>IF(ISNA(VLOOKUP(C86,Registration!A:A,1,FALSE)),"Not Registered","Registered")</f>
        <v>Not Registered</v>
      </c>
      <c r="F86">
        <f>VLOOKUP(A86,Sheet1!A:B,2,FALSE)</f>
        <v>9993325021</v>
      </c>
      <c r="G86" t="str">
        <f>_xlfn.IFNA(VLOOKUP(C86,CallLog_Latest!A:H,8,FALSE),"")</f>
        <v/>
      </c>
      <c r="H86" t="str">
        <f>VLOOKUP(C86,[1]Sheet1!$F:$H,3,FALSE)</f>
        <v>801  Simplex Khushangan Bldg. Vijaykarwadi  Opp. Kala Kendra  Petrol Pump  S.V. Road,Malad (W</v>
      </c>
    </row>
    <row r="87" spans="1:8" x14ac:dyDescent="0.25">
      <c r="A87" t="s">
        <v>12</v>
      </c>
      <c r="B87" t="s">
        <v>132</v>
      </c>
      <c r="C87">
        <v>9820460950</v>
      </c>
      <c r="D87" t="str">
        <f>_xlfn.IFNA(VLOOKUP(C87,CallLog_Latest!A:H,7,FALSE),"Not Called")</f>
        <v>May be Attending</v>
      </c>
      <c r="E87" t="str">
        <f>IF(ISNA(VLOOKUP(C87,Registration!A:A,1,FALSE)),"Not Registered","Registered")</f>
        <v>Not Registered</v>
      </c>
      <c r="F87">
        <f>VLOOKUP(A87,Sheet1!A:B,2,FALSE)</f>
        <v>9820454734</v>
      </c>
      <c r="G87" t="str">
        <f>_xlfn.IFNA(VLOOKUP(C87,CallLog_Latest!A:H,8,FALSE),"")</f>
        <v>Busy in pune, will try to attend if possible</v>
      </c>
      <c r="H87" t="str">
        <f>VLOOKUP(C87,[1]Sheet1!$F:$H,3,FALSE)</f>
        <v>404  Girnar Aartment  Near Sapana Hotel S.V Road &amp; Marve Road, Malad (W</v>
      </c>
    </row>
    <row r="88" spans="1:8" x14ac:dyDescent="0.25">
      <c r="A88" t="s">
        <v>78</v>
      </c>
      <c r="B88" t="s">
        <v>133</v>
      </c>
      <c r="C88">
        <v>9323549794</v>
      </c>
      <c r="D88" t="str">
        <f>_xlfn.IFNA(VLOOKUP(C88,CallLog_Latest!A:H,7,FALSE),"Not Called")</f>
        <v>Confirmed Presence</v>
      </c>
      <c r="E88" t="str">
        <f>IF(ISNA(VLOOKUP(C88,Registration!A:A,1,FALSE)),"Not Registered","Registered")</f>
        <v>Not Registered</v>
      </c>
      <c r="F88">
        <f>VLOOKUP(A88,Sheet1!A:B,2,FALSE)</f>
        <v>9029105124</v>
      </c>
      <c r="G88">
        <f>_xlfn.IFNA(VLOOKUP(C88,CallLog_Latest!A:H,8,FALSE),"")</f>
        <v>0</v>
      </c>
      <c r="H88" t="str">
        <f>VLOOKUP(C88,[1]Sheet1!$F:$H,3,FALSE)</f>
        <v>404  Girnar Aartment  Near Sapana Hotel S.V Road &amp; Marve Road, Malad (W</v>
      </c>
    </row>
    <row r="89" spans="1:8" x14ac:dyDescent="0.25">
      <c r="A89" t="s">
        <v>80</v>
      </c>
      <c r="B89" t="s">
        <v>134</v>
      </c>
      <c r="C89">
        <v>9320821229</v>
      </c>
      <c r="D89" t="str">
        <f>_xlfn.IFNA(VLOOKUP(C89,CallLog_Latest!A:H,7,FALSE),"Not Called")</f>
        <v>Not Called</v>
      </c>
      <c r="E89" t="str">
        <f>IF(ISNA(VLOOKUP(C89,Registration!A:A,1,FALSE)),"Not Registered","Registered")</f>
        <v>Not Registered</v>
      </c>
      <c r="F89">
        <f>VLOOKUP(A89,Sheet1!A:B,2,FALSE)</f>
        <v>9599704370</v>
      </c>
      <c r="G89" t="str">
        <f>_xlfn.IFNA(VLOOKUP(C89,CallLog_Latest!A:H,8,FALSE),"")</f>
        <v/>
      </c>
      <c r="H89" t="str">
        <f>VLOOKUP(C89,[1]Sheet1!$F:$H,3,FALSE)</f>
        <v>101/102  Valeram No.5 Evershine Nagar  Off Linking Road</v>
      </c>
    </row>
    <row r="90" spans="1:8" x14ac:dyDescent="0.25">
      <c r="A90" t="s">
        <v>82</v>
      </c>
      <c r="B90" t="s">
        <v>135</v>
      </c>
      <c r="C90">
        <v>9029355691</v>
      </c>
      <c r="D90" t="str">
        <f>_xlfn.IFNA(VLOOKUP(C90,CallLog_Latest!A:H,7,FALSE),"Not Called")</f>
        <v>Not Coming 🚫</v>
      </c>
      <c r="E90" t="str">
        <f>IF(ISNA(VLOOKUP(C90,Registration!A:A,1,FALSE)),"Not Registered","Registered")</f>
        <v>Not Registered</v>
      </c>
      <c r="F90">
        <f>VLOOKUP(A90,Sheet1!A:B,2,FALSE)</f>
        <v>9824100412</v>
      </c>
      <c r="G90" t="str">
        <f>_xlfn.IFNA(VLOOKUP(C90,CallLog_Latest!A:H,8,FALSE),"")</f>
        <v>Exams going on</v>
      </c>
      <c r="H90" t="str">
        <f>VLOOKUP(C90,[1]Sheet1!$F:$H,3,FALSE)</f>
        <v>B/504, Kingston Classic, Chincholi Bunder Road, Nr. Malad Dal Mill,</v>
      </c>
    </row>
    <row r="91" spans="1:8" x14ac:dyDescent="0.25">
      <c r="A91" t="s">
        <v>84</v>
      </c>
      <c r="B91" t="s">
        <v>136</v>
      </c>
      <c r="C91">
        <v>9768245456</v>
      </c>
      <c r="D91" t="str">
        <f>_xlfn.IFNA(VLOOKUP(C91,CallLog_Latest!A:H,7,FALSE),"Not Called")</f>
        <v>Not Reachable</v>
      </c>
      <c r="E91" t="str">
        <f>IF(ISNA(VLOOKUP(C91,Registration!A:A,1,FALSE)),"Not Registered","Registered")</f>
        <v>Not Registered</v>
      </c>
      <c r="F91">
        <f>VLOOKUP(A91,Sheet1!A:B,2,FALSE)</f>
        <v>9225211083</v>
      </c>
      <c r="G91">
        <f>_xlfn.IFNA(VLOOKUP(C91,CallLog_Latest!A:H,8,FALSE),"")</f>
        <v>0</v>
      </c>
      <c r="H91" t="str">
        <f>VLOOKUP(C91,[1]Sheet1!$F:$H,3,FALSE)</f>
        <v>F-805/806  Sonmarg  S V. Road</v>
      </c>
    </row>
    <row r="92" spans="1:8" x14ac:dyDescent="0.25">
      <c r="A92" t="s">
        <v>86</v>
      </c>
      <c r="B92" t="s">
        <v>137</v>
      </c>
      <c r="C92">
        <v>9820085026</v>
      </c>
      <c r="D92" t="str">
        <f>_xlfn.IFNA(VLOOKUP(C92,CallLog_Latest!A:H,7,FALSE),"Not Called")</f>
        <v>Not Called</v>
      </c>
      <c r="E92" t="str">
        <f>IF(ISNA(VLOOKUP(C92,Registration!A:A,1,FALSE)),"Not Registered","Registered")</f>
        <v>Not Registered</v>
      </c>
      <c r="F92">
        <f>VLOOKUP(A92,Sheet1!A:B,2,FALSE)</f>
        <v>9930252076</v>
      </c>
      <c r="G92" t="str">
        <f>_xlfn.IFNA(VLOOKUP(C92,CallLog_Latest!A:H,8,FALSE),"")</f>
        <v/>
      </c>
      <c r="H92" t="str">
        <f>VLOOKUP(C92,[1]Sheet1!$F:$H,3,FALSE)</f>
        <v>G-Wing  Flat No.403 Palm Court  Link Road Malad (W</v>
      </c>
    </row>
    <row r="93" spans="1:8" x14ac:dyDescent="0.25">
      <c r="A93" t="s">
        <v>88</v>
      </c>
      <c r="B93" t="s">
        <v>138</v>
      </c>
      <c r="C93">
        <v>9819947177</v>
      </c>
      <c r="D93" t="str">
        <f>_xlfn.IFNA(VLOOKUP(C93,CallLog_Latest!A:H,7,FALSE),"Not Called")</f>
        <v>Not Called</v>
      </c>
      <c r="E93" t="str">
        <f>IF(ISNA(VLOOKUP(C93,Registration!A:A,1,FALSE)),"Not Registered","Registered")</f>
        <v>Not Registered</v>
      </c>
      <c r="F93">
        <f>VLOOKUP(A93,Sheet1!A:B,2,FALSE)</f>
        <v>9661270782</v>
      </c>
      <c r="G93" t="str">
        <f>_xlfn.IFNA(VLOOKUP(C93,CallLog_Latest!A:H,8,FALSE),"")</f>
        <v/>
      </c>
      <c r="H93" t="str">
        <f>VLOOKUP(C93,[1]Sheet1!$F:$H,3,FALSE)</f>
        <v>B/504 Kingston Classic, Chincholi Bunder Road Malad (West</v>
      </c>
    </row>
    <row r="94" spans="1:8" x14ac:dyDescent="0.25">
      <c r="A94" t="s">
        <v>90</v>
      </c>
      <c r="B94" t="s">
        <v>139</v>
      </c>
      <c r="C94">
        <v>9819234161</v>
      </c>
      <c r="D94" t="str">
        <f>_xlfn.IFNA(VLOOKUP(C94,CallLog_Latest!A:H,7,FALSE),"Not Called")</f>
        <v>Not Called</v>
      </c>
      <c r="E94" t="str">
        <f>IF(ISNA(VLOOKUP(C94,Registration!A:A,1,FALSE)),"Not Registered","Registered")</f>
        <v>Not Registered</v>
      </c>
      <c r="F94">
        <f>VLOOKUP(A94,Sheet1!A:B,2,FALSE)</f>
        <v>9819128389</v>
      </c>
      <c r="G94" t="str">
        <f>_xlfn.IFNA(VLOOKUP(C94,CallLog_Latest!A:H,8,FALSE),"")</f>
        <v/>
      </c>
      <c r="H94" t="str">
        <f>VLOOKUP(C94,[1]Sheet1!$F:$H,3,FALSE)</f>
        <v>B-1 Om Valeram Mansion Evershine Nagar Malad (W Mumbai - .</v>
      </c>
    </row>
    <row r="95" spans="1:8" x14ac:dyDescent="0.25">
      <c r="A95" t="s">
        <v>92</v>
      </c>
      <c r="B95" t="s">
        <v>140</v>
      </c>
      <c r="C95">
        <v>9820539505</v>
      </c>
      <c r="D95" t="str">
        <f>_xlfn.IFNA(VLOOKUP(C95,CallLog_Latest!A:H,7,FALSE),"Not Called")</f>
        <v>Not Called</v>
      </c>
      <c r="E95" t="str">
        <f>IF(ISNA(VLOOKUP(C95,Registration!A:A,1,FALSE)),"Not Registered","Registered")</f>
        <v>Not Registered</v>
      </c>
      <c r="F95">
        <f>VLOOKUP(A95,Sheet1!A:B,2,FALSE)</f>
        <v>8268665777</v>
      </c>
      <c r="G95" t="str">
        <f>_xlfn.IFNA(VLOOKUP(C95,CallLog_Latest!A:H,8,FALSE),"")</f>
        <v/>
      </c>
      <c r="H95" t="str">
        <f>VLOOKUP(C95,[1]Sheet1!$F:$H,3,FALSE)</f>
        <v>D-301  Sanmarg Soc S.V Road</v>
      </c>
    </row>
    <row r="96" spans="1:8" x14ac:dyDescent="0.25">
      <c r="A96" t="s">
        <v>94</v>
      </c>
      <c r="B96" t="s">
        <v>141</v>
      </c>
      <c r="C96">
        <v>9920019193</v>
      </c>
      <c r="D96" t="str">
        <f>_xlfn.IFNA(VLOOKUP(C96,CallLog_Latest!A:H,7,FALSE),"Not Called")</f>
        <v>Not Called</v>
      </c>
      <c r="E96" t="str">
        <f>IF(ISNA(VLOOKUP(C96,Registration!A:A,1,FALSE)),"Not Registered","Registered")</f>
        <v>Not Registered</v>
      </c>
      <c r="F96">
        <f>VLOOKUP(A96,Sheet1!A:B,2,FALSE)</f>
        <v>9920085455</v>
      </c>
      <c r="G96" t="str">
        <f>_xlfn.IFNA(VLOOKUP(C96,CallLog_Latest!A:H,8,FALSE),"")</f>
        <v/>
      </c>
      <c r="H96" t="str">
        <f>VLOOKUP(C96,[1]Sheet1!$F:$H,3,FALSE)</f>
        <v>D-301/302  Sonmarg Society S V. Road</v>
      </c>
    </row>
    <row r="97" spans="1:8" x14ac:dyDescent="0.25">
      <c r="A97" t="s">
        <v>96</v>
      </c>
      <c r="B97" t="s">
        <v>142</v>
      </c>
      <c r="C97">
        <v>9594936594</v>
      </c>
      <c r="D97" t="str">
        <f>_xlfn.IFNA(VLOOKUP(C97,CallLog_Latest!A:H,7,FALSE),"Not Called")</f>
        <v>Not Reachable</v>
      </c>
      <c r="E97" t="str">
        <f>IF(ISNA(VLOOKUP(C97,Registration!A:A,1,FALSE)),"Not Registered","Registered")</f>
        <v>Not Registered</v>
      </c>
      <c r="F97">
        <f>VLOOKUP(A97,Sheet1!A:B,2,FALSE)</f>
        <v>9424584007</v>
      </c>
      <c r="G97" t="str">
        <f>_xlfn.IFNA(VLOOKUP(C97,CallLog_Latest!A:H,8,FALSE),"")</f>
        <v>Call not picked</v>
      </c>
      <c r="H97" t="str">
        <f>VLOOKUP(C97,[1]Sheet1!$F:$H,3,FALSE)</f>
        <v>Khatri Apartment, Flat No 206    Jayanti Shukla Marg  Opp. Aditya Plaza Bldg. Malad (W</v>
      </c>
    </row>
    <row r="98" spans="1:8" x14ac:dyDescent="0.25">
      <c r="A98" t="s">
        <v>3</v>
      </c>
      <c r="B98" t="s">
        <v>143</v>
      </c>
      <c r="C98">
        <v>9833366671</v>
      </c>
      <c r="D98" t="str">
        <f>_xlfn.IFNA(VLOOKUP(C98,CallLog_Latest!A:H,7,FALSE),"Not Called")</f>
        <v>Not Called</v>
      </c>
      <c r="E98" t="str">
        <f>IF(ISNA(VLOOKUP(C98,Registration!A:A,1,FALSE)),"Not Registered","Registered")</f>
        <v>Not Registered</v>
      </c>
      <c r="F98">
        <f>VLOOKUP(A98,Sheet1!A:B,2,FALSE)</f>
        <v>9326379737</v>
      </c>
      <c r="G98" t="str">
        <f>_xlfn.IFNA(VLOOKUP(C98,CallLog_Latest!A:H,8,FALSE),"")</f>
        <v/>
      </c>
      <c r="H98" t="str">
        <f>VLOOKUP(C98,[1]Sheet1!$F:$H,3,FALSE)</f>
        <v>B-1903  Shiv Darshan Soc. Opp. BMC Garden  Ahimsa Marg  Nr. Infant Jesus School</v>
      </c>
    </row>
    <row r="99" spans="1:8" x14ac:dyDescent="0.25">
      <c r="A99" t="s">
        <v>5</v>
      </c>
      <c r="B99" t="s">
        <v>144</v>
      </c>
      <c r="C99">
        <v>9820153533</v>
      </c>
      <c r="D99" t="str">
        <f>_xlfn.IFNA(VLOOKUP(C99,CallLog_Latest!A:H,7,FALSE),"Not Called")</f>
        <v>Not Called</v>
      </c>
      <c r="E99" t="str">
        <f>IF(ISNA(VLOOKUP(C99,Registration!A:A,1,FALSE)),"Not Registered","Registered")</f>
        <v>Not Registered</v>
      </c>
      <c r="F99">
        <f>VLOOKUP(A99,Sheet1!A:B,2,FALSE)</f>
        <v>9323541634</v>
      </c>
      <c r="G99" t="str">
        <f>_xlfn.IFNA(VLOOKUP(C99,CallLog_Latest!A:H,8,FALSE),"")</f>
        <v/>
      </c>
      <c r="H99" t="str">
        <f>VLOOKUP(C99,[1]Sheet1!$F:$H,3,FALSE)</f>
        <v>Khatri Apartment, Flat No 206    Jayanti Shukla Marg  Opp. Aditya Plaza Bldg. Malad (W</v>
      </c>
    </row>
    <row r="100" spans="1:8" x14ac:dyDescent="0.25">
      <c r="A100" t="s">
        <v>7</v>
      </c>
      <c r="B100" t="s">
        <v>145</v>
      </c>
      <c r="C100">
        <v>9820145800</v>
      </c>
      <c r="D100" t="str">
        <f>_xlfn.IFNA(VLOOKUP(C100,CallLog_Latest!A:H,7,FALSE),"Not Called")</f>
        <v>Not Called</v>
      </c>
      <c r="E100" t="str">
        <f>IF(ISNA(VLOOKUP(C100,Registration!A:A,1,FALSE)),"Not Registered","Registered")</f>
        <v>Not Registered</v>
      </c>
      <c r="F100">
        <f>VLOOKUP(A100,Sheet1!A:B,2,FALSE)</f>
        <v>9867015031</v>
      </c>
      <c r="G100" t="str">
        <f>_xlfn.IFNA(VLOOKUP(C100,CallLog_Latest!A:H,8,FALSE),"")</f>
        <v/>
      </c>
      <c r="H100" t="str">
        <f>VLOOKUP(C100,[1]Sheet1!$F:$H,3,FALSE)</f>
        <v>F/805-806. Sonmarg Co-op Soc. Ltd. S. V Road Malad (W Mumbai 400064</v>
      </c>
    </row>
    <row r="101" spans="1:8" x14ac:dyDescent="0.25">
      <c r="A101" t="s">
        <v>9</v>
      </c>
      <c r="B101" t="s">
        <v>146</v>
      </c>
      <c r="C101">
        <v>9321451858</v>
      </c>
      <c r="D101" t="str">
        <f>_xlfn.IFNA(VLOOKUP(C101,CallLog_Latest!A:H,7,FALSE),"Not Called")</f>
        <v>Not Called</v>
      </c>
      <c r="E101" t="str">
        <f>IF(ISNA(VLOOKUP(C101,Registration!A:A,1,FALSE)),"Not Registered","Registered")</f>
        <v>Not Registered</v>
      </c>
      <c r="F101">
        <f>VLOOKUP(A101,Sheet1!A:B,2,FALSE)</f>
        <v>9821268271</v>
      </c>
      <c r="G101" t="str">
        <f>_xlfn.IFNA(VLOOKUP(C101,CallLog_Latest!A:H,8,FALSE),"")</f>
        <v/>
      </c>
      <c r="H101" t="str">
        <f>VLOOKUP(C101,[1]Sheet1!$F:$H,3,FALSE)</f>
        <v>Flat no. 504  5th floor  Simplex Khushaangan 82  Vijaykarwadi  Opp. IBP Petrol Pump  S.V. Road</v>
      </c>
    </row>
    <row r="102" spans="1:8" x14ac:dyDescent="0.25">
      <c r="A102" t="s">
        <v>11</v>
      </c>
      <c r="B102" t="s">
        <v>147</v>
      </c>
      <c r="C102">
        <v>9820255691</v>
      </c>
      <c r="D102" t="str">
        <f>_xlfn.IFNA(VLOOKUP(C102,CallLog_Latest!A:H,7,FALSE),"Not Called")</f>
        <v>Not Called</v>
      </c>
      <c r="E102" t="str">
        <f>IF(ISNA(VLOOKUP(C102,Registration!A:A,1,FALSE)),"Not Registered","Registered")</f>
        <v>Not Registered</v>
      </c>
      <c r="F102">
        <f>VLOOKUP(A102,Sheet1!A:B,2,FALSE)</f>
        <v>9322598681</v>
      </c>
      <c r="G102" t="str">
        <f>_xlfn.IFNA(VLOOKUP(C102,CallLog_Latest!A:H,8,FALSE),"")</f>
        <v/>
      </c>
      <c r="H102" t="str">
        <f>VLOOKUP(C102,[1]Sheet1!$F:$H,3,FALSE)</f>
        <v>B/504, Kingston Classic Chincholi Bunder Road</v>
      </c>
    </row>
    <row r="103" spans="1:8" x14ac:dyDescent="0.25">
      <c r="A103" t="s">
        <v>13</v>
      </c>
      <c r="B103" t="s">
        <v>148</v>
      </c>
      <c r="C103">
        <v>9820536765</v>
      </c>
      <c r="D103" t="str">
        <f>_xlfn.IFNA(VLOOKUP(C103,CallLog_Latest!A:H,7,FALSE),"Not Called")</f>
        <v>Not Called</v>
      </c>
      <c r="E103" t="str">
        <f>IF(ISNA(VLOOKUP(C103,Registration!A:A,1,FALSE)),"Not Registered","Registered")</f>
        <v>Not Registered</v>
      </c>
      <c r="F103">
        <f>VLOOKUP(A103,Sheet1!A:B,2,FALSE)</f>
        <v>9969403870</v>
      </c>
      <c r="G103" t="str">
        <f>_xlfn.IFNA(VLOOKUP(C103,CallLog_Latest!A:H,8,FALSE),"")</f>
        <v/>
      </c>
      <c r="H103" t="str">
        <f>VLOOKUP(C103,[1]Sheet1!$F:$H,3,FALSE)</f>
        <v>601 Sunvision Avenue society S.V . Road , 0pp Ration office , Malad (W</v>
      </c>
    </row>
    <row r="104" spans="1:8" x14ac:dyDescent="0.25">
      <c r="A104" t="s">
        <v>15</v>
      </c>
      <c r="B104" t="s">
        <v>149</v>
      </c>
      <c r="C104">
        <v>9833986930</v>
      </c>
      <c r="D104" t="str">
        <f>_xlfn.IFNA(VLOOKUP(C104,CallLog_Latest!A:H,7,FALSE),"Not Called")</f>
        <v>Not Called</v>
      </c>
      <c r="E104" t="str">
        <f>IF(ISNA(VLOOKUP(C104,Registration!A:A,1,FALSE)),"Not Registered","Registered")</f>
        <v>Not Registered</v>
      </c>
      <c r="F104">
        <f>VLOOKUP(A104,Sheet1!A:B,2,FALSE)</f>
        <v>9892726278</v>
      </c>
      <c r="G104" t="str">
        <f>_xlfn.IFNA(VLOOKUP(C104,CallLog_Latest!A:H,8,FALSE),"")</f>
        <v/>
      </c>
      <c r="H104" t="str">
        <f>VLOOKUP(C104,[1]Sheet1!$F:$H,3,FALSE)</f>
        <v>A-705, Kabra Diwain Tower, Near N.L. College, S.V. Road, Malad (W</v>
      </c>
    </row>
    <row r="105" spans="1:8" x14ac:dyDescent="0.25">
      <c r="A105" t="s">
        <v>17</v>
      </c>
      <c r="B105" t="s">
        <v>150</v>
      </c>
      <c r="C105">
        <v>9993325021</v>
      </c>
      <c r="D105" t="str">
        <f>_xlfn.IFNA(VLOOKUP(C105,CallLog_Latest!A:H,7,FALSE),"Not Called")</f>
        <v>Confirmed Presence ✅</v>
      </c>
      <c r="E105" t="str">
        <f>IF(ISNA(VLOOKUP(C105,Registration!A:A,1,FALSE)),"Not Registered","Registered")</f>
        <v>Registered</v>
      </c>
      <c r="F105">
        <f>VLOOKUP(A105,Sheet1!A:B,2,FALSE)</f>
        <v>9869798705</v>
      </c>
      <c r="G105">
        <f>_xlfn.IFNA(VLOOKUP(C105,CallLog_Latest!A:H,8,FALSE),"")</f>
        <v>0</v>
      </c>
      <c r="H105" t="str">
        <f>VLOOKUP(C105,[1]Sheet1!$F:$H,3,FALSE)</f>
        <v>603, Shree Balaji Enclave Behind Evershine Mall, Chincholi Bunder Road, Malad (W</v>
      </c>
    </row>
    <row r="106" spans="1:8" x14ac:dyDescent="0.25">
      <c r="A106" t="s">
        <v>19</v>
      </c>
      <c r="B106" t="s">
        <v>151</v>
      </c>
      <c r="C106">
        <v>9322724153</v>
      </c>
      <c r="D106" t="str">
        <f>_xlfn.IFNA(VLOOKUP(C106,CallLog_Latest!A:H,7,FALSE),"Not Called")</f>
        <v>Not Called</v>
      </c>
      <c r="E106" t="str">
        <f>IF(ISNA(VLOOKUP(C106,Registration!A:A,1,FALSE)),"Not Registered","Registered")</f>
        <v>Not Registered</v>
      </c>
      <c r="F106">
        <f>VLOOKUP(A106,Sheet1!A:B,2,FALSE)</f>
        <v>9820265640</v>
      </c>
      <c r="G106" t="str">
        <f>_xlfn.IFNA(VLOOKUP(C106,CallLog_Latest!A:H,8,FALSE),"")</f>
        <v/>
      </c>
      <c r="H106" t="str">
        <f>VLOOKUP(C106,[1]Sheet1!$F:$H,3,FALSE)</f>
        <v>204  Shiv Manima Appt.  C-Wing Soni Complex  Chincholi Bunder Road</v>
      </c>
    </row>
    <row r="107" spans="1:8" x14ac:dyDescent="0.25">
      <c r="A107" t="s">
        <v>21</v>
      </c>
      <c r="B107" t="s">
        <v>152</v>
      </c>
      <c r="C107">
        <v>9820013415</v>
      </c>
      <c r="D107" t="str">
        <f>_xlfn.IFNA(VLOOKUP(C107,CallLog_Latest!A:H,7,FALSE),"Not Called")</f>
        <v>Not Called</v>
      </c>
      <c r="E107" t="str">
        <f>IF(ISNA(VLOOKUP(C107,Registration!A:A,1,FALSE)),"Not Registered","Registered")</f>
        <v>Not Registered</v>
      </c>
      <c r="F107">
        <f>VLOOKUP(A107,Sheet1!A:B,2,FALSE)</f>
        <v>9820636392</v>
      </c>
      <c r="G107" t="str">
        <f>_xlfn.IFNA(VLOOKUP(C107,CallLog_Latest!A:H,8,FALSE),"")</f>
        <v/>
      </c>
      <c r="H107" t="str">
        <f>VLOOKUP(C107,[1]Sheet1!$F:$H,3,FALSE)</f>
        <v>202-A Wing Dhiraj Ganga Chincholi Road</v>
      </c>
    </row>
    <row r="108" spans="1:8" x14ac:dyDescent="0.25">
      <c r="A108" t="s">
        <v>23</v>
      </c>
      <c r="B108" t="s">
        <v>153</v>
      </c>
      <c r="C108">
        <v>9820189575</v>
      </c>
      <c r="D108" t="str">
        <f>_xlfn.IFNA(VLOOKUP(C108,CallLog_Latest!A:H,7,FALSE),"Not Called")</f>
        <v>Not Called</v>
      </c>
      <c r="E108" t="str">
        <f>IF(ISNA(VLOOKUP(C108,Registration!A:A,1,FALSE)),"Not Registered","Registered")</f>
        <v>Not Registered</v>
      </c>
      <c r="F108">
        <f>VLOOKUP(A108,Sheet1!A:B,2,FALSE)</f>
        <v>7977439717</v>
      </c>
      <c r="G108" t="str">
        <f>_xlfn.IFNA(VLOOKUP(C108,CallLog_Latest!A:H,8,FALSE),"")</f>
        <v/>
      </c>
      <c r="H108" t="str">
        <f>VLOOKUP(C108,[1]Sheet1!$F:$H,3,FALSE)</f>
        <v>B-1401  Rustomjee Elanza Near Inorbit Mall</v>
      </c>
    </row>
    <row r="109" spans="1:8" x14ac:dyDescent="0.25">
      <c r="A109" t="s">
        <v>25</v>
      </c>
      <c r="B109" t="s">
        <v>154</v>
      </c>
      <c r="C109">
        <v>9322254741</v>
      </c>
      <c r="D109" t="str">
        <f>_xlfn.IFNA(VLOOKUP(C109,CallLog_Latest!A:H,7,FALSE),"Not Called")</f>
        <v>Not Called</v>
      </c>
      <c r="E109" t="str">
        <f>IF(ISNA(VLOOKUP(C109,Registration!A:A,1,FALSE)),"Not Registered","Registered")</f>
        <v>Not Registered</v>
      </c>
      <c r="F109">
        <f>VLOOKUP(A109,Sheet1!A:B,2,FALSE)</f>
        <v>9967045520</v>
      </c>
      <c r="G109" t="str">
        <f>_xlfn.IFNA(VLOOKUP(C109,CallLog_Latest!A:H,8,FALSE),"")</f>
        <v/>
      </c>
      <c r="H109" t="str">
        <f>VLOOKUP(C109,[1]Sheet1!$F:$H,3,FALSE)</f>
        <v>1904-Kent Hight 19th Floor  Vardhman Nagar  Narsingh Lane   Opp. N.L. High School  S.V. Road</v>
      </c>
    </row>
    <row r="110" spans="1:8" x14ac:dyDescent="0.25">
      <c r="A110" t="s">
        <v>27</v>
      </c>
      <c r="B110" t="s">
        <v>155</v>
      </c>
      <c r="C110">
        <v>9820586798</v>
      </c>
      <c r="D110" t="str">
        <f>_xlfn.IFNA(VLOOKUP(C110,CallLog_Latest!A:H,7,FALSE),"Not Called")</f>
        <v>Not Called</v>
      </c>
      <c r="E110" t="str">
        <f>IF(ISNA(VLOOKUP(C110,Registration!A:A,1,FALSE)),"Not Registered","Registered")</f>
        <v>Not Registered</v>
      </c>
      <c r="F110">
        <f>VLOOKUP(A110,Sheet1!A:B,2,FALSE)</f>
        <v>9820075931</v>
      </c>
      <c r="G110" t="str">
        <f>_xlfn.IFNA(VLOOKUP(C110,CallLog_Latest!A:H,8,FALSE),"")</f>
        <v/>
      </c>
      <c r="H110" t="str">
        <f>VLOOKUP(C110,[1]Sheet1!$F:$H,3,FALSE)</f>
        <v>Flat no. 2903  Wing-B   Rustomjee Elanza CHS Ltd 1070/1 To 6  Off Link Road  Next To Inorbit Mall</v>
      </c>
    </row>
    <row r="111" spans="1:8" x14ac:dyDescent="0.25">
      <c r="A111" t="s">
        <v>29</v>
      </c>
      <c r="B111" t="s">
        <v>156</v>
      </c>
      <c r="C111">
        <v>9820922869</v>
      </c>
      <c r="D111" t="str">
        <f>_xlfn.IFNA(VLOOKUP(C111,CallLog_Latest!A:H,7,FALSE),"Not Called")</f>
        <v>Not Called</v>
      </c>
      <c r="E111" t="str">
        <f>IF(ISNA(VLOOKUP(C111,Registration!A:A,1,FALSE)),"Not Registered","Registered")</f>
        <v>Not Registered</v>
      </c>
      <c r="F111">
        <f>VLOOKUP(A111,Sheet1!A:B,2,FALSE)</f>
        <v>9819364345</v>
      </c>
      <c r="G111" t="str">
        <f>_xlfn.IFNA(VLOOKUP(C111,CallLog_Latest!A:H,8,FALSE),"")</f>
        <v/>
      </c>
      <c r="H111" t="str">
        <f>VLOOKUP(C111,[1]Sheet1!$F:$H,3,FALSE)</f>
        <v>E-501  Shiv Manthan 5th Floor  Chincholi Bunder</v>
      </c>
    </row>
    <row r="112" spans="1:8" x14ac:dyDescent="0.25">
      <c r="A112" t="s">
        <v>31</v>
      </c>
      <c r="B112" t="s">
        <v>157</v>
      </c>
      <c r="C112">
        <v>9820798553</v>
      </c>
      <c r="D112" t="str">
        <f>_xlfn.IFNA(VLOOKUP(C112,CallLog_Latest!A:H,7,FALSE),"Not Called")</f>
        <v>Not Reachable</v>
      </c>
      <c r="E112" t="str">
        <f>IF(ISNA(VLOOKUP(C112,Registration!A:A,1,FALSE)),"Not Registered","Registered")</f>
        <v>Not Registered</v>
      </c>
      <c r="F112">
        <f>VLOOKUP(A112,Sheet1!A:B,2,FALSE)</f>
        <v>9869064553</v>
      </c>
      <c r="G112">
        <f>_xlfn.IFNA(VLOOKUP(C112,CallLog_Latest!A:H,8,FALSE),"")</f>
        <v>0</v>
      </c>
      <c r="H112" t="str">
        <f>VLOOKUP(C112,[1]Sheet1!$F:$H,3,FALSE)</f>
        <v>Kingston Jewel, A wing 303 Chincholi bunder, Malad west</v>
      </c>
    </row>
    <row r="113" spans="1:8" x14ac:dyDescent="0.25">
      <c r="A113" t="s">
        <v>33</v>
      </c>
      <c r="B113" t="s">
        <v>158</v>
      </c>
      <c r="C113">
        <v>9833345544</v>
      </c>
      <c r="D113" t="str">
        <f>_xlfn.IFNA(VLOOKUP(C113,CallLog_Latest!A:H,7,FALSE),"Not Called")</f>
        <v>Confirmed Presence</v>
      </c>
      <c r="E113" t="str">
        <f>IF(ISNA(VLOOKUP(C113,Registration!A:A,1,FALSE)),"Not Registered","Registered")</f>
        <v>Not Registered</v>
      </c>
      <c r="F113">
        <f>VLOOKUP(A113,Sheet1!A:B,2,FALSE)</f>
        <v>9930070116</v>
      </c>
      <c r="G113" t="str">
        <f>_xlfn.IFNA(VLOOKUP(C113,CallLog_Latest!A:H,8,FALSE),"")</f>
        <v>3 member ll join</v>
      </c>
      <c r="H113" t="str">
        <f>VLOOKUP(C113,[1]Sheet1!$F:$H,3,FALSE)</f>
        <v>Beaumonde Plot no. 1 Flat No.5 Sunder Nagar S. V. Road, Dalmia College, Malad (W</v>
      </c>
    </row>
    <row r="114" spans="1:8" x14ac:dyDescent="0.25">
      <c r="A114" t="s">
        <v>35</v>
      </c>
      <c r="B114" t="s">
        <v>159</v>
      </c>
      <c r="C114">
        <v>9820348614</v>
      </c>
      <c r="D114" t="str">
        <f>_xlfn.IFNA(VLOOKUP(C114,CallLog_Latest!A:H,7,FALSE),"Not Called")</f>
        <v>Not Reachable</v>
      </c>
      <c r="E114" t="str">
        <f>IF(ISNA(VLOOKUP(C114,Registration!A:A,1,FALSE)),"Not Registered","Registered")</f>
        <v>Not Registered</v>
      </c>
      <c r="F114">
        <f>VLOOKUP(A114,Sheet1!A:B,2,FALSE)</f>
        <v>9833705425</v>
      </c>
      <c r="G114" t="str">
        <f>_xlfn.IFNA(VLOOKUP(C114,CallLog_Latest!A:H,8,FALSE),"")</f>
        <v>Call going to Voicemail</v>
      </c>
      <c r="H114" t="str">
        <f>VLOOKUP(C114,[1]Sheet1!$F:$H,3,FALSE)</f>
        <v>Flat no. 2903  Wing-B   Rustomjee Elanza CHS Ltd 1070/1 To 6  Off Link Road  Next To Inorbit Mall</v>
      </c>
    </row>
    <row r="115" spans="1:8" x14ac:dyDescent="0.25">
      <c r="A115" t="s">
        <v>37</v>
      </c>
      <c r="B115" t="s">
        <v>160</v>
      </c>
      <c r="C115">
        <v>9004685669</v>
      </c>
      <c r="D115" t="str">
        <f>_xlfn.IFNA(VLOOKUP(C115,CallLog_Latest!A:H,7,FALSE),"Not Called")</f>
        <v>Not Called</v>
      </c>
      <c r="E115" t="str">
        <f>IF(ISNA(VLOOKUP(C115,Registration!A:A,1,FALSE)),"Not Registered","Registered")</f>
        <v>Not Registered</v>
      </c>
      <c r="F115">
        <f>VLOOKUP(A115,Sheet1!A:B,2,FALSE)</f>
        <v>9167390835</v>
      </c>
      <c r="G115" t="str">
        <f>_xlfn.IFNA(VLOOKUP(C115,CallLog_Latest!A:H,8,FALSE),"")</f>
        <v/>
      </c>
      <c r="H115" t="str">
        <f>VLOOKUP(C115,[1]Sheet1!$F:$H,3,FALSE)</f>
        <v>B-303  Ganpati Bhawan  Opp. Shani Mandir Jayanti Shukla Road  Raipadha</v>
      </c>
    </row>
    <row r="116" spans="1:8" x14ac:dyDescent="0.25">
      <c r="A116" t="s">
        <v>39</v>
      </c>
      <c r="B116" t="s">
        <v>161</v>
      </c>
      <c r="C116">
        <v>9819082727</v>
      </c>
      <c r="D116" t="str">
        <f>_xlfn.IFNA(VLOOKUP(C116,CallLog_Latest!A:H,7,FALSE),"Not Called")</f>
        <v>Not Called</v>
      </c>
      <c r="E116" t="str">
        <f>IF(ISNA(VLOOKUP(C116,Registration!A:A,1,FALSE)),"Not Registered","Registered")</f>
        <v>Not Registered</v>
      </c>
      <c r="F116">
        <f>VLOOKUP(A116,Sheet1!A:B,2,FALSE)</f>
        <v>9820505363</v>
      </c>
      <c r="G116" t="str">
        <f>_xlfn.IFNA(VLOOKUP(C116,CallLog_Latest!A:H,8,FALSE),"")</f>
        <v/>
      </c>
      <c r="H116" t="str">
        <f>VLOOKUP(C116,[1]Sheet1!$F:$H,3,FALSE)</f>
        <v>501  Bldg No 5  Skywalk Tank Lane Orlem Malad  -</v>
      </c>
    </row>
    <row r="117" spans="1:8" x14ac:dyDescent="0.25">
      <c r="A117" t="s">
        <v>41</v>
      </c>
      <c r="B117" t="s">
        <v>162</v>
      </c>
      <c r="C117">
        <v>9867328282</v>
      </c>
      <c r="D117" t="str">
        <f>_xlfn.IFNA(VLOOKUP(C117,CallLog_Latest!A:H,7,FALSE),"Not Called")</f>
        <v>Confirmed Presence</v>
      </c>
      <c r="E117" t="str">
        <f>IF(ISNA(VLOOKUP(C117,Registration!A:A,1,FALSE)),"Not Registered","Registered")</f>
        <v>Not Registered</v>
      </c>
      <c r="F117">
        <f>VLOOKUP(A117,Sheet1!A:B,2,FALSE)</f>
        <v>8058973809</v>
      </c>
      <c r="G117">
        <f>_xlfn.IFNA(VLOOKUP(C117,CallLog_Latest!A:H,8,FALSE),"")</f>
        <v>0</v>
      </c>
      <c r="H117" t="str">
        <f>VLOOKUP(C117,[1]Sheet1!$F:$H,3,FALSE)</f>
        <v>Flat No.701-702  Bldg No.-2d Palm Spring Complex  Link Road  Next To Dmart</v>
      </c>
    </row>
    <row r="118" spans="1:8" x14ac:dyDescent="0.25">
      <c r="A118" t="s">
        <v>43</v>
      </c>
      <c r="B118" t="s">
        <v>163</v>
      </c>
      <c r="C118">
        <v>9322239904</v>
      </c>
      <c r="D118" t="str">
        <f>_xlfn.IFNA(VLOOKUP(C118,CallLog_Latest!A:H,7,FALSE),"Not Called")</f>
        <v>Not Reachable</v>
      </c>
      <c r="E118" t="str">
        <f>IF(ISNA(VLOOKUP(C118,Registration!A:A,1,FALSE)),"Not Registered","Registered")</f>
        <v>Not Registered</v>
      </c>
      <c r="F118">
        <f>VLOOKUP(A118,Sheet1!A:B,2,FALSE)</f>
        <v>9320683201</v>
      </c>
      <c r="G118" t="str">
        <f>_xlfn.IFNA(VLOOKUP(C118,CallLog_Latest!A:H,8,FALSE),"")</f>
        <v>No reply</v>
      </c>
      <c r="H118" t="str">
        <f>VLOOKUP(C118,[1]Sheet1!$F:$H,3,FALSE)</f>
        <v>B/504  Ahimsa Niketan  Ahimsa Marg Chincholi Bunder</v>
      </c>
    </row>
    <row r="119" spans="1:8" x14ac:dyDescent="0.25">
      <c r="A119" t="s">
        <v>45</v>
      </c>
      <c r="B119" t="s">
        <v>164</v>
      </c>
      <c r="C119">
        <v>9004351568</v>
      </c>
      <c r="D119" t="str">
        <f>_xlfn.IFNA(VLOOKUP(C119,CallLog_Latest!A:H,7,FALSE),"Not Called")</f>
        <v>Confirmed Presence ✅</v>
      </c>
      <c r="E119" t="str">
        <f>IF(ISNA(VLOOKUP(C119,Registration!A:A,1,FALSE)),"Not Registered","Registered")</f>
        <v>Not Registered</v>
      </c>
      <c r="F119">
        <f>VLOOKUP(A119,Sheet1!A:B,2,FALSE)</f>
        <v>9967235652</v>
      </c>
      <c r="G119">
        <f>_xlfn.IFNA(VLOOKUP(C119,CallLog_Latest!A:H,8,FALSE),"")</f>
        <v>0</v>
      </c>
      <c r="H119" t="str">
        <f>VLOOKUP(C119,[1]Sheet1!$F:$H,3,FALSE)</f>
        <v>Palm Springs, A-1203 Near Infinity Mall, Malad (W)</v>
      </c>
    </row>
    <row r="120" spans="1:8" x14ac:dyDescent="0.25">
      <c r="A120" t="s">
        <v>47</v>
      </c>
      <c r="B120" t="s">
        <v>165</v>
      </c>
      <c r="C120">
        <v>9768131767</v>
      </c>
      <c r="D120" t="str">
        <f>_xlfn.IFNA(VLOOKUP(C120,CallLog_Latest!A:H,7,FALSE),"Not Called")</f>
        <v>Confirmed Presence ✅</v>
      </c>
      <c r="E120" t="str">
        <f>IF(ISNA(VLOOKUP(C120,Registration!A:A,1,FALSE)),"Not Registered","Registered")</f>
        <v>Not Registered</v>
      </c>
      <c r="F120">
        <f>VLOOKUP(A120,Sheet1!A:B,2,FALSE)</f>
        <v>8108711149</v>
      </c>
      <c r="G120">
        <f>_xlfn.IFNA(VLOOKUP(C120,CallLog_Latest!A:H,8,FALSE),"")</f>
        <v>0</v>
      </c>
      <c r="H120" t="str">
        <f>VLOOKUP(C120,[1]Sheet1!$F:$H,3,FALSE)</f>
        <v>Laxmi Rajvilas 1204, Goregaon Mulund Link Road Opp. Rustomjee Ozone, Malad (W</v>
      </c>
    </row>
    <row r="121" spans="1:8" x14ac:dyDescent="0.25">
      <c r="A121" t="s">
        <v>49</v>
      </c>
      <c r="B121" t="s">
        <v>166</v>
      </c>
      <c r="C121">
        <v>9867388313</v>
      </c>
      <c r="D121" t="str">
        <f>_xlfn.IFNA(VLOOKUP(C121,CallLog_Latest!A:H,7,FALSE),"Not Called")</f>
        <v>Not Coming 🚫</v>
      </c>
      <c r="E121" t="str">
        <f>IF(ISNA(VLOOKUP(C121,Registration!A:A,1,FALSE)),"Not Registered","Registered")</f>
        <v>Not Registered</v>
      </c>
      <c r="F121">
        <f>VLOOKUP(A121,Sheet1!A:B,2,FALSE)</f>
        <v>9322206108</v>
      </c>
      <c r="G121" t="str">
        <f>_xlfn.IFNA(VLOOKUP(C121,CallLog_Latest!A:H,8,FALSE),"")</f>
        <v>Out of station</v>
      </c>
      <c r="H121" t="str">
        <f>VLOOKUP(C121,[1]Sheet1!$F:$H,3,FALSE)</f>
        <v>1901, F- Wing, Interface Heights, off New Link Road, Behind Infiniti Mall, Malad (W</v>
      </c>
    </row>
    <row r="122" spans="1:8" x14ac:dyDescent="0.25">
      <c r="A122" t="s">
        <v>51</v>
      </c>
      <c r="B122" t="s">
        <v>167</v>
      </c>
      <c r="C122">
        <v>8879433174</v>
      </c>
      <c r="D122" t="str">
        <f>_xlfn.IFNA(VLOOKUP(C122,CallLog_Latest!A:H,7,FALSE),"Not Called")</f>
        <v>Not Called</v>
      </c>
      <c r="E122" t="str">
        <f>IF(ISNA(VLOOKUP(C122,Registration!A:A,1,FALSE)),"Not Registered","Registered")</f>
        <v>Not Registered</v>
      </c>
      <c r="F122">
        <f>VLOOKUP(A122,Sheet1!A:B,2,FALSE)</f>
        <v>9967015641</v>
      </c>
      <c r="G122" t="str">
        <f>_xlfn.IFNA(VLOOKUP(C122,CallLog_Latest!A:H,8,FALSE),"")</f>
        <v/>
      </c>
      <c r="H122" t="str">
        <f>VLOOKUP(C122,[1]Sheet1!$F:$H,3,FALSE)</f>
        <v>B-702, Aruna Residency  Behind Sunder Nagar, Malad (W</v>
      </c>
    </row>
    <row r="123" spans="1:8" x14ac:dyDescent="0.25">
      <c r="A123" t="s">
        <v>53</v>
      </c>
      <c r="B123" t="s">
        <v>168</v>
      </c>
      <c r="C123">
        <v>9820471362</v>
      </c>
      <c r="D123" t="str">
        <f>_xlfn.IFNA(VLOOKUP(C123,CallLog_Latest!A:H,7,FALSE),"Not Called")</f>
        <v>Not Called</v>
      </c>
      <c r="E123" t="str">
        <f>IF(ISNA(VLOOKUP(C123,Registration!A:A,1,FALSE)),"Not Registered","Registered")</f>
        <v>Not Registered</v>
      </c>
      <c r="F123">
        <f>VLOOKUP(A123,Sheet1!A:B,2,FALSE)</f>
        <v>9820216355</v>
      </c>
      <c r="G123" t="str">
        <f>_xlfn.IFNA(VLOOKUP(C123,CallLog_Latest!A:H,8,FALSE),"")</f>
        <v/>
      </c>
      <c r="H123" t="str">
        <f>VLOOKUP(C123,[1]Sheet1!$F:$H,3,FALSE)</f>
        <v>502  Malad Shopping Centre  S.V. Road Near Saibaba Mandir</v>
      </c>
    </row>
    <row r="124" spans="1:8" x14ac:dyDescent="0.25">
      <c r="A124" t="s">
        <v>55</v>
      </c>
      <c r="B124" t="s">
        <v>169</v>
      </c>
      <c r="C124">
        <v>9867252526</v>
      </c>
      <c r="D124" t="str">
        <f>_xlfn.IFNA(VLOOKUP(C124,CallLog_Latest!A:H,7,FALSE),"Not Called")</f>
        <v>Confirmed Presence</v>
      </c>
      <c r="E124" t="str">
        <f>IF(ISNA(VLOOKUP(C124,Registration!A:A,1,FALSE)),"Not Registered","Registered")</f>
        <v>Not Registered</v>
      </c>
      <c r="F124">
        <f>VLOOKUP(A124,Sheet1!A:B,2,FALSE)</f>
        <v>9819083540</v>
      </c>
      <c r="G124">
        <f>_xlfn.IFNA(VLOOKUP(C124,CallLog_Latest!A:H,8,FALSE),"")</f>
        <v>0</v>
      </c>
      <c r="H124" t="str">
        <f>VLOOKUP(C124,[1]Sheet1!$F:$H,3,FALSE)</f>
        <v>Kingston Classic, B-704   Chincholi Bunder Road, Malad (W</v>
      </c>
    </row>
    <row r="125" spans="1:8" x14ac:dyDescent="0.25">
      <c r="A125" t="s">
        <v>57</v>
      </c>
      <c r="B125" t="s">
        <v>170</v>
      </c>
      <c r="C125">
        <v>9879060094</v>
      </c>
      <c r="D125" t="str">
        <f>_xlfn.IFNA(VLOOKUP(C125,CallLog_Latest!A:H,7,FALSE),"Not Called")</f>
        <v>Not Coming</v>
      </c>
      <c r="E125" t="str">
        <f>IF(ISNA(VLOOKUP(C125,Registration!A:A,1,FALSE)),"Not Registered","Registered")</f>
        <v>Not Registered</v>
      </c>
      <c r="F125">
        <f>VLOOKUP(A125,Sheet1!A:B,2,FALSE)</f>
        <v>9101910341</v>
      </c>
      <c r="G125" t="str">
        <f>_xlfn.IFNA(VLOOKUP(C125,CallLog_Latest!A:H,8,FALSE),"")</f>
        <v>Shifted to Jamnagar Gujarat. Please remove their name for future calling lists</v>
      </c>
      <c r="H125" t="str">
        <f>VLOOKUP(C125,[1]Sheet1!$F:$H,3,FALSE)</f>
        <v>A -704  Krishna Regency  Behind Sunder Nagar  Malad (W</v>
      </c>
    </row>
    <row r="126" spans="1:8" x14ac:dyDescent="0.25">
      <c r="A126" t="s">
        <v>59</v>
      </c>
      <c r="B126" t="s">
        <v>171</v>
      </c>
      <c r="C126">
        <v>9969403870</v>
      </c>
      <c r="D126" t="str">
        <f>_xlfn.IFNA(VLOOKUP(C126,CallLog_Latest!A:H,7,FALSE),"Not Called")</f>
        <v>Not Called</v>
      </c>
      <c r="E126" t="str">
        <f>IF(ISNA(VLOOKUP(C126,Registration!A:A,1,FALSE)),"Not Registered","Registered")</f>
        <v>Not Registered</v>
      </c>
      <c r="F126">
        <f>VLOOKUP(A126,Sheet1!A:B,2,FALSE)</f>
        <v>9920121726</v>
      </c>
      <c r="G126" t="str">
        <f>_xlfn.IFNA(VLOOKUP(C126,CallLog_Latest!A:H,8,FALSE),"")</f>
        <v/>
      </c>
      <c r="H126" t="str">
        <f>VLOOKUP(C126,[1]Sheet1!$F:$H,3,FALSE)</f>
        <v>A -12  Giriraj Society, Mamletdarwadi Road No. 6  Malad (W</v>
      </c>
    </row>
    <row r="127" spans="1:8" x14ac:dyDescent="0.25">
      <c r="A127" t="s">
        <v>61</v>
      </c>
      <c r="B127" t="s">
        <v>172</v>
      </c>
      <c r="C127">
        <v>9987019726</v>
      </c>
      <c r="D127" t="str">
        <f>_xlfn.IFNA(VLOOKUP(C127,CallLog_Latest!A:H,7,FALSE),"Not Called")</f>
        <v>May be Attending</v>
      </c>
      <c r="E127" t="str">
        <f>IF(ISNA(VLOOKUP(C127,Registration!A:A,1,FALSE)),"Not Registered","Registered")</f>
        <v>Not Registered</v>
      </c>
      <c r="F127">
        <f>VLOOKUP(A127,Sheet1!A:B,2,FALSE)</f>
        <v>9820779873</v>
      </c>
      <c r="G127" t="str">
        <f>_xlfn.IFNA(VLOOKUP(C127,CallLog_Latest!A:H,8,FALSE),"")</f>
        <v>Not sure if he would be able to attend</v>
      </c>
      <c r="H127" t="str">
        <f>VLOOKUP(C127,[1]Sheet1!$F:$H,3,FALSE)</f>
        <v>703  Jafoddil Tower  Pawan Baug Lane Chincholi Phatak  Off S.V Road</v>
      </c>
    </row>
    <row r="128" spans="1:8" x14ac:dyDescent="0.25">
      <c r="A128" t="s">
        <v>63</v>
      </c>
      <c r="B128" t="s">
        <v>173</v>
      </c>
      <c r="C128">
        <v>9819421252</v>
      </c>
      <c r="D128" t="str">
        <f>_xlfn.IFNA(VLOOKUP(C128,CallLog_Latest!A:H,7,FALSE),"Not Called")</f>
        <v>Confirmed Presence ✅</v>
      </c>
      <c r="E128" t="str">
        <f>IF(ISNA(VLOOKUP(C128,Registration!A:A,1,FALSE)),"Not Registered","Registered")</f>
        <v>Not Registered</v>
      </c>
      <c r="F128">
        <f>VLOOKUP(A128,Sheet1!A:B,2,FALSE)</f>
        <v>9930396709</v>
      </c>
      <c r="G128">
        <f>_xlfn.IFNA(VLOOKUP(C128,CallLog_Latest!A:H,8,FALSE),"")</f>
        <v>0</v>
      </c>
      <c r="H128" t="str">
        <f>VLOOKUP(C128,[1]Sheet1!$F:$H,3,FALSE)</f>
        <v>703,  Daffodil Tower,  Pawan Baug Lane, Near Chincholi Phatak, Malad (W</v>
      </c>
    </row>
    <row r="129" spans="1:8" x14ac:dyDescent="0.25">
      <c r="A129" t="s">
        <v>65</v>
      </c>
      <c r="B129" t="s">
        <v>174</v>
      </c>
      <c r="C129">
        <v>9930056929</v>
      </c>
      <c r="D129" t="str">
        <f>_xlfn.IFNA(VLOOKUP(C129,CallLog_Latest!A:H,7,FALSE),"Not Called")</f>
        <v>Not Called</v>
      </c>
      <c r="E129" t="str">
        <f>IF(ISNA(VLOOKUP(C129,Registration!A:A,1,FALSE)),"Not Registered","Registered")</f>
        <v>Not Registered</v>
      </c>
      <c r="F129">
        <f>VLOOKUP(A129,Sheet1!A:B,2,FALSE)</f>
        <v>7738892551</v>
      </c>
      <c r="G129" t="str">
        <f>_xlfn.IFNA(VLOOKUP(C129,CallLog_Latest!A:H,8,FALSE),"")</f>
        <v/>
      </c>
      <c r="H129" t="str">
        <f>VLOOKUP(C129,[1]Sheet1!$F:$H,3,FALSE)</f>
        <v>1501/acme  Enclave  Nagar  Inorbit Mall Malad{W},</v>
      </c>
    </row>
    <row r="130" spans="1:8" x14ac:dyDescent="0.25">
      <c r="A130" t="s">
        <v>67</v>
      </c>
      <c r="B130" t="s">
        <v>175</v>
      </c>
      <c r="C130">
        <v>9699908360</v>
      </c>
      <c r="D130" t="str">
        <f>_xlfn.IFNA(VLOOKUP(C130,CallLog_Latest!A:H,7,FALSE),"Not Called")</f>
        <v>Not Called</v>
      </c>
      <c r="E130" t="str">
        <f>IF(ISNA(VLOOKUP(C130,Registration!A:A,1,FALSE)),"Not Registered","Registered")</f>
        <v>Not Registered</v>
      </c>
      <c r="F130">
        <f>VLOOKUP(A130,Sheet1!A:B,2,FALSE)</f>
        <v>9820251565</v>
      </c>
      <c r="G130" t="str">
        <f>_xlfn.IFNA(VLOOKUP(C130,CallLog_Latest!A:H,8,FALSE),"")</f>
        <v/>
      </c>
      <c r="H130" t="str">
        <f>VLOOKUP(C130,[1]Sheet1!$F:$H,3,FALSE)</f>
        <v>1202 - A Wing   Blue Horizon CHS   Opp. Sabkuchh  Food Plaza  Near Cloudnine Hospital  Malad (W</v>
      </c>
    </row>
    <row r="131" spans="1:8" x14ac:dyDescent="0.25">
      <c r="A131" t="s">
        <v>69</v>
      </c>
      <c r="B131" t="s">
        <v>176</v>
      </c>
      <c r="C131">
        <v>9022185452</v>
      </c>
      <c r="D131" t="str">
        <f>_xlfn.IFNA(VLOOKUP(C131,CallLog_Latest!A:H,7,FALSE),"Not Called")</f>
        <v>Not Called</v>
      </c>
      <c r="E131" t="str">
        <f>IF(ISNA(VLOOKUP(C131,Registration!A:A,1,FALSE)),"Not Registered","Registered")</f>
        <v>Not Registered</v>
      </c>
      <c r="F131">
        <f>VLOOKUP(A131,Sheet1!A:B,2,FALSE)</f>
        <v>9968855475</v>
      </c>
      <c r="G131" t="str">
        <f>_xlfn.IFNA(VLOOKUP(C131,CallLog_Latest!A:H,8,FALSE),"")</f>
        <v/>
      </c>
      <c r="H131" t="str">
        <f>VLOOKUP(C131,[1]Sheet1!$F:$H,3,FALSE)</f>
        <v>3605 Auris Serinity Tower 1 Opp. Landmark Hotel Malad Link Road, Malad (W</v>
      </c>
    </row>
    <row r="132" spans="1:8" x14ac:dyDescent="0.25">
      <c r="A132" t="s">
        <v>71</v>
      </c>
      <c r="B132" t="s">
        <v>177</v>
      </c>
      <c r="C132">
        <v>7738385694</v>
      </c>
      <c r="D132" t="str">
        <f>_xlfn.IFNA(VLOOKUP(C132,CallLog_Latest!A:H,7,FALSE),"Not Called")</f>
        <v>Not Reachable</v>
      </c>
      <c r="E132" t="str">
        <f>IF(ISNA(VLOOKUP(C132,Registration!A:A,1,FALSE)),"Not Registered","Registered")</f>
        <v>Not Registered</v>
      </c>
      <c r="F132">
        <f>VLOOKUP(A132,Sheet1!A:B,2,FALSE)</f>
        <v>9405263833</v>
      </c>
      <c r="G132" t="str">
        <f>_xlfn.IFNA(VLOOKUP(C132,CallLog_Latest!A:H,8,FALSE),"")</f>
        <v>Incoming call not active</v>
      </c>
      <c r="H132" t="str">
        <f>VLOOKUP(C132,[1]Sheet1!$F:$H,3,FALSE)</f>
        <v>602  Deffodil Appartment  Pawan Baug Lane Chincholi Phatak  S.v. Road</v>
      </c>
    </row>
    <row r="133" spans="1:8" x14ac:dyDescent="0.25">
      <c r="A133" t="s">
        <v>73</v>
      </c>
      <c r="B133" t="s">
        <v>178</v>
      </c>
      <c r="C133">
        <v>9322249379</v>
      </c>
      <c r="D133" t="str">
        <f>_xlfn.IFNA(VLOOKUP(C133,CallLog_Latest!A:H,7,FALSE),"Not Called")</f>
        <v>Maybe Attending 🤔</v>
      </c>
      <c r="E133" t="str">
        <f>IF(ISNA(VLOOKUP(C133,Registration!A:A,1,FALSE)),"Not Registered","Registered")</f>
        <v>Not Registered</v>
      </c>
      <c r="F133">
        <f>VLOOKUP(A133,Sheet1!A:B,2,FALSE)</f>
        <v>8879433174</v>
      </c>
      <c r="G133">
        <f>_xlfn.IFNA(VLOOKUP(C133,CallLog_Latest!A:H,8,FALSE),"")</f>
        <v>0</v>
      </c>
      <c r="H133" t="str">
        <f>VLOOKUP(C133,[1]Sheet1!$F:$H,3,FALSE)</f>
        <v>B/502  Blue Orbit Opp. Inorbit Mall  Goregaon Mulund Link Road</v>
      </c>
    </row>
    <row r="134" spans="1:8" x14ac:dyDescent="0.25">
      <c r="A134" t="s">
        <v>75</v>
      </c>
      <c r="B134" t="s">
        <v>179</v>
      </c>
      <c r="C134">
        <v>9869789023</v>
      </c>
      <c r="D134" t="str">
        <f>_xlfn.IFNA(VLOOKUP(C134,CallLog_Latest!A:H,7,FALSE),"Not Called")</f>
        <v>Not Called</v>
      </c>
      <c r="E134" t="str">
        <f>IF(ISNA(VLOOKUP(C134,Registration!A:A,1,FALSE)),"Not Registered","Registered")</f>
        <v>Not Registered</v>
      </c>
      <c r="F134">
        <f>VLOOKUP(A134,Sheet1!A:B,2,FALSE)</f>
        <v>9993325021</v>
      </c>
      <c r="G134" t="str">
        <f>_xlfn.IFNA(VLOOKUP(C134,CallLog_Latest!A:H,8,FALSE),"")</f>
        <v/>
      </c>
      <c r="H134" t="str">
        <f>VLOOKUP(C134,[1]Sheet1!$F:$H,3,FALSE)</f>
        <v>Daffodil Tower, Flat No. 1601, 16th Floor   Pawan Baug Lane, Near Chincholi Fatak, Malad (W</v>
      </c>
    </row>
    <row r="135" spans="1:8" x14ac:dyDescent="0.25">
      <c r="A135" t="s">
        <v>12</v>
      </c>
      <c r="B135" t="s">
        <v>180</v>
      </c>
      <c r="C135">
        <v>9820454557</v>
      </c>
      <c r="D135" t="str">
        <f>_xlfn.IFNA(VLOOKUP(C135,CallLog_Latest!A:H,7,FALSE),"Not Called")</f>
        <v>Confirmed Presence</v>
      </c>
      <c r="E135" t="str">
        <f>IF(ISNA(VLOOKUP(C135,Registration!A:A,1,FALSE)),"Not Registered","Registered")</f>
        <v>Not Registered</v>
      </c>
      <c r="F135">
        <f>VLOOKUP(A135,Sheet1!A:B,2,FALSE)</f>
        <v>9820454734</v>
      </c>
      <c r="G135">
        <f>_xlfn.IFNA(VLOOKUP(C135,CallLog_Latest!A:H,8,FALSE),"")</f>
        <v>0</v>
      </c>
      <c r="H135" t="str">
        <f>VLOOKUP(C135,[1]Sheet1!$F:$H,3,FALSE)</f>
        <v>Flat no. 603  6th floor  B-Wing  Shiv Darshan Tower  Near Infent School  Sundar nagar  Ahimsha Road</v>
      </c>
    </row>
    <row r="136" spans="1:8" x14ac:dyDescent="0.25">
      <c r="A136" t="s">
        <v>78</v>
      </c>
      <c r="B136" t="s">
        <v>181</v>
      </c>
      <c r="C136">
        <v>9821116827</v>
      </c>
      <c r="D136" t="str">
        <f>_xlfn.IFNA(VLOOKUP(C136,CallLog_Latest!A:H,7,FALSE),"Not Called")</f>
        <v>Confirmed Presence</v>
      </c>
      <c r="E136" t="str">
        <f>IF(ISNA(VLOOKUP(C136,Registration!A:A,1,FALSE)),"Not Registered","Registered")</f>
        <v>Registered</v>
      </c>
      <c r="F136">
        <f>VLOOKUP(A136,Sheet1!A:B,2,FALSE)</f>
        <v>9029105124</v>
      </c>
      <c r="G136">
        <f>_xlfn.IFNA(VLOOKUP(C136,CallLog_Latest!A:H,8,FALSE),"")</f>
        <v>0</v>
      </c>
      <c r="H136" t="str">
        <f>VLOOKUP(C136,[1]Sheet1!$F:$H,3,FALSE)</f>
        <v>Mantri Pushkar H/401 Krishna Residency Sunder Nagar Malad (West .near dalmia collage.</v>
      </c>
    </row>
    <row r="137" spans="1:8" x14ac:dyDescent="0.25">
      <c r="A137" t="s">
        <v>80</v>
      </c>
      <c r="B137" t="s">
        <v>182</v>
      </c>
      <c r="C137">
        <v>9821063883</v>
      </c>
      <c r="D137" t="str">
        <f>_xlfn.IFNA(VLOOKUP(C137,CallLog_Latest!A:H,7,FALSE),"Not Called")</f>
        <v>Not Called</v>
      </c>
      <c r="E137" t="str">
        <f>IF(ISNA(VLOOKUP(C137,Registration!A:A,1,FALSE)),"Not Registered","Registered")</f>
        <v>Not Registered</v>
      </c>
      <c r="F137">
        <f>VLOOKUP(A137,Sheet1!A:B,2,FALSE)</f>
        <v>9599704370</v>
      </c>
      <c r="G137" t="str">
        <f>_xlfn.IFNA(VLOOKUP(C137,CallLog_Latest!A:H,8,FALSE),"")</f>
        <v/>
      </c>
      <c r="H137" t="str">
        <f>VLOOKUP(C137,[1]Sheet1!$F:$H,3,FALSE)</f>
        <v>11/208  Pawan Baug  Near Chincholi Fatak, S.V.Road, Malad (W</v>
      </c>
    </row>
    <row r="138" spans="1:8" x14ac:dyDescent="0.25">
      <c r="A138" t="s">
        <v>82</v>
      </c>
      <c r="B138" t="s">
        <v>183</v>
      </c>
      <c r="C138">
        <v>7874999912</v>
      </c>
      <c r="D138" t="str">
        <f>_xlfn.IFNA(VLOOKUP(C138,CallLog_Latest!A:H,7,FALSE),"Not Called")</f>
        <v>Confirmed Presence ✅</v>
      </c>
      <c r="E138" t="str">
        <f>IF(ISNA(VLOOKUP(C138,Registration!A:A,1,FALSE)),"Not Registered","Registered")</f>
        <v>Not Registered</v>
      </c>
      <c r="F138">
        <f>VLOOKUP(A138,Sheet1!A:B,2,FALSE)</f>
        <v>9824100412</v>
      </c>
      <c r="G138">
        <f>_xlfn.IFNA(VLOOKUP(C138,CallLog_Latest!A:H,8,FALSE),"")</f>
        <v>0</v>
      </c>
      <c r="H138" t="str">
        <f>VLOOKUP(C138,[1]Sheet1!$F:$H,3,FALSE)</f>
        <v>A-71-72   China Link CHS Ltd., Link Road, Opp. Malad Bus Depot, Malad (W</v>
      </c>
    </row>
    <row r="139" spans="1:8" x14ac:dyDescent="0.25">
      <c r="A139" t="s">
        <v>84</v>
      </c>
      <c r="B139" t="s">
        <v>184</v>
      </c>
      <c r="C139">
        <v>9820144077</v>
      </c>
      <c r="D139" t="str">
        <f>_xlfn.IFNA(VLOOKUP(C139,CallLog_Latest!A:H,7,FALSE),"Not Called")</f>
        <v>May be Attending</v>
      </c>
      <c r="E139" t="str">
        <f>IF(ISNA(VLOOKUP(C139,Registration!A:A,1,FALSE)),"Not Registered","Registered")</f>
        <v>Not Registered</v>
      </c>
      <c r="F139">
        <f>VLOOKUP(A139,Sheet1!A:B,2,FALSE)</f>
        <v>9225211083</v>
      </c>
      <c r="G139" t="str">
        <f>_xlfn.IFNA(VLOOKUP(C139,CallLog_Latest!A:H,8,FALSE),"")</f>
        <v>Will decide at last moment</v>
      </c>
      <c r="H139" t="str">
        <f>VLOOKUP(C139,[1]Sheet1!$F:$H,3,FALSE)</f>
        <v>Flat No.204 Shiv Gauri Apts.CHS.Ltd  B-Wing, 2nd Floor  Ahimsa Marg  Off Link Road  Behind Hotel Privilage</v>
      </c>
    </row>
    <row r="140" spans="1:8" x14ac:dyDescent="0.25">
      <c r="A140" t="s">
        <v>86</v>
      </c>
      <c r="B140" t="s">
        <v>185</v>
      </c>
      <c r="C140">
        <v>7303132886</v>
      </c>
      <c r="D140" t="str">
        <f>_xlfn.IFNA(VLOOKUP(C140,CallLog_Latest!A:H,7,FALSE),"Not Called")</f>
        <v>Not Called</v>
      </c>
      <c r="E140" t="str">
        <f>IF(ISNA(VLOOKUP(C140,Registration!A:A,1,FALSE)),"Not Registered","Registered")</f>
        <v>Not Registered</v>
      </c>
      <c r="F140">
        <f>VLOOKUP(A140,Sheet1!A:B,2,FALSE)</f>
        <v>9930252076</v>
      </c>
      <c r="G140" t="str">
        <f>_xlfn.IFNA(VLOOKUP(C140,CallLog_Latest!A:H,8,FALSE),"")</f>
        <v/>
      </c>
      <c r="H140" t="str">
        <f>VLOOKUP(C140,[1]Sheet1!$F:$H,3,FALSE)</f>
        <v>19-b  Shivam Apt. Subhash Lane</v>
      </c>
    </row>
    <row r="141" spans="1:8" x14ac:dyDescent="0.25">
      <c r="A141" t="s">
        <v>88</v>
      </c>
      <c r="B141" t="s">
        <v>186</v>
      </c>
      <c r="C141">
        <v>9820584312</v>
      </c>
      <c r="D141" t="str">
        <f>_xlfn.IFNA(VLOOKUP(C141,CallLog_Latest!A:H,7,FALSE),"Not Called")</f>
        <v>Not Called</v>
      </c>
      <c r="E141" t="str">
        <f>IF(ISNA(VLOOKUP(C141,Registration!A:A,1,FALSE)),"Not Registered","Registered")</f>
        <v>Not Registered</v>
      </c>
      <c r="F141">
        <f>VLOOKUP(A141,Sheet1!A:B,2,FALSE)</f>
        <v>9661270782</v>
      </c>
      <c r="G141" t="str">
        <f>_xlfn.IFNA(VLOOKUP(C141,CallLog_Latest!A:H,8,FALSE),"")</f>
        <v/>
      </c>
      <c r="H141" t="str">
        <f>VLOOKUP(C141,[1]Sheet1!$F:$H,3,FALSE)</f>
        <v>C - 402  Om Elegance Bldg No. 3. Chincholi Bunder Road  Opp. Infant Jesus High School  Malad (W</v>
      </c>
    </row>
    <row r="142" spans="1:8" x14ac:dyDescent="0.25">
      <c r="A142" t="s">
        <v>90</v>
      </c>
      <c r="B142" t="s">
        <v>187</v>
      </c>
      <c r="C142">
        <v>8108711149</v>
      </c>
      <c r="D142" t="str">
        <f>_xlfn.IFNA(VLOOKUP(C142,CallLog_Latest!A:H,7,FALSE),"Not Called")</f>
        <v>Not Called</v>
      </c>
      <c r="E142" t="str">
        <f>IF(ISNA(VLOOKUP(C142,Registration!A:A,1,FALSE)),"Not Registered","Registered")</f>
        <v>Not Registered</v>
      </c>
      <c r="F142">
        <f>VLOOKUP(A142,Sheet1!A:B,2,FALSE)</f>
        <v>9819128389</v>
      </c>
      <c r="G142" t="str">
        <f>_xlfn.IFNA(VLOOKUP(C142,CallLog_Latest!A:H,8,FALSE),"")</f>
        <v/>
      </c>
      <c r="H142" t="str">
        <f>VLOOKUP(C142,[1]Sheet1!$F:$H,3,FALSE)</f>
        <v>Tower 1-4601, Auris Serenity, Kanchpada Near Silver Oaks Restaurant, New Link Road, Malad (W</v>
      </c>
    </row>
    <row r="143" spans="1:8" x14ac:dyDescent="0.25">
      <c r="A143" t="s">
        <v>92</v>
      </c>
      <c r="B143" t="s">
        <v>188</v>
      </c>
      <c r="C143">
        <v>9167755531</v>
      </c>
      <c r="D143" t="str">
        <f>_xlfn.IFNA(VLOOKUP(C143,CallLog_Latest!A:H,7,FALSE),"Not Called")</f>
        <v>Not Called</v>
      </c>
      <c r="E143" t="str">
        <f>IF(ISNA(VLOOKUP(C143,Registration!A:A,1,FALSE)),"Not Registered","Registered")</f>
        <v>Not Registered</v>
      </c>
      <c r="F143">
        <f>VLOOKUP(A143,Sheet1!A:B,2,FALSE)</f>
        <v>8268665777</v>
      </c>
      <c r="G143" t="str">
        <f>_xlfn.IFNA(VLOOKUP(C143,CallLog_Latest!A:H,8,FALSE),"")</f>
        <v/>
      </c>
      <c r="H143" t="str">
        <f>VLOOKUP(C143,[1]Sheet1!$F:$H,3,FALSE)</f>
        <v>B -1002  Shiv Darshan Tower  10th Floor  Chincholi Bundar Road</v>
      </c>
    </row>
    <row r="144" spans="1:8" x14ac:dyDescent="0.25">
      <c r="A144" t="s">
        <v>94</v>
      </c>
      <c r="B144" t="s">
        <v>189</v>
      </c>
      <c r="C144">
        <v>9821053181</v>
      </c>
      <c r="D144" t="str">
        <f>_xlfn.IFNA(VLOOKUP(C144,CallLog_Latest!A:H,7,FALSE),"Not Called")</f>
        <v>Not Called</v>
      </c>
      <c r="E144" t="str">
        <f>IF(ISNA(VLOOKUP(C144,Registration!A:A,1,FALSE)),"Not Registered","Registered")</f>
        <v>Not Registered</v>
      </c>
      <c r="F144">
        <f>VLOOKUP(A144,Sheet1!A:B,2,FALSE)</f>
        <v>9920085455</v>
      </c>
      <c r="G144" t="str">
        <f>_xlfn.IFNA(VLOOKUP(C144,CallLog_Latest!A:H,8,FALSE),"")</f>
        <v/>
      </c>
      <c r="H144" t="str">
        <f>VLOOKUP(C144,[1]Sheet1!$F:$H,3,FALSE)</f>
        <v>51  Vijay Apartment  Daruwala Compound  Off S. V. Road</v>
      </c>
    </row>
    <row r="145" spans="1:8" x14ac:dyDescent="0.25">
      <c r="A145" t="s">
        <v>96</v>
      </c>
      <c r="B145" t="s">
        <v>190</v>
      </c>
      <c r="C145">
        <v>9819332481</v>
      </c>
      <c r="D145" t="str">
        <f>_xlfn.IFNA(VLOOKUP(C145,CallLog_Latest!A:H,7,FALSE),"Not Called")</f>
        <v>Not Reachable</v>
      </c>
      <c r="E145" t="str">
        <f>IF(ISNA(VLOOKUP(C145,Registration!A:A,1,FALSE)),"Not Registered","Registered")</f>
        <v>Not Registered</v>
      </c>
      <c r="F145">
        <f>VLOOKUP(A145,Sheet1!A:B,2,FALSE)</f>
        <v>9424584007</v>
      </c>
      <c r="G145" t="str">
        <f>_xlfn.IFNA(VLOOKUP(C145,CallLog_Latest!A:H,8,FALSE),"")</f>
        <v>Number invalid</v>
      </c>
      <c r="H145" t="str">
        <f>VLOOKUP(C145,[1]Sheet1!$F:$H,3,FALSE)</f>
        <v>D-1701  Interface Height Behind Infinity Mall  Off Link Road</v>
      </c>
    </row>
    <row r="146" spans="1:8" x14ac:dyDescent="0.25">
      <c r="A146" t="s">
        <v>3</v>
      </c>
      <c r="B146" t="s">
        <v>191</v>
      </c>
      <c r="C146">
        <v>9987030208</v>
      </c>
      <c r="D146" t="str">
        <f>_xlfn.IFNA(VLOOKUP(C146,CallLog_Latest!A:H,7,FALSE),"Not Called")</f>
        <v>Not Called</v>
      </c>
      <c r="E146" t="str">
        <f>IF(ISNA(VLOOKUP(C146,Registration!A:A,1,FALSE)),"Not Registered","Registered")</f>
        <v>Not Registered</v>
      </c>
      <c r="F146">
        <f>VLOOKUP(A146,Sheet1!A:B,2,FALSE)</f>
        <v>9326379737</v>
      </c>
      <c r="G146" t="str">
        <f>_xlfn.IFNA(VLOOKUP(C146,CallLog_Latest!A:H,8,FALSE),"")</f>
        <v/>
      </c>
      <c r="H146" t="str">
        <f>VLOOKUP(C146,[1]Sheet1!$F:$H,3,FALSE)</f>
        <v>I -601  Krishna Residency Near Dalmia College  Sunder Nagar, Behind Sundar Nagar, Malad (W</v>
      </c>
    </row>
    <row r="147" spans="1:8" x14ac:dyDescent="0.25">
      <c r="A147" t="s">
        <v>5</v>
      </c>
      <c r="B147" t="s">
        <v>192</v>
      </c>
      <c r="C147">
        <v>9820295197</v>
      </c>
      <c r="D147" t="str">
        <f>_xlfn.IFNA(VLOOKUP(C147,CallLog_Latest!A:H,7,FALSE),"Not Called")</f>
        <v>Not Called</v>
      </c>
      <c r="E147" t="str">
        <f>IF(ISNA(VLOOKUP(C147,Registration!A:A,1,FALSE)),"Not Registered","Registered")</f>
        <v>Not Registered</v>
      </c>
      <c r="F147">
        <f>VLOOKUP(A147,Sheet1!A:B,2,FALSE)</f>
        <v>9323541634</v>
      </c>
      <c r="G147" t="str">
        <f>_xlfn.IFNA(VLOOKUP(C147,CallLog_Latest!A:H,8,FALSE),"")</f>
        <v/>
      </c>
      <c r="H147" t="str">
        <f>VLOOKUP(C147,[1]Sheet1!$F:$H,3,FALSE)</f>
        <v>I-701  Krishna Residency Near Dalmia College  Bihand Sunder Nagar, Malad (W</v>
      </c>
    </row>
    <row r="148" spans="1:8" x14ac:dyDescent="0.25">
      <c r="A148" t="s">
        <v>7</v>
      </c>
      <c r="B148" t="s">
        <v>193</v>
      </c>
      <c r="C148">
        <v>9820215732</v>
      </c>
      <c r="D148" t="str">
        <f>_xlfn.IFNA(VLOOKUP(C148,CallLog_Latest!A:H,7,FALSE),"Not Called")</f>
        <v>Not Called</v>
      </c>
      <c r="E148" t="str">
        <f>IF(ISNA(VLOOKUP(C148,Registration!A:A,1,FALSE)),"Not Registered","Registered")</f>
        <v>Not Registered</v>
      </c>
      <c r="F148">
        <f>VLOOKUP(A148,Sheet1!A:B,2,FALSE)</f>
        <v>9867015031</v>
      </c>
      <c r="G148" t="str">
        <f>_xlfn.IFNA(VLOOKUP(C148,CallLog_Latest!A:H,8,FALSE),"")</f>
        <v/>
      </c>
      <c r="H148" t="str">
        <f>VLOOKUP(C148,[1]Sheet1!$F:$H,3,FALSE)</f>
        <v>SW/5 Nirmal Bali Chsl,    Anand Road, off New Ears Cinemas,, Malad (W</v>
      </c>
    </row>
    <row r="149" spans="1:8" x14ac:dyDescent="0.25">
      <c r="A149" t="s">
        <v>9</v>
      </c>
      <c r="B149" t="s">
        <v>194</v>
      </c>
      <c r="C149">
        <v>9967536641</v>
      </c>
      <c r="D149" t="str">
        <f>_xlfn.IFNA(VLOOKUP(C149,CallLog_Latest!A:H,7,FALSE),"Not Called")</f>
        <v>Not Called</v>
      </c>
      <c r="E149" t="str">
        <f>IF(ISNA(VLOOKUP(C149,Registration!A:A,1,FALSE)),"Not Registered","Registered")</f>
        <v>Not Registered</v>
      </c>
      <c r="F149">
        <f>VLOOKUP(A149,Sheet1!A:B,2,FALSE)</f>
        <v>9821268271</v>
      </c>
      <c r="G149" t="str">
        <f>_xlfn.IFNA(VLOOKUP(C149,CallLog_Latest!A:H,8,FALSE),"")</f>
        <v/>
      </c>
      <c r="H149" t="str">
        <f>VLOOKUP(C149,[1]Sheet1!$F:$H,3,FALSE)</f>
        <v>F/202  Bhoomi Classic  Link Road Opp. Inorbit Mall</v>
      </c>
    </row>
    <row r="150" spans="1:8" x14ac:dyDescent="0.25">
      <c r="A150" t="s">
        <v>11</v>
      </c>
      <c r="B150" t="s">
        <v>195</v>
      </c>
      <c r="C150">
        <v>9819286245</v>
      </c>
      <c r="D150" t="str">
        <f>_xlfn.IFNA(VLOOKUP(C150,CallLog_Latest!A:H,7,FALSE),"Not Called")</f>
        <v>Not Called</v>
      </c>
      <c r="E150" t="str">
        <f>IF(ISNA(VLOOKUP(C150,Registration!A:A,1,FALSE)),"Not Registered","Registered")</f>
        <v>Not Registered</v>
      </c>
      <c r="F150">
        <f>VLOOKUP(A150,Sheet1!A:B,2,FALSE)</f>
        <v>9322598681</v>
      </c>
      <c r="G150" t="str">
        <f>_xlfn.IFNA(VLOOKUP(C150,CallLog_Latest!A:H,8,FALSE),"")</f>
        <v/>
      </c>
      <c r="H150" t="str">
        <f>VLOOKUP(C150,[1]Sheet1!$F:$H,3,FALSE)</f>
        <v>1/6  Bhagwati Apartments  S. V. Road, Chincholi, Malad West,</v>
      </c>
    </row>
    <row r="151" spans="1:8" x14ac:dyDescent="0.25">
      <c r="A151" t="s">
        <v>13</v>
      </c>
      <c r="B151" t="s">
        <v>196</v>
      </c>
      <c r="C151">
        <v>8286800848</v>
      </c>
      <c r="D151" t="str">
        <f>_xlfn.IFNA(VLOOKUP(C151,CallLog_Latest!A:H,7,FALSE),"Not Called")</f>
        <v>Not Called</v>
      </c>
      <c r="E151" t="str">
        <f>IF(ISNA(VLOOKUP(C151,Registration!A:A,1,FALSE)),"Not Registered","Registered")</f>
        <v>Not Registered</v>
      </c>
      <c r="F151">
        <f>VLOOKUP(A151,Sheet1!A:B,2,FALSE)</f>
        <v>9969403870</v>
      </c>
      <c r="G151" t="str">
        <f>_xlfn.IFNA(VLOOKUP(C151,CallLog_Latest!A:H,8,FALSE),"")</f>
        <v/>
      </c>
      <c r="H151" t="str">
        <f>VLOOKUP(C151,[1]Sheet1!$F:$H,3,FALSE)</f>
        <v>Landmark Tower CHS, 21/22, New Link Road, Mith Chowki, Malad (W,</v>
      </c>
    </row>
    <row r="152" spans="1:8" x14ac:dyDescent="0.25">
      <c r="A152" t="s">
        <v>15</v>
      </c>
      <c r="B152" t="s">
        <v>197</v>
      </c>
      <c r="C152">
        <v>9320708301</v>
      </c>
      <c r="D152" t="str">
        <f>_xlfn.IFNA(VLOOKUP(C152,CallLog_Latest!A:H,7,FALSE),"Not Called")</f>
        <v>Not Called</v>
      </c>
      <c r="E152" t="str">
        <f>IF(ISNA(VLOOKUP(C152,Registration!A:A,1,FALSE)),"Not Registered","Registered")</f>
        <v>Not Registered</v>
      </c>
      <c r="F152">
        <f>VLOOKUP(A152,Sheet1!A:B,2,FALSE)</f>
        <v>9892726278</v>
      </c>
      <c r="G152" t="str">
        <f>_xlfn.IFNA(VLOOKUP(C152,CallLog_Latest!A:H,8,FALSE),"")</f>
        <v/>
      </c>
      <c r="H152" t="str">
        <f>VLOOKUP(C152,[1]Sheet1!$F:$H,3,FALSE)</f>
        <v>B702 Aruna Residency  Behind Sunder Nagar</v>
      </c>
    </row>
    <row r="153" spans="1:8" x14ac:dyDescent="0.25">
      <c r="A153" t="s">
        <v>17</v>
      </c>
      <c r="B153" t="s">
        <v>198</v>
      </c>
      <c r="C153">
        <v>9820043682</v>
      </c>
      <c r="D153" t="str">
        <f>_xlfn.IFNA(VLOOKUP(C153,CallLog_Latest!A:H,7,FALSE),"Not Called")</f>
        <v>Confirmed Presence ✅</v>
      </c>
      <c r="E153" t="str">
        <f>IF(ISNA(VLOOKUP(C153,Registration!A:A,1,FALSE)),"Not Registered","Registered")</f>
        <v>Not Registered</v>
      </c>
      <c r="F153">
        <f>VLOOKUP(A153,Sheet1!A:B,2,FALSE)</f>
        <v>9869798705</v>
      </c>
      <c r="G153">
        <f>_xlfn.IFNA(VLOOKUP(C153,CallLog_Latest!A:H,8,FALSE),"")</f>
        <v>0</v>
      </c>
      <c r="H153" t="str">
        <f>VLOOKUP(C153,[1]Sheet1!$F:$H,3,FALSE)</f>
        <v>Kalpataru Classics  A103  Off. S. V.Road Chincholi Bander Road  Nr. Dall Mill, Malad (W</v>
      </c>
    </row>
    <row r="154" spans="1:8" x14ac:dyDescent="0.25">
      <c r="A154" t="s">
        <v>19</v>
      </c>
      <c r="B154" t="s">
        <v>199</v>
      </c>
      <c r="C154">
        <v>8850483345</v>
      </c>
      <c r="D154" t="str">
        <f>_xlfn.IFNA(VLOOKUP(C154,CallLog_Latest!A:H,7,FALSE),"Not Called")</f>
        <v>Not Called</v>
      </c>
      <c r="E154" t="str">
        <f>IF(ISNA(VLOOKUP(C154,Registration!A:A,1,FALSE)),"Not Registered","Registered")</f>
        <v>Not Registered</v>
      </c>
      <c r="F154">
        <f>VLOOKUP(A154,Sheet1!A:B,2,FALSE)</f>
        <v>9820265640</v>
      </c>
      <c r="G154" t="str">
        <f>_xlfn.IFNA(VLOOKUP(C154,CallLog_Latest!A:H,8,FALSE),"")</f>
        <v/>
      </c>
      <c r="H154" t="str">
        <f>VLOOKUP(C154,[1]Sheet1!$F:$H,3,FALSE)</f>
        <v>Evershine Grandeur, A/301, Mindspace, Malad (W,</v>
      </c>
    </row>
    <row r="155" spans="1:8" x14ac:dyDescent="0.25">
      <c r="A155" t="s">
        <v>21</v>
      </c>
      <c r="B155" t="s">
        <v>200</v>
      </c>
      <c r="C155">
        <v>9323401354</v>
      </c>
      <c r="D155" t="str">
        <f>_xlfn.IFNA(VLOOKUP(C155,CallLog_Latest!A:H,7,FALSE),"Not Called")</f>
        <v>Not Called</v>
      </c>
      <c r="E155" t="str">
        <f>IF(ISNA(VLOOKUP(C155,Registration!A:A,1,FALSE)),"Not Registered","Registered")</f>
        <v>Not Registered</v>
      </c>
      <c r="F155">
        <f>VLOOKUP(A155,Sheet1!A:B,2,FALSE)</f>
        <v>9820636392</v>
      </c>
      <c r="G155" t="str">
        <f>_xlfn.IFNA(VLOOKUP(C155,CallLog_Latest!A:H,8,FALSE),"")</f>
        <v/>
      </c>
      <c r="H155" t="str">
        <f>VLOOKUP(C155,[1]Sheet1!$F:$H,3,FALSE)</f>
        <v>A-301  Evershine Grandeur Behind Inorbit Mall</v>
      </c>
    </row>
    <row r="156" spans="1:8" x14ac:dyDescent="0.25">
      <c r="A156" t="s">
        <v>23</v>
      </c>
      <c r="B156" t="s">
        <v>201</v>
      </c>
      <c r="C156">
        <v>9322273385</v>
      </c>
      <c r="D156" t="str">
        <f>_xlfn.IFNA(VLOOKUP(C156,CallLog_Latest!A:H,7,FALSE),"Not Called")</f>
        <v>Not Called</v>
      </c>
      <c r="E156" t="str">
        <f>IF(ISNA(VLOOKUP(C156,Registration!A:A,1,FALSE)),"Not Registered","Registered")</f>
        <v>Not Registered</v>
      </c>
      <c r="F156">
        <f>VLOOKUP(A156,Sheet1!A:B,2,FALSE)</f>
        <v>7977439717</v>
      </c>
      <c r="G156" t="str">
        <f>_xlfn.IFNA(VLOOKUP(C156,CallLog_Latest!A:H,8,FALSE),"")</f>
        <v/>
      </c>
      <c r="H156" t="str">
        <f>VLOOKUP(C156,[1]Sheet1!$F:$H,3,FALSE)</f>
        <v>Evershine Grandeur, A/301, Mindspace, Malad (W, Mumbai - 400064</v>
      </c>
    </row>
    <row r="157" spans="1:8" x14ac:dyDescent="0.25">
      <c r="A157" t="s">
        <v>25</v>
      </c>
      <c r="B157" t="s">
        <v>202</v>
      </c>
      <c r="C157">
        <v>8879103467</v>
      </c>
      <c r="D157" t="str">
        <f>_xlfn.IFNA(VLOOKUP(C157,CallLog_Latest!A:H,7,FALSE),"Not Called")</f>
        <v>Not Called</v>
      </c>
      <c r="E157" t="str">
        <f>IF(ISNA(VLOOKUP(C157,Registration!A:A,1,FALSE)),"Not Registered","Registered")</f>
        <v>Not Registered</v>
      </c>
      <c r="F157">
        <f>VLOOKUP(A157,Sheet1!A:B,2,FALSE)</f>
        <v>9967045520</v>
      </c>
      <c r="G157" t="str">
        <f>_xlfn.IFNA(VLOOKUP(C157,CallLog_Latest!A:H,8,FALSE),"")</f>
        <v/>
      </c>
      <c r="H157" t="str">
        <f>VLOOKUP(C157,[1]Sheet1!$F:$H,3,FALSE)</f>
        <v>Shop no.1  Saibaba Chamber  Nr. Malad Shopping Center Nr. Nagesh Homeopathic  Swami Vivekanand Road</v>
      </c>
    </row>
    <row r="158" spans="1:8" x14ac:dyDescent="0.25">
      <c r="A158" t="s">
        <v>27</v>
      </c>
      <c r="B158" t="s">
        <v>203</v>
      </c>
      <c r="C158">
        <v>9869318879</v>
      </c>
      <c r="D158" t="str">
        <f>_xlfn.IFNA(VLOOKUP(C158,CallLog_Latest!A:H,7,FALSE),"Not Called")</f>
        <v>Not Called</v>
      </c>
      <c r="E158" t="str">
        <f>IF(ISNA(VLOOKUP(C158,Registration!A:A,1,FALSE)),"Not Registered","Registered")</f>
        <v>Not Registered</v>
      </c>
      <c r="F158">
        <f>VLOOKUP(A158,Sheet1!A:B,2,FALSE)</f>
        <v>9820075931</v>
      </c>
      <c r="G158" t="str">
        <f>_xlfn.IFNA(VLOOKUP(C158,CallLog_Latest!A:H,8,FALSE),"")</f>
        <v/>
      </c>
      <c r="H158" t="str">
        <f>VLOOKUP(C158,[1]Sheet1!$F:$H,3,FALSE)</f>
        <v>B-605  Kingston Complex Chincholi Bunder Road</v>
      </c>
    </row>
    <row r="159" spans="1:8" x14ac:dyDescent="0.25">
      <c r="A159" t="s">
        <v>29</v>
      </c>
      <c r="B159" t="s">
        <v>204</v>
      </c>
      <c r="C159">
        <v>9820683187</v>
      </c>
      <c r="D159" t="str">
        <f>_xlfn.IFNA(VLOOKUP(C159,CallLog_Latest!A:H,7,FALSE),"Not Called")</f>
        <v>Not Called</v>
      </c>
      <c r="E159" t="str">
        <f>IF(ISNA(VLOOKUP(C159,Registration!A:A,1,FALSE)),"Not Registered","Registered")</f>
        <v>Not Registered</v>
      </c>
      <c r="F159">
        <f>VLOOKUP(A159,Sheet1!A:B,2,FALSE)</f>
        <v>9819364345</v>
      </c>
      <c r="G159" t="str">
        <f>_xlfn.IFNA(VLOOKUP(C159,CallLog_Latest!A:H,8,FALSE),"")</f>
        <v/>
      </c>
      <c r="H159" t="str">
        <f>VLOOKUP(C159,[1]Sheet1!$F:$H,3,FALSE)</f>
        <v>B-103  Ahimsa Enclave Opp. Subkuchh  Link Road</v>
      </c>
    </row>
    <row r="160" spans="1:8" x14ac:dyDescent="0.25">
      <c r="A160" t="s">
        <v>31</v>
      </c>
      <c r="B160" t="s">
        <v>205</v>
      </c>
      <c r="C160">
        <v>9769373893</v>
      </c>
      <c r="D160" t="str">
        <f>_xlfn.IFNA(VLOOKUP(C160,CallLog_Latest!A:H,7,FALSE),"Not Called")</f>
        <v>Confirmed Presence</v>
      </c>
      <c r="E160" t="str">
        <f>IF(ISNA(VLOOKUP(C160,Registration!A:A,1,FALSE)),"Not Registered","Registered")</f>
        <v>Not Registered</v>
      </c>
      <c r="F160">
        <f>VLOOKUP(A160,Sheet1!A:B,2,FALSE)</f>
        <v>9869064553</v>
      </c>
      <c r="G160">
        <f>_xlfn.IFNA(VLOOKUP(C160,CallLog_Latest!A:H,8,FALSE),"")</f>
        <v>0</v>
      </c>
      <c r="H160" t="str">
        <f>VLOOKUP(C160,[1]Sheet1!$F:$H,3,FALSE)</f>
        <v>Abhanga Samata CHSL, Arkade Serene, Flat 2105-2106, Sunder Nagar, S.V. Road, Near Dalmia College, Malad (W,</v>
      </c>
    </row>
    <row r="161" spans="1:8" x14ac:dyDescent="0.25">
      <c r="A161" t="s">
        <v>33</v>
      </c>
      <c r="B161" t="s">
        <v>206</v>
      </c>
      <c r="C161">
        <v>9867122626</v>
      </c>
      <c r="D161" t="str">
        <f>_xlfn.IFNA(VLOOKUP(C161,CallLog_Latest!A:H,7,FALSE),"Not Called")</f>
        <v>Not Coming</v>
      </c>
      <c r="E161" t="str">
        <f>IF(ISNA(VLOOKUP(C161,Registration!A:A,1,FALSE)),"Not Registered","Registered")</f>
        <v>Not Registered</v>
      </c>
      <c r="F161">
        <f>VLOOKUP(A161,Sheet1!A:B,2,FALSE)</f>
        <v>9930070116</v>
      </c>
      <c r="G161">
        <f>_xlfn.IFNA(VLOOKUP(C161,CallLog_Latest!A:H,8,FALSE),"")</f>
        <v>0</v>
      </c>
      <c r="H161" t="str">
        <f>VLOOKUP(C161,[1]Sheet1!$F:$H,3,FALSE)</f>
        <v>H 103  Neel Kamal Co-Op Society  Chincholi Gate</v>
      </c>
    </row>
    <row r="162" spans="1:8" x14ac:dyDescent="0.25">
      <c r="A162" t="s">
        <v>35</v>
      </c>
      <c r="B162" t="s">
        <v>207</v>
      </c>
      <c r="C162">
        <v>9820130862</v>
      </c>
      <c r="D162" t="str">
        <f>_xlfn.IFNA(VLOOKUP(C162,CallLog_Latest!A:H,7,FALSE),"Not Called")</f>
        <v>Confirmed Presence ✅</v>
      </c>
      <c r="E162" t="str">
        <f>IF(ISNA(VLOOKUP(C162,Registration!A:A,1,FALSE)),"Not Registered","Registered")</f>
        <v>Not Registered</v>
      </c>
      <c r="F162">
        <f>VLOOKUP(A162,Sheet1!A:B,2,FALSE)</f>
        <v>9833705425</v>
      </c>
      <c r="G162">
        <f>_xlfn.IFNA(VLOOKUP(C162,CallLog_Latest!A:H,8,FALSE),"")</f>
        <v>0</v>
      </c>
      <c r="H162" t="str">
        <f>VLOOKUP(C162,[1]Sheet1!$F:$H,3,FALSE)</f>
        <v>302/303,  Ashmita Abhishek Chs. Opp. Dalmiya College  Sunder Nagar  S.V. Road, Malad (W</v>
      </c>
    </row>
    <row r="163" spans="1:8" x14ac:dyDescent="0.25">
      <c r="A163" t="s">
        <v>37</v>
      </c>
      <c r="B163" t="s">
        <v>208</v>
      </c>
      <c r="C163">
        <v>9820916098</v>
      </c>
      <c r="D163" t="str">
        <f>_xlfn.IFNA(VLOOKUP(C163,CallLog_Latest!A:H,7,FALSE),"Not Called")</f>
        <v>Not Called</v>
      </c>
      <c r="E163" t="str">
        <f>IF(ISNA(VLOOKUP(C163,Registration!A:A,1,FALSE)),"Not Registered","Registered")</f>
        <v>Not Registered</v>
      </c>
      <c r="F163">
        <f>VLOOKUP(A163,Sheet1!A:B,2,FALSE)</f>
        <v>9167390835</v>
      </c>
      <c r="G163" t="str">
        <f>_xlfn.IFNA(VLOOKUP(C163,CallLog_Latest!A:H,8,FALSE),"")</f>
        <v/>
      </c>
      <c r="H163" t="str">
        <f>VLOOKUP(C163,[1]Sheet1!$F:$H,3,FALSE)</f>
        <v>611  C-Wing  Dheeraj Pooja CHS Chincholi Bunder Road</v>
      </c>
    </row>
    <row r="164" spans="1:8" x14ac:dyDescent="0.25">
      <c r="A164" t="s">
        <v>39</v>
      </c>
      <c r="B164" t="s">
        <v>209</v>
      </c>
      <c r="C164">
        <v>9076054588</v>
      </c>
      <c r="D164" t="str">
        <f>_xlfn.IFNA(VLOOKUP(C164,CallLog_Latest!A:H,7,FALSE),"Not Called")</f>
        <v>Confirmed Presence</v>
      </c>
      <c r="E164" t="str">
        <f>IF(ISNA(VLOOKUP(C164,Registration!A:A,1,FALSE)),"Not Registered","Registered")</f>
        <v>Not Registered</v>
      </c>
      <c r="F164">
        <f>VLOOKUP(A164,Sheet1!A:B,2,FALSE)</f>
        <v>9820505363</v>
      </c>
      <c r="G164" t="str">
        <f>_xlfn.IFNA(VLOOKUP(C164,CallLog_Latest!A:H,8,FALSE),"")</f>
        <v>Will register</v>
      </c>
      <c r="H164" t="str">
        <f>VLOOKUP(C164,[1]Sheet1!$F:$H,3,FALSE)</f>
        <v>C-609/610,  Dheeraj Pooja , Chincholi Bunder Road, Malad (West</v>
      </c>
    </row>
    <row r="165" spans="1:8" x14ac:dyDescent="0.25">
      <c r="A165" t="s">
        <v>41</v>
      </c>
      <c r="B165" t="s">
        <v>210</v>
      </c>
      <c r="C165">
        <v>9702292855</v>
      </c>
      <c r="D165" t="str">
        <f>_xlfn.IFNA(VLOOKUP(C165,CallLog_Latest!A:H,7,FALSE),"Not Called")</f>
        <v>Confirmed Presence</v>
      </c>
      <c r="E165" t="str">
        <f>IF(ISNA(VLOOKUP(C165,Registration!A:A,1,FALSE)),"Not Registered","Registered")</f>
        <v>Not Registered</v>
      </c>
      <c r="F165">
        <f>VLOOKUP(A165,Sheet1!A:B,2,FALSE)</f>
        <v>8058973809</v>
      </c>
      <c r="G165">
        <f>_xlfn.IFNA(VLOOKUP(C165,CallLog_Latest!A:H,8,FALSE),"")</f>
        <v>0</v>
      </c>
      <c r="H165" t="str">
        <f>VLOOKUP(C165,[1]Sheet1!$F:$H,3,FALSE)</f>
        <v>B-1503  Blue Orbit  Goregaon Mulund Link Road Opp. Inorbit Mall</v>
      </c>
    </row>
    <row r="166" spans="1:8" x14ac:dyDescent="0.25">
      <c r="A166" t="s">
        <v>43</v>
      </c>
      <c r="B166" t="s">
        <v>211</v>
      </c>
      <c r="C166">
        <v>9820916099</v>
      </c>
      <c r="D166" t="str">
        <f>_xlfn.IFNA(VLOOKUP(C166,CallLog_Latest!A:H,7,FALSE),"Not Called")</f>
        <v>Confirmed Presence ✅</v>
      </c>
      <c r="E166" t="str">
        <f>IF(ISNA(VLOOKUP(C166,Registration!A:A,1,FALSE)),"Not Registered","Registered")</f>
        <v>Not Registered</v>
      </c>
      <c r="F166">
        <f>VLOOKUP(A166,Sheet1!A:B,2,FALSE)</f>
        <v>9320683201</v>
      </c>
      <c r="G166" t="str">
        <f>_xlfn.IFNA(VLOOKUP(C166,CallLog_Latest!A:H,8,FALSE),"")</f>
        <v>3 members</v>
      </c>
      <c r="H166" t="str">
        <f>VLOOKUP(C166,[1]Sheet1!$F:$H,3,FALSE)</f>
        <v>610  C-Wing, Dheeraj Pooja Chs.,  Infant Jesus School Lane, Chincholi Bunder Road, Malad (West</v>
      </c>
    </row>
    <row r="167" spans="1:8" x14ac:dyDescent="0.25">
      <c r="A167" t="s">
        <v>45</v>
      </c>
      <c r="B167" t="s">
        <v>212</v>
      </c>
      <c r="C167">
        <v>9167598389</v>
      </c>
      <c r="D167" t="str">
        <f>_xlfn.IFNA(VLOOKUP(C167,CallLog_Latest!A:H,7,FALSE),"Not Called")</f>
        <v>Not Reachable</v>
      </c>
      <c r="E167" t="str">
        <f>IF(ISNA(VLOOKUP(C167,Registration!A:A,1,FALSE)),"Not Registered","Registered")</f>
        <v>Not Registered</v>
      </c>
      <c r="F167">
        <f>VLOOKUP(A167,Sheet1!A:B,2,FALSE)</f>
        <v>9967235652</v>
      </c>
      <c r="G167" t="str">
        <f>_xlfn.IFNA(VLOOKUP(C167,CallLog_Latest!A:H,8,FALSE),"")</f>
        <v>No reply</v>
      </c>
      <c r="H167" t="str">
        <f>VLOOKUP(C167,[1]Sheet1!$F:$H,3,FALSE)</f>
        <v>A-201, Om Ashish Chsl Ltd. Opp. Nutan Ayojan Nagar, Liberty Garden. Cross Road no. 4, Malad (W</v>
      </c>
    </row>
    <row r="168" spans="1:8" x14ac:dyDescent="0.25">
      <c r="A168" t="s">
        <v>47</v>
      </c>
      <c r="B168" t="s">
        <v>213</v>
      </c>
      <c r="C168">
        <v>9324287945</v>
      </c>
      <c r="D168" t="str">
        <f>_xlfn.IFNA(VLOOKUP(C168,CallLog_Latest!A:H,7,FALSE),"Not Called")</f>
        <v>Maybe Attending 🤔</v>
      </c>
      <c r="E168" t="str">
        <f>IF(ISNA(VLOOKUP(C168,Registration!A:A,1,FALSE)),"Not Registered","Registered")</f>
        <v>Not Registered</v>
      </c>
      <c r="F168">
        <f>VLOOKUP(A168,Sheet1!A:B,2,FALSE)</f>
        <v>8108711149</v>
      </c>
      <c r="G168">
        <f>_xlfn.IFNA(VLOOKUP(C168,CallLog_Latest!A:H,8,FALSE),"")</f>
        <v>0</v>
      </c>
      <c r="H168" t="str">
        <f>VLOOKUP(C168,[1]Sheet1!$F:$H,3,FALSE)</f>
        <v>101 A Wing  Shivganga Bldg No.2 Ahimsa Marg Of Chincholi Bunder Road Malad (W -</v>
      </c>
    </row>
    <row r="169" spans="1:8" x14ac:dyDescent="0.25">
      <c r="A169" t="s">
        <v>49</v>
      </c>
      <c r="B169" t="s">
        <v>214</v>
      </c>
      <c r="C169">
        <v>9769166643</v>
      </c>
      <c r="D169" t="str">
        <f>_xlfn.IFNA(VLOOKUP(C169,CallLog_Latest!A:H,7,FALSE),"Not Called")</f>
        <v>Not Reachable</v>
      </c>
      <c r="E169" t="str">
        <f>IF(ISNA(VLOOKUP(C169,Registration!A:A,1,FALSE)),"Not Registered","Registered")</f>
        <v>Not Registered</v>
      </c>
      <c r="F169">
        <f>VLOOKUP(A169,Sheet1!A:B,2,FALSE)</f>
        <v>9322206108</v>
      </c>
      <c r="G169">
        <f>_xlfn.IFNA(VLOOKUP(C169,CallLog_Latest!A:H,8,FALSE),"")</f>
        <v>0</v>
      </c>
      <c r="H169" t="str">
        <f>VLOOKUP(C169,[1]Sheet1!$F:$H,3,FALSE)</f>
        <v>B/401  Abrol House  Khandelwal Layout, Ramchandra Lane extension, Evershine Nagar  Malad (W</v>
      </c>
    </row>
    <row r="170" spans="1:8" x14ac:dyDescent="0.25">
      <c r="A170" t="s">
        <v>51</v>
      </c>
      <c r="B170" t="s">
        <v>215</v>
      </c>
      <c r="C170">
        <v>9930262472</v>
      </c>
      <c r="D170" t="str">
        <f>_xlfn.IFNA(VLOOKUP(C170,CallLog_Latest!A:H,7,FALSE),"Not Called")</f>
        <v>Not Called</v>
      </c>
      <c r="E170" t="str">
        <f>IF(ISNA(VLOOKUP(C170,Registration!A:A,1,FALSE)),"Not Registered","Registered")</f>
        <v>Not Registered</v>
      </c>
      <c r="F170">
        <f>VLOOKUP(A170,Sheet1!A:B,2,FALSE)</f>
        <v>9967015641</v>
      </c>
      <c r="G170" t="str">
        <f>_xlfn.IFNA(VLOOKUP(C170,CallLog_Latest!A:H,8,FALSE),"")</f>
        <v/>
      </c>
      <c r="H170" t="str">
        <f>VLOOKUP(C170,[1]Sheet1!$F:$H,3,FALSE)</f>
        <v>C-709. Dheeraj Pooja CHS. Ltd. Chincholi Bunder Road,  Near Infant Jesus School, Malad West</v>
      </c>
    </row>
    <row r="171" spans="1:8" x14ac:dyDescent="0.25">
      <c r="A171" t="s">
        <v>53</v>
      </c>
      <c r="B171" t="s">
        <v>216</v>
      </c>
      <c r="C171">
        <v>9022906023</v>
      </c>
      <c r="D171" t="str">
        <f>_xlfn.IFNA(VLOOKUP(C171,CallLog_Latest!A:H,7,FALSE),"Not Called")</f>
        <v>Not Called</v>
      </c>
      <c r="E171" t="str">
        <f>IF(ISNA(VLOOKUP(C171,Registration!A:A,1,FALSE)),"Not Registered","Registered")</f>
        <v>Not Registered</v>
      </c>
      <c r="F171">
        <f>VLOOKUP(A171,Sheet1!A:B,2,FALSE)</f>
        <v>9820216355</v>
      </c>
      <c r="G171" t="str">
        <f>_xlfn.IFNA(VLOOKUP(C171,CallLog_Latest!A:H,8,FALSE),"")</f>
        <v/>
      </c>
      <c r="H171" t="str">
        <f>VLOOKUP(C171,[1]Sheet1!$F:$H,3,FALSE)</f>
        <v>B 202  Shivdarshan CHS  Ahimsa Marg  Off Link Road, Malad (W</v>
      </c>
    </row>
    <row r="172" spans="1:8" x14ac:dyDescent="0.25">
      <c r="A172" t="s">
        <v>55</v>
      </c>
      <c r="B172" t="s">
        <v>217</v>
      </c>
      <c r="C172">
        <v>9975629760</v>
      </c>
      <c r="D172" t="str">
        <f>_xlfn.IFNA(VLOOKUP(C172,CallLog_Latest!A:H,7,FALSE),"Not Called")</f>
        <v>Not Coming</v>
      </c>
      <c r="E172" t="str">
        <f>IF(ISNA(VLOOKUP(C172,Registration!A:A,1,FALSE)),"Not Registered","Registered")</f>
        <v>Not Registered</v>
      </c>
      <c r="F172">
        <f>VLOOKUP(A172,Sheet1!A:B,2,FALSE)</f>
        <v>9819083540</v>
      </c>
      <c r="G172" t="str">
        <f>_xlfn.IFNA(VLOOKUP(C172,CallLog_Latest!A:H,8,FALSE),"")</f>
        <v>shifted to lower parel</v>
      </c>
      <c r="H172" t="str">
        <f>VLOOKUP(C172,[1]Sheet1!$F:$H,3,FALSE)</f>
        <v>402/A  Shiv Gauri Apartments Near Privilege Inn Hotel  Off Chincholi Bunder Road</v>
      </c>
    </row>
    <row r="173" spans="1:8" x14ac:dyDescent="0.25">
      <c r="A173" t="s">
        <v>57</v>
      </c>
      <c r="B173" t="s">
        <v>218</v>
      </c>
      <c r="C173">
        <v>9820916001</v>
      </c>
      <c r="D173" t="str">
        <f>_xlfn.IFNA(VLOOKUP(C173,CallLog_Latest!A:H,7,FALSE),"Not Called")</f>
        <v>Confirmed Presence</v>
      </c>
      <c r="E173" t="str">
        <f>IF(ISNA(VLOOKUP(C173,Registration!A:A,1,FALSE)),"Not Registered","Registered")</f>
        <v>Not Registered</v>
      </c>
      <c r="F173">
        <f>VLOOKUP(A173,Sheet1!A:B,2,FALSE)</f>
        <v>9101910341</v>
      </c>
      <c r="G173">
        <f>_xlfn.IFNA(VLOOKUP(C173,CallLog_Latest!A:H,8,FALSE),"")</f>
        <v>0</v>
      </c>
      <c r="H173" t="str">
        <f>VLOOKUP(C173,[1]Sheet1!$F:$H,3,FALSE)</f>
        <v>710  C-wing  Dheeraj Pooja CHS Dheeraj Pooja CHS</v>
      </c>
    </row>
    <row r="174" spans="1:8" x14ac:dyDescent="0.25">
      <c r="A174" t="s">
        <v>59</v>
      </c>
      <c r="B174" t="s">
        <v>219</v>
      </c>
      <c r="C174">
        <v>9033322444</v>
      </c>
      <c r="D174" t="str">
        <f>_xlfn.IFNA(VLOOKUP(C174,CallLog_Latest!A:H,7,FALSE),"Not Called")</f>
        <v>Not Called</v>
      </c>
      <c r="E174" t="str">
        <f>IF(ISNA(VLOOKUP(C174,Registration!A:A,1,FALSE)),"Not Registered","Registered")</f>
        <v>Not Registered</v>
      </c>
      <c r="F174">
        <f>VLOOKUP(A174,Sheet1!A:B,2,FALSE)</f>
        <v>9920121726</v>
      </c>
      <c r="G174" t="str">
        <f>_xlfn.IFNA(VLOOKUP(C174,CallLog_Latest!A:H,8,FALSE),"")</f>
        <v/>
      </c>
      <c r="H174" t="str">
        <f>VLOOKUP(C174,[1]Sheet1!$F:$H,3,FALSE)</f>
        <v>Shailja Apartment, 604 Evershine Nagar, Khandelwal Layout, Malad (W</v>
      </c>
    </row>
    <row r="175" spans="1:8" x14ac:dyDescent="0.25">
      <c r="A175" t="s">
        <v>61</v>
      </c>
      <c r="B175" t="s">
        <v>220</v>
      </c>
      <c r="C175">
        <v>9004677979</v>
      </c>
      <c r="D175" t="str">
        <f>_xlfn.IFNA(VLOOKUP(C175,CallLog_Latest!A:H,7,FALSE),"Not Called")</f>
        <v>Maybe Attending 🤔</v>
      </c>
      <c r="E175" t="str">
        <f>IF(ISNA(VLOOKUP(C175,Registration!A:A,1,FALSE)),"Not Registered","Registered")</f>
        <v>Not Registered</v>
      </c>
      <c r="F175">
        <f>VLOOKUP(A175,Sheet1!A:B,2,FALSE)</f>
        <v>9820779873</v>
      </c>
      <c r="G175" t="str">
        <f>_xlfn.IFNA(VLOOKUP(C175,CallLog_Latest!A:H,8,FALSE),"")</f>
        <v>2 people may attend</v>
      </c>
      <c r="H175" t="str">
        <f>VLOOKUP(C175,[1]Sheet1!$F:$H,3,FALSE)</f>
        <v>901-902  Acme Enclave Vasari Hill  Off Link Road Malad (W</v>
      </c>
    </row>
    <row r="176" spans="1:8" x14ac:dyDescent="0.25">
      <c r="A176" t="s">
        <v>63</v>
      </c>
      <c r="B176" t="s">
        <v>221</v>
      </c>
      <c r="C176">
        <v>9819674012</v>
      </c>
      <c r="D176" t="str">
        <f>_xlfn.IFNA(VLOOKUP(C176,CallLog_Latest!A:H,7,FALSE),"Not Called")</f>
        <v>Not Called</v>
      </c>
      <c r="E176" t="str">
        <f>IF(ISNA(VLOOKUP(C176,Registration!A:A,1,FALSE)),"Not Registered","Registered")</f>
        <v>Not Registered</v>
      </c>
      <c r="F176">
        <f>VLOOKUP(A176,Sheet1!A:B,2,FALSE)</f>
        <v>9930396709</v>
      </c>
      <c r="G176" t="str">
        <f>_xlfn.IFNA(VLOOKUP(C176,CallLog_Latest!A:H,8,FALSE),"")</f>
        <v/>
      </c>
      <c r="H176" t="str">
        <f>VLOOKUP(C176,[1]Sheet1!$F:$H,3,FALSE)</f>
        <v>301  Satyam Shivam Khandelwal Layout  Evershine Nagar, Malad (W</v>
      </c>
    </row>
    <row r="177" spans="1:8" x14ac:dyDescent="0.25">
      <c r="A177" t="s">
        <v>65</v>
      </c>
      <c r="B177" t="s">
        <v>222</v>
      </c>
      <c r="C177">
        <v>8222092111</v>
      </c>
      <c r="D177" t="str">
        <f>_xlfn.IFNA(VLOOKUP(C177,CallLog_Latest!A:H,7,FALSE),"Not Called")</f>
        <v>Not Called</v>
      </c>
      <c r="E177" t="str">
        <f>IF(ISNA(VLOOKUP(C177,Registration!A:A,1,FALSE)),"Not Registered","Registered")</f>
        <v>Not Registered</v>
      </c>
      <c r="F177">
        <f>VLOOKUP(A177,Sheet1!A:B,2,FALSE)</f>
        <v>7738892551</v>
      </c>
      <c r="G177" t="str">
        <f>_xlfn.IFNA(VLOOKUP(C177,CallLog_Latest!A:H,8,FALSE),"")</f>
        <v/>
      </c>
      <c r="H177" t="str">
        <f>VLOOKUP(C177,[1]Sheet1!$F:$H,3,FALSE)</f>
        <v>901-902  Acme Enclave Vasari Hill  Off Link Road, Malad (W</v>
      </c>
    </row>
    <row r="178" spans="1:8" x14ac:dyDescent="0.25">
      <c r="A178" t="s">
        <v>67</v>
      </c>
      <c r="B178" t="s">
        <v>223</v>
      </c>
      <c r="C178">
        <v>9820809040</v>
      </c>
      <c r="D178" t="str">
        <f>_xlfn.IFNA(VLOOKUP(C178,CallLog_Latest!A:H,7,FALSE),"Not Called")</f>
        <v>Not Called</v>
      </c>
      <c r="E178" t="str">
        <f>IF(ISNA(VLOOKUP(C178,Registration!A:A,1,FALSE)),"Not Registered","Registered")</f>
        <v>Not Registered</v>
      </c>
      <c r="F178">
        <f>VLOOKUP(A178,Sheet1!A:B,2,FALSE)</f>
        <v>9820251565</v>
      </c>
      <c r="G178" t="str">
        <f>_xlfn.IFNA(VLOOKUP(C178,CallLog_Latest!A:H,8,FALSE),"")</f>
        <v/>
      </c>
      <c r="H178" t="str">
        <f>VLOOKUP(C178,[1]Sheet1!$F:$H,3,FALSE)</f>
        <v>NW-4 Nirmal Chhaya  3rd Floor 77/1A  S. V. Road &amp; Anand Road  Opp. New Era Theater, Malad (W</v>
      </c>
    </row>
    <row r="179" spans="1:8" x14ac:dyDescent="0.25">
      <c r="A179" t="s">
        <v>69</v>
      </c>
      <c r="B179" t="s">
        <v>224</v>
      </c>
      <c r="C179">
        <v>8826776611</v>
      </c>
      <c r="D179" t="str">
        <f>_xlfn.IFNA(VLOOKUP(C179,CallLog_Latest!A:H,7,FALSE),"Not Called")</f>
        <v>Not Called</v>
      </c>
      <c r="E179" t="str">
        <f>IF(ISNA(VLOOKUP(C179,Registration!A:A,1,FALSE)),"Not Registered","Registered")</f>
        <v>Not Registered</v>
      </c>
      <c r="F179">
        <f>VLOOKUP(A179,Sheet1!A:B,2,FALSE)</f>
        <v>9968855475</v>
      </c>
      <c r="G179" t="str">
        <f>_xlfn.IFNA(VLOOKUP(C179,CallLog_Latest!A:H,8,FALSE),"")</f>
        <v/>
      </c>
      <c r="H179" t="str">
        <f>VLOOKUP(C179,[1]Sheet1!$F:$H,3,FALSE)</f>
        <v>901-902  Acme Enclave Vasari Hill  Off Link Road, Malad (W</v>
      </c>
    </row>
    <row r="180" spans="1:8" x14ac:dyDescent="0.25">
      <c r="A180" t="s">
        <v>71</v>
      </c>
      <c r="B180" t="s">
        <v>225</v>
      </c>
      <c r="C180">
        <v>9833249671</v>
      </c>
      <c r="D180" t="str">
        <f>_xlfn.IFNA(VLOOKUP(C180,CallLog_Latest!A:H,7,FALSE),"Not Called")</f>
        <v>Not Called</v>
      </c>
      <c r="E180" t="str">
        <f>IF(ISNA(VLOOKUP(C180,Registration!A:A,1,FALSE)),"Not Registered","Registered")</f>
        <v>Not Registered</v>
      </c>
      <c r="F180">
        <f>VLOOKUP(A180,Sheet1!A:B,2,FALSE)</f>
        <v>9405263833</v>
      </c>
      <c r="G180" t="str">
        <f>_xlfn.IFNA(VLOOKUP(C180,CallLog_Latest!A:H,8,FALSE),"")</f>
        <v/>
      </c>
      <c r="H180" t="str">
        <f>VLOOKUP(C180,[1]Sheet1!$F:$H,3,FALSE)</f>
        <v>Auris Serenity Tower 1, 3101/2, Kachpada Jct, Malad (W</v>
      </c>
    </row>
    <row r="181" spans="1:8" x14ac:dyDescent="0.25">
      <c r="A181" t="s">
        <v>73</v>
      </c>
      <c r="B181" t="s">
        <v>226</v>
      </c>
      <c r="C181">
        <v>9867723289</v>
      </c>
      <c r="D181" t="str">
        <f>_xlfn.IFNA(VLOOKUP(C181,CallLog_Latest!A:H,7,FALSE),"Not Called")</f>
        <v>Maybe Attending 🤔</v>
      </c>
      <c r="E181" t="str">
        <f>IF(ISNA(VLOOKUP(C181,Registration!A:A,1,FALSE)),"Not Registered","Registered")</f>
        <v>Not Registered</v>
      </c>
      <c r="F181">
        <f>VLOOKUP(A181,Sheet1!A:B,2,FALSE)</f>
        <v>8879433174</v>
      </c>
      <c r="G181">
        <f>_xlfn.IFNA(VLOOKUP(C181,CallLog_Latest!A:H,8,FALSE),"")</f>
        <v>0</v>
      </c>
      <c r="H181" t="str">
        <f>VLOOKUP(C181,[1]Sheet1!$F:$H,3,FALSE)</f>
        <v>D-204  Krishna Residency Behind Sunder Nagar</v>
      </c>
    </row>
    <row r="182" spans="1:8" x14ac:dyDescent="0.25">
      <c r="A182" t="s">
        <v>75</v>
      </c>
      <c r="B182" t="s">
        <v>227</v>
      </c>
      <c r="C182">
        <v>9702003424</v>
      </c>
      <c r="D182" t="str">
        <f>_xlfn.IFNA(VLOOKUP(C182,CallLog_Latest!A:H,7,FALSE),"Not Called")</f>
        <v>Not Called</v>
      </c>
      <c r="E182" t="str">
        <f>IF(ISNA(VLOOKUP(C182,Registration!A:A,1,FALSE)),"Not Registered","Registered")</f>
        <v>Not Registered</v>
      </c>
      <c r="F182">
        <f>VLOOKUP(A182,Sheet1!A:B,2,FALSE)</f>
        <v>9993325021</v>
      </c>
      <c r="G182" t="str">
        <f>_xlfn.IFNA(VLOOKUP(C182,CallLog_Latest!A:H,8,FALSE),"")</f>
        <v/>
      </c>
      <c r="H182" t="str">
        <f>VLOOKUP(C182,[1]Sheet1!$F:$H,3,FALSE)</f>
        <v>China Link, B-22-23, 2nd Floor Link Road, Rajan Pada, Malad (W</v>
      </c>
    </row>
    <row r="183" spans="1:8" x14ac:dyDescent="0.25">
      <c r="A183" t="s">
        <v>12</v>
      </c>
      <c r="B183" t="s">
        <v>228</v>
      </c>
      <c r="C183">
        <v>9322233166</v>
      </c>
      <c r="D183" t="str">
        <f>_xlfn.IFNA(VLOOKUP(C183,CallLog_Latest!A:H,7,FALSE),"Not Called")</f>
        <v>Phone Busy</v>
      </c>
      <c r="E183" t="str">
        <f>IF(ISNA(VLOOKUP(C183,Registration!A:A,1,FALSE)),"Not Registered","Registered")</f>
        <v>Not Registered</v>
      </c>
      <c r="F183">
        <f>VLOOKUP(A183,Sheet1!A:B,2,FALSE)</f>
        <v>9820454734</v>
      </c>
      <c r="G183">
        <f>_xlfn.IFNA(VLOOKUP(C183,CallLog_Latest!A:H,8,FALSE),"")</f>
        <v>0</v>
      </c>
      <c r="H183" t="str">
        <f>VLOOKUP(C183,[1]Sheet1!$F:$H,3,FALSE)</f>
        <v>E/303  Sonmarg Building Opp. Bajaj Hall  Chincholi  S. V. Road Malad (W</v>
      </c>
    </row>
    <row r="184" spans="1:8" x14ac:dyDescent="0.25">
      <c r="A184" t="s">
        <v>78</v>
      </c>
      <c r="B184" t="s">
        <v>229</v>
      </c>
      <c r="C184">
        <v>9987241860</v>
      </c>
      <c r="D184" t="str">
        <f>_xlfn.IFNA(VLOOKUP(C184,CallLog_Latest!A:H,7,FALSE),"Not Called")</f>
        <v>Confirmed Presence</v>
      </c>
      <c r="E184" t="str">
        <f>IF(ISNA(VLOOKUP(C184,Registration!A:A,1,FALSE)),"Not Registered","Registered")</f>
        <v>Not Registered</v>
      </c>
      <c r="F184">
        <f>VLOOKUP(A184,Sheet1!A:B,2,FALSE)</f>
        <v>9029105124</v>
      </c>
      <c r="G184">
        <f>_xlfn.IFNA(VLOOKUP(C184,CallLog_Latest!A:H,8,FALSE),"")</f>
        <v>0</v>
      </c>
      <c r="H184" t="str">
        <f>VLOOKUP(C184,[1]Sheet1!$F:$H,3,FALSE)</f>
        <v>D-203  Dhiraj Ganga Socity  Chincholi Bander Road  Dheeraj Ganga Society</v>
      </c>
    </row>
    <row r="185" spans="1:8" x14ac:dyDescent="0.25">
      <c r="A185" t="s">
        <v>80</v>
      </c>
      <c r="B185" t="s">
        <v>230</v>
      </c>
      <c r="C185">
        <v>7738311131</v>
      </c>
      <c r="D185" t="str">
        <f>_xlfn.IFNA(VLOOKUP(C185,CallLog_Latest!A:H,7,FALSE),"Not Called")</f>
        <v>Not Called</v>
      </c>
      <c r="E185" t="str">
        <f>IF(ISNA(VLOOKUP(C185,Registration!A:A,1,FALSE)),"Not Registered","Registered")</f>
        <v>Not Registered</v>
      </c>
      <c r="F185">
        <f>VLOOKUP(A185,Sheet1!A:B,2,FALSE)</f>
        <v>9599704370</v>
      </c>
      <c r="G185" t="str">
        <f>_xlfn.IFNA(VLOOKUP(C185,CallLog_Latest!A:H,8,FALSE),"")</f>
        <v/>
      </c>
      <c r="H185" t="str">
        <f>VLOOKUP(C185,[1]Sheet1!$F:$H,3,FALSE)</f>
        <v>E/303  Sonmarg Building Opp. Bajaj Hall  Chincholi  S. V. Road Malad (W</v>
      </c>
    </row>
    <row r="186" spans="1:8" x14ac:dyDescent="0.25">
      <c r="A186" t="s">
        <v>82</v>
      </c>
      <c r="B186" t="s">
        <v>231</v>
      </c>
      <c r="C186">
        <v>9820618488</v>
      </c>
      <c r="D186" t="str">
        <f>_xlfn.IFNA(VLOOKUP(C186,CallLog_Latest!A:H,7,FALSE),"Not Called")</f>
        <v>Maybe Attending 🤔</v>
      </c>
      <c r="E186" t="str">
        <f>IF(ISNA(VLOOKUP(C186,Registration!A:A,1,FALSE)),"Not Registered","Registered")</f>
        <v>Not Registered</v>
      </c>
      <c r="F186">
        <f>VLOOKUP(A186,Sheet1!A:B,2,FALSE)</f>
        <v>9824100412</v>
      </c>
      <c r="G186">
        <f>_xlfn.IFNA(VLOOKUP(C186,CallLog_Latest!A:H,8,FALSE),"")</f>
        <v>0</v>
      </c>
      <c r="H186" t="str">
        <f>VLOOKUP(C186,[1]Sheet1!$F:$H,3,FALSE)</f>
        <v>1901  Deffodil Tower Chincholi Phatak  Pawan Baug Road  Off S.v.road</v>
      </c>
    </row>
    <row r="187" spans="1:8" x14ac:dyDescent="0.25">
      <c r="A187" t="s">
        <v>84</v>
      </c>
      <c r="B187" t="s">
        <v>232</v>
      </c>
      <c r="C187">
        <v>9820569281</v>
      </c>
      <c r="D187" t="str">
        <f>_xlfn.IFNA(VLOOKUP(C187,CallLog_Latest!A:H,7,FALSE),"Not Called")</f>
        <v>May be Attending</v>
      </c>
      <c r="E187" t="str">
        <f>IF(ISNA(VLOOKUP(C187,Registration!A:A,1,FALSE)),"Not Registered","Registered")</f>
        <v>Not Registered</v>
      </c>
      <c r="F187">
        <f>VLOOKUP(A187,Sheet1!A:B,2,FALSE)</f>
        <v>9225211083</v>
      </c>
      <c r="G187">
        <f>_xlfn.IFNA(VLOOKUP(C187,CallLog_Latest!A:H,8,FALSE),"")</f>
        <v>0</v>
      </c>
      <c r="H187" t="str">
        <f>VLOOKUP(C187,[1]Sheet1!$F:$H,3,FALSE)</f>
        <v>B-1404 Mayfair Legends  Alpha CHSL. Opp. Sai Baba Park  Off Link Road  Evershine Nagar</v>
      </c>
    </row>
    <row r="188" spans="1:8" x14ac:dyDescent="0.25">
      <c r="A188" t="s">
        <v>86</v>
      </c>
      <c r="B188" t="s">
        <v>233</v>
      </c>
      <c r="C188">
        <v>9323151225</v>
      </c>
      <c r="D188" t="str">
        <f>_xlfn.IFNA(VLOOKUP(C188,CallLog_Latest!A:H,7,FALSE),"Not Called")</f>
        <v>Not Called</v>
      </c>
      <c r="E188" t="str">
        <f>IF(ISNA(VLOOKUP(C188,Registration!A:A,1,FALSE)),"Not Registered","Registered")</f>
        <v>Not Registered</v>
      </c>
      <c r="F188">
        <f>VLOOKUP(A188,Sheet1!A:B,2,FALSE)</f>
        <v>9930252076</v>
      </c>
      <c r="G188" t="str">
        <f>_xlfn.IFNA(VLOOKUP(C188,CallLog_Latest!A:H,8,FALSE),"")</f>
        <v/>
      </c>
      <c r="H188" t="str">
        <f>VLOOKUP(C188,[1]Sheet1!$F:$H,3,FALSE)</f>
        <v>2b/16 Manali Bldg No2 CHS Ltd  Evershine Nagar</v>
      </c>
    </row>
    <row r="189" spans="1:8" x14ac:dyDescent="0.25">
      <c r="A189" t="s">
        <v>88</v>
      </c>
      <c r="B189" t="s">
        <v>234</v>
      </c>
      <c r="C189">
        <v>7738052299</v>
      </c>
      <c r="D189" t="str">
        <f>_xlfn.IFNA(VLOOKUP(C189,CallLog_Latest!A:H,7,FALSE),"Not Called")</f>
        <v>Not Called</v>
      </c>
      <c r="E189" t="str">
        <f>IF(ISNA(VLOOKUP(C189,Registration!A:A,1,FALSE)),"Not Registered","Registered")</f>
        <v>Not Registered</v>
      </c>
      <c r="F189">
        <f>VLOOKUP(A189,Sheet1!A:B,2,FALSE)</f>
        <v>9661270782</v>
      </c>
      <c r="G189" t="str">
        <f>_xlfn.IFNA(VLOOKUP(C189,CallLog_Latest!A:H,8,FALSE),"")</f>
        <v/>
      </c>
      <c r="H189" t="str">
        <f>VLOOKUP(C189,[1]Sheet1!$F:$H,3,FALSE)</f>
        <v>Malad Kokil CHS.ltd. S-3/605  Sunder Nagar</v>
      </c>
    </row>
    <row r="190" spans="1:8" x14ac:dyDescent="0.25">
      <c r="A190" t="s">
        <v>90</v>
      </c>
      <c r="B190" t="s">
        <v>235</v>
      </c>
      <c r="C190">
        <v>9320241710</v>
      </c>
      <c r="D190" t="str">
        <f>_xlfn.IFNA(VLOOKUP(C190,CallLog_Latest!A:H,7,FALSE),"Not Called")</f>
        <v>Not Called</v>
      </c>
      <c r="E190" t="str">
        <f>IF(ISNA(VLOOKUP(C190,Registration!A:A,1,FALSE)),"Not Registered","Registered")</f>
        <v>Not Registered</v>
      </c>
      <c r="F190">
        <f>VLOOKUP(A190,Sheet1!A:B,2,FALSE)</f>
        <v>9819128389</v>
      </c>
      <c r="G190" t="str">
        <f>_xlfn.IFNA(VLOOKUP(C190,CallLog_Latest!A:H,8,FALSE),"")</f>
        <v/>
      </c>
      <c r="H190" t="str">
        <f>VLOOKUP(C190,[1]Sheet1!$F:$H,3,FALSE)</f>
        <v>Flat No. A -401,4th Floor, Evershine Grandeur Chsl Ltd. off link Road, Mind Space, Malad (W</v>
      </c>
    </row>
    <row r="191" spans="1:8" x14ac:dyDescent="0.25">
      <c r="A191" t="s">
        <v>92</v>
      </c>
      <c r="B191" t="s">
        <v>236</v>
      </c>
      <c r="C191">
        <v>9821559551</v>
      </c>
      <c r="D191" t="str">
        <f>_xlfn.IFNA(VLOOKUP(C191,CallLog_Latest!A:H,7,FALSE),"Not Called")</f>
        <v>Not Called</v>
      </c>
      <c r="E191" t="str">
        <f>IF(ISNA(VLOOKUP(C191,Registration!A:A,1,FALSE)),"Not Registered","Registered")</f>
        <v>Not Registered</v>
      </c>
      <c r="F191">
        <f>VLOOKUP(A191,Sheet1!A:B,2,FALSE)</f>
        <v>8268665777</v>
      </c>
      <c r="G191" t="str">
        <f>_xlfn.IFNA(VLOOKUP(C191,CallLog_Latest!A:H,8,FALSE),"")</f>
        <v/>
      </c>
      <c r="H191" t="str">
        <f>VLOOKUP(C191,[1]Sheet1!$F:$H,3,FALSE)</f>
        <v>G-204 Krishna Residency  Opp Dalmiya College Sunder Nagar, Malad (W</v>
      </c>
    </row>
    <row r="192" spans="1:8" x14ac:dyDescent="0.25">
      <c r="A192" t="s">
        <v>94</v>
      </c>
      <c r="B192" t="s">
        <v>237</v>
      </c>
      <c r="C192">
        <v>9920137410</v>
      </c>
      <c r="D192" t="str">
        <f>_xlfn.IFNA(VLOOKUP(C192,CallLog_Latest!A:H,7,FALSE),"Not Called")</f>
        <v>Not Called</v>
      </c>
      <c r="E192" t="str">
        <f>IF(ISNA(VLOOKUP(C192,Registration!A:A,1,FALSE)),"Not Registered","Registered")</f>
        <v>Not Registered</v>
      </c>
      <c r="F192">
        <f>VLOOKUP(A192,Sheet1!A:B,2,FALSE)</f>
        <v>9920085455</v>
      </c>
      <c r="G192" t="str">
        <f>_xlfn.IFNA(VLOOKUP(C192,CallLog_Latest!A:H,8,FALSE),"")</f>
        <v/>
      </c>
      <c r="H192" t="str">
        <f>VLOOKUP(C192,[1]Sheet1!$F:$H,3,FALSE)</f>
        <v>A303, Dheeraj Diamond Chincholi Bunder, Malad West</v>
      </c>
    </row>
    <row r="193" spans="1:8" x14ac:dyDescent="0.25">
      <c r="A193" t="s">
        <v>96</v>
      </c>
      <c r="B193" t="s">
        <v>238</v>
      </c>
      <c r="C193">
        <v>7387113012</v>
      </c>
      <c r="D193" t="str">
        <f>_xlfn.IFNA(VLOOKUP(C193,CallLog_Latest!A:H,7,FALSE),"Not Called")</f>
        <v>Confirmed Presence</v>
      </c>
      <c r="E193" t="str">
        <f>IF(ISNA(VLOOKUP(C193,Registration!A:A,1,FALSE)),"Not Registered","Registered")</f>
        <v>Registered</v>
      </c>
      <c r="F193">
        <f>VLOOKUP(A193,Sheet1!A:B,2,FALSE)</f>
        <v>9424584007</v>
      </c>
      <c r="G193" t="str">
        <f>_xlfn.IFNA(VLOOKUP(C193,CallLog_Latest!A:H,8,FALSE),"")</f>
        <v>He mentioned that it is done ✅</v>
      </c>
      <c r="H193" t="str">
        <f>VLOOKUP(C193,[1]Sheet1!$F:$H,3,FALSE)</f>
        <v>Veena Nagar CHS  E-Wing, Flat No. 405 S V Road, Malad (W</v>
      </c>
    </row>
    <row r="194" spans="1:8" x14ac:dyDescent="0.25">
      <c r="A194" t="s">
        <v>3</v>
      </c>
      <c r="B194" t="s">
        <v>239</v>
      </c>
      <c r="C194">
        <v>9820348438</v>
      </c>
      <c r="D194" t="str">
        <f>_xlfn.IFNA(VLOOKUP(C194,CallLog_Latest!A:H,7,FALSE),"Not Called")</f>
        <v>Not Called</v>
      </c>
      <c r="E194" t="str">
        <f>IF(ISNA(VLOOKUP(C194,Registration!A:A,1,FALSE)),"Not Registered","Registered")</f>
        <v>Not Registered</v>
      </c>
      <c r="F194">
        <f>VLOOKUP(A194,Sheet1!A:B,2,FALSE)</f>
        <v>9326379737</v>
      </c>
      <c r="G194" t="str">
        <f>_xlfn.IFNA(VLOOKUP(C194,CallLog_Latest!A:H,8,FALSE),"")</f>
        <v/>
      </c>
      <c r="H194" t="str">
        <f>VLOOKUP(C194,[1]Sheet1!$F:$H,3,FALSE)</f>
        <v>T-2 2606 AURIS serenity Kachapada Malad (W</v>
      </c>
    </row>
    <row r="195" spans="1:8" x14ac:dyDescent="0.25">
      <c r="A195" t="s">
        <v>5</v>
      </c>
      <c r="B195" t="s">
        <v>240</v>
      </c>
      <c r="C195">
        <v>9867015945</v>
      </c>
      <c r="D195" t="str">
        <f>_xlfn.IFNA(VLOOKUP(C195,CallLog_Latest!A:H,7,FALSE),"Not Called")</f>
        <v>Not Called</v>
      </c>
      <c r="E195" t="str">
        <f>IF(ISNA(VLOOKUP(C195,Registration!A:A,1,FALSE)),"Not Registered","Registered")</f>
        <v>Not Registered</v>
      </c>
      <c r="F195">
        <f>VLOOKUP(A195,Sheet1!A:B,2,FALSE)</f>
        <v>9323541634</v>
      </c>
      <c r="G195" t="str">
        <f>_xlfn.IFNA(VLOOKUP(C195,CallLog_Latest!A:H,8,FALSE),"")</f>
        <v/>
      </c>
      <c r="H195" t="str">
        <f>VLOOKUP(C195,[1]Sheet1!$F:$H,3,FALSE)</f>
        <v>A-Wing  Flat no. 401  Mandlik Nagar  Opp. Bajaj Hall. S. V. Road</v>
      </c>
    </row>
    <row r="196" spans="1:8" x14ac:dyDescent="0.25">
      <c r="A196" t="s">
        <v>7</v>
      </c>
      <c r="B196" t="s">
        <v>241</v>
      </c>
      <c r="C196">
        <v>9819063860</v>
      </c>
      <c r="D196" t="str">
        <f>_xlfn.IFNA(VLOOKUP(C196,CallLog_Latest!A:H,7,FALSE),"Not Called")</f>
        <v>Not Called</v>
      </c>
      <c r="E196" t="str">
        <f>IF(ISNA(VLOOKUP(C196,Registration!A:A,1,FALSE)),"Not Registered","Registered")</f>
        <v>Not Registered</v>
      </c>
      <c r="F196">
        <f>VLOOKUP(A196,Sheet1!A:B,2,FALSE)</f>
        <v>9867015031</v>
      </c>
      <c r="G196" t="str">
        <f>_xlfn.IFNA(VLOOKUP(C196,CallLog_Latest!A:H,8,FALSE),"")</f>
        <v/>
      </c>
      <c r="H196" t="str">
        <f>VLOOKUP(C196,[1]Sheet1!$F:$H,3,FALSE)</f>
        <v>K-Nalanda, 507  Sundar Nagar, S.V.Road, Malad (W</v>
      </c>
    </row>
    <row r="197" spans="1:8" x14ac:dyDescent="0.25">
      <c r="A197" t="s">
        <v>9</v>
      </c>
      <c r="B197" t="s">
        <v>242</v>
      </c>
      <c r="C197">
        <v>9867711122</v>
      </c>
      <c r="D197" t="str">
        <f>_xlfn.IFNA(VLOOKUP(C197,CallLog_Latest!A:H,7,FALSE),"Not Called")</f>
        <v>Not Called</v>
      </c>
      <c r="E197" t="str">
        <f>IF(ISNA(VLOOKUP(C197,Registration!A:A,1,FALSE)),"Not Registered","Registered")</f>
        <v>Registered</v>
      </c>
      <c r="F197">
        <f>VLOOKUP(A197,Sheet1!A:B,2,FALSE)</f>
        <v>9821268271</v>
      </c>
      <c r="G197" t="str">
        <f>_xlfn.IFNA(VLOOKUP(C197,CallLog_Latest!A:H,8,FALSE),"")</f>
        <v/>
      </c>
      <c r="H197" t="str">
        <f>VLOOKUP(C197,[1]Sheet1!$F:$H,3,FALSE)</f>
        <v>G-1601-Triumph Towers, Mandlik Nagar,  Opp.- Bajaj Bhavan, Near Saraf College, Malad-West,</v>
      </c>
    </row>
    <row r="198" spans="1:8" x14ac:dyDescent="0.25">
      <c r="A198" t="s">
        <v>11</v>
      </c>
      <c r="B198" t="s">
        <v>243</v>
      </c>
      <c r="C198">
        <v>9821333259</v>
      </c>
      <c r="D198" t="str">
        <f>_xlfn.IFNA(VLOOKUP(C198,CallLog_Latest!A:H,7,FALSE),"Not Called")</f>
        <v>Not Called</v>
      </c>
      <c r="E198" t="str">
        <f>IF(ISNA(VLOOKUP(C198,Registration!A:A,1,FALSE)),"Not Registered","Registered")</f>
        <v>Not Registered</v>
      </c>
      <c r="F198">
        <f>VLOOKUP(A198,Sheet1!A:B,2,FALSE)</f>
        <v>9322598681</v>
      </c>
      <c r="G198" t="str">
        <f>_xlfn.IFNA(VLOOKUP(C198,CallLog_Latest!A:H,8,FALSE),"")</f>
        <v/>
      </c>
      <c r="H198" t="str">
        <f>VLOOKUP(C198,[1]Sheet1!$F:$H,3,FALSE)</f>
        <v>61  Trimurti Tower  Mamledarwadi Trimurti Road</v>
      </c>
    </row>
    <row r="199" spans="1:8" x14ac:dyDescent="0.25">
      <c r="A199" t="s">
        <v>13</v>
      </c>
      <c r="B199" t="s">
        <v>244</v>
      </c>
      <c r="C199">
        <v>9661270782</v>
      </c>
      <c r="D199" t="str">
        <f>_xlfn.IFNA(VLOOKUP(C199,CallLog_Latest!A:H,7,FALSE),"Not Called")</f>
        <v>Not Called</v>
      </c>
      <c r="E199" t="str">
        <f>IF(ISNA(VLOOKUP(C199,Registration!A:A,1,FALSE)),"Not Registered","Registered")</f>
        <v>Not Registered</v>
      </c>
      <c r="F199">
        <f>VLOOKUP(A199,Sheet1!A:B,2,FALSE)</f>
        <v>9969403870</v>
      </c>
      <c r="G199" t="str">
        <f>_xlfn.IFNA(VLOOKUP(C199,CallLog_Latest!A:H,8,FALSE),"")</f>
        <v/>
      </c>
      <c r="H199" t="str">
        <f>VLOOKUP(C199,[1]Sheet1!$F:$H,3,FALSE)</f>
        <v>United Tower, 401, 4th Floor, Chincholi Bunder Road, Sunder Nagar, Malad (W,</v>
      </c>
    </row>
    <row r="200" spans="1:8" x14ac:dyDescent="0.25">
      <c r="A200" t="s">
        <v>15</v>
      </c>
      <c r="B200" t="s">
        <v>245</v>
      </c>
      <c r="C200">
        <v>9892486924</v>
      </c>
      <c r="D200" t="str">
        <f>_xlfn.IFNA(VLOOKUP(C200,CallLog_Latest!A:H,7,FALSE),"Not Called")</f>
        <v>Not Called</v>
      </c>
      <c r="E200" t="str">
        <f>IF(ISNA(VLOOKUP(C200,Registration!A:A,1,FALSE)),"Not Registered","Registered")</f>
        <v>Not Registered</v>
      </c>
      <c r="F200">
        <f>VLOOKUP(A200,Sheet1!A:B,2,FALSE)</f>
        <v>9892726278</v>
      </c>
      <c r="G200" t="str">
        <f>_xlfn.IFNA(VLOOKUP(C200,CallLog_Latest!A:H,8,FALSE),"")</f>
        <v/>
      </c>
      <c r="H200" t="str">
        <f>VLOOKUP(C200,[1]Sheet1!$F:$H,3,FALSE)</f>
        <v>32  Raj Shagun  3rd Floor Nadiayadwala Colony No.2  Off S. V. Road</v>
      </c>
    </row>
    <row r="201" spans="1:8" x14ac:dyDescent="0.25">
      <c r="A201" t="s">
        <v>17</v>
      </c>
      <c r="B201" t="s">
        <v>246</v>
      </c>
      <c r="C201">
        <v>9322297743</v>
      </c>
      <c r="D201" t="str">
        <f>_xlfn.IFNA(VLOOKUP(C201,CallLog_Latest!A:H,7,FALSE),"Not Called")</f>
        <v>Confirmed Presence ✅</v>
      </c>
      <c r="E201" t="str">
        <f>IF(ISNA(VLOOKUP(C201,Registration!A:A,1,FALSE)),"Not Registered","Registered")</f>
        <v>Not Registered</v>
      </c>
      <c r="F201">
        <f>VLOOKUP(A201,Sheet1!A:B,2,FALSE)</f>
        <v>9869798705</v>
      </c>
      <c r="G201">
        <f>_xlfn.IFNA(VLOOKUP(C201,CallLog_Latest!A:H,8,FALSE),"")</f>
        <v>0</v>
      </c>
      <c r="H201" t="str">
        <f>VLOOKUP(C201,[1]Sheet1!$F:$H,3,FALSE)</f>
        <v>C-409 C 409, Dheeraj pooja, chincholi bunder road</v>
      </c>
    </row>
    <row r="202" spans="1:8" x14ac:dyDescent="0.25">
      <c r="A202" t="s">
        <v>19</v>
      </c>
      <c r="B202" t="s">
        <v>247</v>
      </c>
      <c r="C202">
        <v>9820636392</v>
      </c>
      <c r="D202" t="str">
        <f>_xlfn.IFNA(VLOOKUP(C202,CallLog_Latest!A:H,7,FALSE),"Not Called")</f>
        <v>Not Called</v>
      </c>
      <c r="E202" t="str">
        <f>IF(ISNA(VLOOKUP(C202,Registration!A:A,1,FALSE)),"Not Registered","Registered")</f>
        <v>Not Registered</v>
      </c>
      <c r="F202">
        <f>VLOOKUP(A202,Sheet1!A:B,2,FALSE)</f>
        <v>9820265640</v>
      </c>
      <c r="G202" t="str">
        <f>_xlfn.IFNA(VLOOKUP(C202,CallLog_Latest!A:H,8,FALSE),"")</f>
        <v/>
      </c>
      <c r="H202" t="str">
        <f>VLOOKUP(C202,[1]Sheet1!$F:$H,3,FALSE)</f>
        <v>Vini Tower,  A/1003,  Near Infant Jesus School Off Chincholi Bunder Road, Malad (W</v>
      </c>
    </row>
    <row r="203" spans="1:8" x14ac:dyDescent="0.25">
      <c r="A203" t="s">
        <v>21</v>
      </c>
      <c r="B203" t="s">
        <v>248</v>
      </c>
      <c r="C203">
        <v>9323192651</v>
      </c>
      <c r="D203" t="str">
        <f>_xlfn.IFNA(VLOOKUP(C203,CallLog_Latest!A:H,7,FALSE),"Not Called")</f>
        <v>Not Called</v>
      </c>
      <c r="E203" t="str">
        <f>IF(ISNA(VLOOKUP(C203,Registration!A:A,1,FALSE)),"Not Registered","Registered")</f>
        <v>Registered</v>
      </c>
      <c r="F203">
        <f>VLOOKUP(A203,Sheet1!A:B,2,FALSE)</f>
        <v>9820636392</v>
      </c>
      <c r="G203" t="str">
        <f>_xlfn.IFNA(VLOOKUP(C203,CallLog_Latest!A:H,8,FALSE),"")</f>
        <v/>
      </c>
      <c r="H203" t="str">
        <f>VLOOKUP(C203,[1]Sheet1!$F:$H,3,FALSE)</f>
        <v>C/409  Dheeraj Puja Chincholi Bunder Road</v>
      </c>
    </row>
    <row r="204" spans="1:8" x14ac:dyDescent="0.25">
      <c r="A204" t="s">
        <v>23</v>
      </c>
      <c r="B204" t="s">
        <v>249</v>
      </c>
      <c r="C204">
        <v>9324530346</v>
      </c>
      <c r="D204" t="str">
        <f>_xlfn.IFNA(VLOOKUP(C204,CallLog_Latest!A:H,7,FALSE),"Not Called")</f>
        <v>Not Called</v>
      </c>
      <c r="E204" t="str">
        <f>IF(ISNA(VLOOKUP(C204,Registration!A:A,1,FALSE)),"Not Registered","Registered")</f>
        <v>Not Registered</v>
      </c>
      <c r="F204">
        <f>VLOOKUP(A204,Sheet1!A:B,2,FALSE)</f>
        <v>7977439717</v>
      </c>
      <c r="G204" t="str">
        <f>_xlfn.IFNA(VLOOKUP(C204,CallLog_Latest!A:H,8,FALSE),"")</f>
        <v/>
      </c>
      <c r="H204" t="str">
        <f>VLOOKUP(C204,[1]Sheet1!$F:$H,3,FALSE)</f>
        <v>3  Tawri Niwas  Chincholi Gate  Chincholi Gate Malad (W</v>
      </c>
    </row>
    <row r="205" spans="1:8" x14ac:dyDescent="0.25">
      <c r="A205" t="s">
        <v>25</v>
      </c>
      <c r="B205" t="s">
        <v>250</v>
      </c>
      <c r="C205">
        <v>8080778686</v>
      </c>
      <c r="D205" t="str">
        <f>_xlfn.IFNA(VLOOKUP(C205,CallLog_Latest!A:H,7,FALSE),"Not Called")</f>
        <v>Not Called</v>
      </c>
      <c r="E205" t="str">
        <f>IF(ISNA(VLOOKUP(C205,Registration!A:A,1,FALSE)),"Not Registered","Registered")</f>
        <v>Not Registered</v>
      </c>
      <c r="F205">
        <f>VLOOKUP(A205,Sheet1!A:B,2,FALSE)</f>
        <v>9967045520</v>
      </c>
      <c r="G205" t="str">
        <f>_xlfn.IFNA(VLOOKUP(C205,CallLog_Latest!A:H,8,FALSE),"")</f>
        <v/>
      </c>
      <c r="H205" t="str">
        <f>VLOOKUP(C205,[1]Sheet1!$F:$H,3,FALSE)</f>
        <v>E-1603  Krishna Residency Off Sundar Nagar</v>
      </c>
    </row>
    <row r="206" spans="1:8" x14ac:dyDescent="0.25">
      <c r="A206" t="s">
        <v>27</v>
      </c>
      <c r="B206" t="s">
        <v>251</v>
      </c>
      <c r="C206">
        <v>9323621466</v>
      </c>
      <c r="D206" t="str">
        <f>_xlfn.IFNA(VLOOKUP(C206,CallLog_Latest!A:H,7,FALSE),"Not Called")</f>
        <v>Not Called</v>
      </c>
      <c r="E206" t="str">
        <f>IF(ISNA(VLOOKUP(C206,Registration!A:A,1,FALSE)),"Not Registered","Registered")</f>
        <v>Not Registered</v>
      </c>
      <c r="F206">
        <f>VLOOKUP(A206,Sheet1!A:B,2,FALSE)</f>
        <v>9820075931</v>
      </c>
      <c r="G206" t="str">
        <f>_xlfn.IFNA(VLOOKUP(C206,CallLog_Latest!A:H,8,FALSE),"")</f>
        <v/>
      </c>
      <c r="H206" t="str">
        <f>VLOOKUP(C206,[1]Sheet1!$F:$H,3,FALSE)</f>
        <v>Flat No.605  The Blossom . CHS. Adarsh Dugdhalaya  Marve Road</v>
      </c>
    </row>
    <row r="207" spans="1:8" x14ac:dyDescent="0.25">
      <c r="A207" t="s">
        <v>29</v>
      </c>
      <c r="B207" t="s">
        <v>252</v>
      </c>
      <c r="C207">
        <v>9820384931</v>
      </c>
      <c r="D207" t="str">
        <f>_xlfn.IFNA(VLOOKUP(C207,CallLog_Latest!A:H,7,FALSE),"Not Called")</f>
        <v>Not Called</v>
      </c>
      <c r="E207" t="str">
        <f>IF(ISNA(VLOOKUP(C207,Registration!A:A,1,FALSE)),"Not Registered","Registered")</f>
        <v>Not Registered</v>
      </c>
      <c r="F207">
        <f>VLOOKUP(A207,Sheet1!A:B,2,FALSE)</f>
        <v>9819364345</v>
      </c>
      <c r="G207" t="str">
        <f>_xlfn.IFNA(VLOOKUP(C207,CallLog_Latest!A:H,8,FALSE),"")</f>
        <v/>
      </c>
      <c r="H207" t="str">
        <f>VLOOKUP(C207,[1]Sheet1!$F:$H,3,FALSE)</f>
        <v>A-1001  Ashok Enclave  Chincholi Bundar Road  Opp Evershine Mall  Linking Road</v>
      </c>
    </row>
    <row r="208" spans="1:8" x14ac:dyDescent="0.25">
      <c r="A208" t="s">
        <v>31</v>
      </c>
      <c r="B208" t="s">
        <v>253</v>
      </c>
      <c r="C208">
        <v>9967580400</v>
      </c>
      <c r="D208" t="str">
        <f>_xlfn.IFNA(VLOOKUP(C208,CallLog_Latest!A:H,7,FALSE),"Not Called")</f>
        <v>Not Called</v>
      </c>
      <c r="E208" t="str">
        <f>IF(ISNA(VLOOKUP(C208,Registration!A:A,1,FALSE)),"Not Registered","Registered")</f>
        <v>Not Registered</v>
      </c>
      <c r="F208">
        <f>VLOOKUP(A208,Sheet1!A:B,2,FALSE)</f>
        <v>9869064553</v>
      </c>
      <c r="G208" t="str">
        <f>_xlfn.IFNA(VLOOKUP(C208,CallLog_Latest!A:H,8,FALSE),"")</f>
        <v/>
      </c>
      <c r="H208" t="str">
        <f>VLOOKUP(C208,[1]Sheet1!$F:$H,3,FALSE)</f>
        <v>1703. E-Wing  Krishna Residency CHS Ltd. Near Dalmiya College</v>
      </c>
    </row>
    <row r="209" spans="1:8" x14ac:dyDescent="0.25">
      <c r="A209" t="s">
        <v>33</v>
      </c>
      <c r="B209" t="s">
        <v>254</v>
      </c>
      <c r="C209">
        <v>9323930259</v>
      </c>
      <c r="D209" t="str">
        <f>_xlfn.IFNA(VLOOKUP(C209,CallLog_Latest!A:H,7,FALSE),"Not Called")</f>
        <v>Not Reachable</v>
      </c>
      <c r="E209" t="str">
        <f>IF(ISNA(VLOOKUP(C209,Registration!A:A,1,FALSE)),"Not Registered","Registered")</f>
        <v>Not Registered</v>
      </c>
      <c r="F209">
        <f>VLOOKUP(A209,Sheet1!A:B,2,FALSE)</f>
        <v>9930070116</v>
      </c>
      <c r="G209">
        <f>_xlfn.IFNA(VLOOKUP(C209,CallLog_Latest!A:H,8,FALSE),"")</f>
        <v>0</v>
      </c>
      <c r="H209" t="str">
        <f>VLOOKUP(C209,[1]Sheet1!$F:$H,3,FALSE)</f>
        <v>A  404 HIMSA NIKETAN CHS LTD. AHIMSA MARG  OFF NEW LINK RD. CHANCHOLI BUNDER RD  NR. JAIN TEAMPLE</v>
      </c>
    </row>
    <row r="210" spans="1:8" x14ac:dyDescent="0.25">
      <c r="A210" t="s">
        <v>35</v>
      </c>
      <c r="B210" t="s">
        <v>255</v>
      </c>
      <c r="C210">
        <v>9999845745</v>
      </c>
      <c r="D210" t="str">
        <f>_xlfn.IFNA(VLOOKUP(C210,CallLog_Latest!A:H,7,FALSE),"Not Called")</f>
        <v>Not Coming</v>
      </c>
      <c r="E210" t="str">
        <f>IF(ISNA(VLOOKUP(C210,Registration!A:A,1,FALSE)),"Not Registered","Registered")</f>
        <v>Not Registered</v>
      </c>
      <c r="F210">
        <f>VLOOKUP(A210,Sheet1!A:B,2,FALSE)</f>
        <v>9833705425</v>
      </c>
      <c r="G210" t="str">
        <f>_xlfn.IFNA(VLOOKUP(C210,CallLog_Latest!A:H,8,FALSE),"")</f>
        <v>Not in Mumbai</v>
      </c>
      <c r="H210" t="str">
        <f>VLOOKUP(C210,[1]Sheet1!$F:$H,3,FALSE)</f>
        <v>C-1004  Rna Royal Park M.G Road</v>
      </c>
    </row>
    <row r="211" spans="1:8" x14ac:dyDescent="0.25">
      <c r="A211" t="s">
        <v>37</v>
      </c>
      <c r="B211" t="s">
        <v>256</v>
      </c>
      <c r="C211">
        <v>9619247950</v>
      </c>
      <c r="D211" t="str">
        <f>_xlfn.IFNA(VLOOKUP(C211,CallLog_Latest!A:H,7,FALSE),"Not Called")</f>
        <v>Not Called</v>
      </c>
      <c r="E211" t="str">
        <f>IF(ISNA(VLOOKUP(C211,Registration!A:A,1,FALSE)),"Not Registered","Registered")</f>
        <v>Not Registered</v>
      </c>
      <c r="F211">
        <f>VLOOKUP(A211,Sheet1!A:B,2,FALSE)</f>
        <v>9167390835</v>
      </c>
      <c r="G211" t="str">
        <f>_xlfn.IFNA(VLOOKUP(C211,CallLog_Latest!A:H,8,FALSE),"")</f>
        <v/>
      </c>
      <c r="H211" t="str">
        <f>VLOOKUP(C211,[1]Sheet1!$F:$H,3,FALSE)</f>
        <v>M103, RNA Regency Park Chsl, 1st Floor,  Maharastra Nagar, M.G. Road, Kandivali (W</v>
      </c>
    </row>
    <row r="212" spans="1:8" x14ac:dyDescent="0.25">
      <c r="A212" t="s">
        <v>39</v>
      </c>
      <c r="B212" t="s">
        <v>257</v>
      </c>
      <c r="C212">
        <v>9892146517</v>
      </c>
      <c r="D212" t="str">
        <f>_xlfn.IFNA(VLOOKUP(C212,CallLog_Latest!A:H,7,FALSE),"Not Called")</f>
        <v>Confirmed Presence</v>
      </c>
      <c r="E212" t="str">
        <f>IF(ISNA(VLOOKUP(C212,Registration!A:A,1,FALSE)),"Not Registered","Registered")</f>
        <v>Not Registered</v>
      </c>
      <c r="F212">
        <f>VLOOKUP(A212,Sheet1!A:B,2,FALSE)</f>
        <v>9820505363</v>
      </c>
      <c r="G212" t="str">
        <f>_xlfn.IFNA(VLOOKUP(C212,CallLog_Latest!A:H,8,FALSE),"")</f>
        <v>Will register</v>
      </c>
      <c r="H212" t="str">
        <f>VLOOKUP(C212,[1]Sheet1!$F:$H,3,FALSE)</f>
        <v>B-409  RSC 23  Plot No 22 Sai Chitra CHS  Sector 8 Charkop   Kandivali (W</v>
      </c>
    </row>
    <row r="213" spans="1:8" x14ac:dyDescent="0.25">
      <c r="A213" t="s">
        <v>41</v>
      </c>
      <c r="B213" t="s">
        <v>258</v>
      </c>
      <c r="C213">
        <v>9820066427</v>
      </c>
      <c r="D213" t="str">
        <f>_xlfn.IFNA(VLOOKUP(C213,CallLog_Latest!A:H,7,FALSE),"Not Called")</f>
        <v>Confirmed Presence</v>
      </c>
      <c r="E213" t="str">
        <f>IF(ISNA(VLOOKUP(C213,Registration!A:A,1,FALSE)),"Not Registered","Registered")</f>
        <v>Not Registered</v>
      </c>
      <c r="F213">
        <f>VLOOKUP(A213,Sheet1!A:B,2,FALSE)</f>
        <v>8058973809</v>
      </c>
      <c r="G213">
        <f>_xlfn.IFNA(VLOOKUP(C213,CallLog_Latest!A:H,8,FALSE),"")</f>
        <v>0</v>
      </c>
      <c r="H213" t="str">
        <f>VLOOKUP(C213,[1]Sheet1!$F:$H,3,FALSE)</f>
        <v>106  Springfield CHS Highland Complex  Charkop Village, Kandivali (W</v>
      </c>
    </row>
    <row r="214" spans="1:8" x14ac:dyDescent="0.25">
      <c r="A214" t="s">
        <v>43</v>
      </c>
      <c r="B214" t="s">
        <v>259</v>
      </c>
      <c r="C214">
        <v>9323284295</v>
      </c>
      <c r="D214" t="str">
        <f>_xlfn.IFNA(VLOOKUP(C214,CallLog_Latest!A:H,7,FALSE),"Not Called")</f>
        <v>Not Reachable</v>
      </c>
      <c r="E214" t="str">
        <f>IF(ISNA(VLOOKUP(C214,Registration!A:A,1,FALSE)),"Not Registered","Registered")</f>
        <v>Not Registered</v>
      </c>
      <c r="F214">
        <f>VLOOKUP(A214,Sheet1!A:B,2,FALSE)</f>
        <v>9320683201</v>
      </c>
      <c r="G214" t="str">
        <f>_xlfn.IFNA(VLOOKUP(C214,CallLog_Latest!A:H,8,FALSE),"")</f>
        <v>No reply</v>
      </c>
      <c r="H214" t="str">
        <f>VLOOKUP(C214,[1]Sheet1!$F:$H,3,FALSE)</f>
        <v>C-403  Raj Height M G Road</v>
      </c>
    </row>
    <row r="215" spans="1:8" x14ac:dyDescent="0.25">
      <c r="A215" t="s">
        <v>45</v>
      </c>
      <c r="B215" t="s">
        <v>260</v>
      </c>
      <c r="C215">
        <v>9413561108</v>
      </c>
      <c r="D215" t="str">
        <f>_xlfn.IFNA(VLOOKUP(C215,CallLog_Latest!A:H,7,FALSE),"Not Called")</f>
        <v>Confirmed Presence ✅</v>
      </c>
      <c r="E215" t="str">
        <f>IF(ISNA(VLOOKUP(C215,Registration!A:A,1,FALSE)),"Not Registered","Registered")</f>
        <v>Not Registered</v>
      </c>
      <c r="F215">
        <f>VLOOKUP(A215,Sheet1!A:B,2,FALSE)</f>
        <v>9967235652</v>
      </c>
      <c r="G215">
        <f>_xlfn.IFNA(VLOOKUP(C215,CallLog_Latest!A:H,8,FALSE),"")</f>
        <v>0</v>
      </c>
      <c r="H215" t="str">
        <f>VLOOKUP(C215,[1]Sheet1!$F:$H,3,FALSE)</f>
        <v>D-203, Chintamani Nagar Ashokvan, Dahisar (E</v>
      </c>
    </row>
    <row r="216" spans="1:8" x14ac:dyDescent="0.25">
      <c r="A216" t="s">
        <v>47</v>
      </c>
      <c r="B216" t="s">
        <v>261</v>
      </c>
      <c r="C216">
        <v>9321296213</v>
      </c>
      <c r="D216" t="str">
        <f>_xlfn.IFNA(VLOOKUP(C216,CallLog_Latest!A:H,7,FALSE),"Not Called")</f>
        <v>Maybe Attending 🤔</v>
      </c>
      <c r="E216" t="str">
        <f>IF(ISNA(VLOOKUP(C216,Registration!A:A,1,FALSE)),"Not Registered","Registered")</f>
        <v>Not Registered</v>
      </c>
      <c r="F216">
        <f>VLOOKUP(A216,Sheet1!A:B,2,FALSE)</f>
        <v>8108711149</v>
      </c>
      <c r="G216">
        <f>_xlfn.IFNA(VLOOKUP(C216,CallLog_Latest!A:H,8,FALSE),"")</f>
        <v>0</v>
      </c>
      <c r="H216" t="str">
        <f>VLOOKUP(C216,[1]Sheet1!$F:$H,3,FALSE)</f>
        <v>Shree Highland Park Chs. Ltd., Flat No 704 "D"Wing New Link Road , Dahanukar Wadi , opp to Symponi, Kandivali (W</v>
      </c>
    </row>
    <row r="217" spans="1:8" x14ac:dyDescent="0.25">
      <c r="A217" t="s">
        <v>49</v>
      </c>
      <c r="B217" t="s">
        <v>262</v>
      </c>
      <c r="C217">
        <v>9967236456</v>
      </c>
      <c r="D217" t="str">
        <f>_xlfn.IFNA(VLOOKUP(C217,CallLog_Latest!A:H,7,FALSE),"Not Called")</f>
        <v>Confirmed Presence ✅</v>
      </c>
      <c r="E217" t="str">
        <f>IF(ISNA(VLOOKUP(C217,Registration!A:A,1,FALSE)),"Not Registered","Registered")</f>
        <v>Not Registered</v>
      </c>
      <c r="F217">
        <f>VLOOKUP(A217,Sheet1!A:B,2,FALSE)</f>
        <v>9322206108</v>
      </c>
      <c r="G217">
        <f>_xlfn.IFNA(VLOOKUP(C217,CallLog_Latest!A:H,8,FALSE),"")</f>
        <v>0</v>
      </c>
      <c r="H217" t="str">
        <f>VLOOKUP(C217,[1]Sheet1!$F:$H,3,FALSE)</f>
        <v>B-202, Badshah's Residency Parekh Gully, Near KES College, Kandivali (W,</v>
      </c>
    </row>
    <row r="218" spans="1:8" x14ac:dyDescent="0.25">
      <c r="A218" t="s">
        <v>51</v>
      </c>
      <c r="B218" t="s">
        <v>63</v>
      </c>
      <c r="C218">
        <v>9930396709</v>
      </c>
      <c r="D218" t="str">
        <f>_xlfn.IFNA(VLOOKUP(C218,CallLog_Latest!A:H,7,FALSE),"Not Called")</f>
        <v>Not Called</v>
      </c>
      <c r="E218" t="str">
        <f>IF(ISNA(VLOOKUP(C218,Registration!A:A,1,FALSE)),"Not Registered","Registered")</f>
        <v>Not Registered</v>
      </c>
      <c r="F218">
        <f>VLOOKUP(A218,Sheet1!A:B,2,FALSE)</f>
        <v>9967015641</v>
      </c>
      <c r="G218" t="str">
        <f>_xlfn.IFNA(VLOOKUP(C218,CallLog_Latest!A:H,8,FALSE),"")</f>
        <v/>
      </c>
      <c r="H218" t="str">
        <f>VLOOKUP(C218,[1]Sheet1!$F:$H,3,FALSE)</f>
        <v>Samruddhi-17/207, Shivaji Raje Complex, Opp. Ekta Nagar, Kandivali (W</v>
      </c>
    </row>
    <row r="219" spans="1:8" x14ac:dyDescent="0.25">
      <c r="A219" t="s">
        <v>53</v>
      </c>
      <c r="B219" t="s">
        <v>263</v>
      </c>
      <c r="C219">
        <v>9869798705</v>
      </c>
      <c r="D219" t="str">
        <f>_xlfn.IFNA(VLOOKUP(C219,CallLog_Latest!A:H,7,FALSE),"Not Called")</f>
        <v>Not Called</v>
      </c>
      <c r="E219" t="str">
        <f>IF(ISNA(VLOOKUP(C219,Registration!A:A,1,FALSE)),"Not Registered","Registered")</f>
        <v>Not Registered</v>
      </c>
      <c r="F219">
        <f>VLOOKUP(A219,Sheet1!A:B,2,FALSE)</f>
        <v>9820216355</v>
      </c>
      <c r="G219" t="str">
        <f>_xlfn.IFNA(VLOOKUP(C219,CallLog_Latest!A:H,8,FALSE),"")</f>
        <v/>
      </c>
      <c r="H219" t="str">
        <f>VLOOKUP(C219,[1]Sheet1!$F:$H,3,FALSE)</f>
        <v>Samrudhi 17/207, Shivaji Raje Complex, Opp. Ekta Nagar, Kandivali (W</v>
      </c>
    </row>
    <row r="220" spans="1:8" x14ac:dyDescent="0.25">
      <c r="A220" t="s">
        <v>55</v>
      </c>
      <c r="B220" t="s">
        <v>264</v>
      </c>
      <c r="C220">
        <v>9320105607</v>
      </c>
      <c r="D220" t="str">
        <f>_xlfn.IFNA(VLOOKUP(C220,CallLog_Latest!A:H,7,FALSE),"Not Called")</f>
        <v>Not Coming</v>
      </c>
      <c r="E220" t="str">
        <f>IF(ISNA(VLOOKUP(C220,Registration!A:A,1,FALSE)),"Not Registered","Registered")</f>
        <v>Not Registered</v>
      </c>
      <c r="F220">
        <f>VLOOKUP(A220,Sheet1!A:B,2,FALSE)</f>
        <v>9819083540</v>
      </c>
      <c r="G220" t="str">
        <f>_xlfn.IFNA(VLOOKUP(C220,CallLog_Latest!A:H,8,FALSE),"")</f>
        <v>not in mumbai</v>
      </c>
      <c r="H220" t="str">
        <f>VLOOKUP(C220,[1]Sheet1!$F:$H,3,FALSE)</f>
        <v>B-28  Jai Dwarika  2nd Floor Jamunadas Adukia Road, Kandivali (W,</v>
      </c>
    </row>
    <row r="221" spans="1:8" x14ac:dyDescent="0.25">
      <c r="A221" t="s">
        <v>57</v>
      </c>
      <c r="B221" t="s">
        <v>265</v>
      </c>
      <c r="C221">
        <v>8291612305</v>
      </c>
      <c r="D221" t="str">
        <f>_xlfn.IFNA(VLOOKUP(C221,CallLog_Latest!A:H,7,FALSE),"Not Called")</f>
        <v>Phone Busy</v>
      </c>
      <c r="E221" t="str">
        <f>IF(ISNA(VLOOKUP(C221,Registration!A:A,1,FALSE)),"Not Registered","Registered")</f>
        <v>Not Registered</v>
      </c>
      <c r="F221">
        <f>VLOOKUP(A221,Sheet1!A:B,2,FALSE)</f>
        <v>9101910341</v>
      </c>
      <c r="G221">
        <f>_xlfn.IFNA(VLOOKUP(C221,CallLog_Latest!A:H,8,FALSE),"")</f>
        <v>0</v>
      </c>
      <c r="H221" t="str">
        <f>VLOOKUP(C221,[1]Sheet1!$F:$H,3,FALSE)</f>
        <v>Samrudhi 17/207, Shivaji Raje Complex, Opp. Ekta Nagar, Kandivali (W</v>
      </c>
    </row>
    <row r="222" spans="1:8" x14ac:dyDescent="0.25">
      <c r="A222" t="s">
        <v>59</v>
      </c>
      <c r="B222" t="s">
        <v>266</v>
      </c>
      <c r="C222">
        <v>9967265584</v>
      </c>
      <c r="D222" t="str">
        <f>_xlfn.IFNA(VLOOKUP(C222,CallLog_Latest!A:H,7,FALSE),"Not Called")</f>
        <v>Not Called</v>
      </c>
      <c r="E222" t="str">
        <f>IF(ISNA(VLOOKUP(C222,Registration!A:A,1,FALSE)),"Not Registered","Registered")</f>
        <v>Not Registered</v>
      </c>
      <c r="F222">
        <f>VLOOKUP(A222,Sheet1!A:B,2,FALSE)</f>
        <v>9920121726</v>
      </c>
      <c r="G222" t="str">
        <f>_xlfn.IFNA(VLOOKUP(C222,CallLog_Latest!A:H,8,FALSE),"")</f>
        <v/>
      </c>
      <c r="H222" t="str">
        <f>VLOOKUP(C222,[1]Sheet1!$F:$H,3,FALSE)</f>
        <v>602  New Surbhi Soc.  Sector 5  Plot No. 1  Charkop</v>
      </c>
    </row>
    <row r="223" spans="1:8" x14ac:dyDescent="0.25">
      <c r="A223" t="s">
        <v>61</v>
      </c>
      <c r="B223" t="s">
        <v>267</v>
      </c>
      <c r="C223">
        <v>9699664643</v>
      </c>
      <c r="D223" t="str">
        <f>_xlfn.IFNA(VLOOKUP(C223,CallLog_Latest!A:H,7,FALSE),"Not Called")</f>
        <v>Confirmed Presence ✅</v>
      </c>
      <c r="E223" t="str">
        <f>IF(ISNA(VLOOKUP(C223,Registration!A:A,1,FALSE)),"Not Registered","Registered")</f>
        <v>Not Registered</v>
      </c>
      <c r="F223">
        <f>VLOOKUP(A223,Sheet1!A:B,2,FALSE)</f>
        <v>9820779873</v>
      </c>
      <c r="G223" t="str">
        <f>_xlfn.IFNA(VLOOKUP(C223,CallLog_Latest!A:H,8,FALSE),"")</f>
        <v>4 confirmed presence</v>
      </c>
      <c r="H223" t="str">
        <f>VLOOKUP(C223,[1]Sheet1!$F:$H,3,FALSE)</f>
        <v>A- 702  Silver Presidency    Plot No. 10  Behind Charkop Police Station  Sector -2   Charkop   Kandivali (W</v>
      </c>
    </row>
    <row r="224" spans="1:8" x14ac:dyDescent="0.25">
      <c r="A224" t="s">
        <v>63</v>
      </c>
      <c r="B224" t="s">
        <v>268</v>
      </c>
      <c r="C224">
        <v>9764005162</v>
      </c>
      <c r="D224" t="str">
        <f>_xlfn.IFNA(VLOOKUP(C224,CallLog_Latest!A:H,7,FALSE),"Not Called")</f>
        <v>Confirmed Presence</v>
      </c>
      <c r="E224" t="str">
        <f>IF(ISNA(VLOOKUP(C224,Registration!A:A,1,FALSE)),"Not Registered","Registered")</f>
        <v>Registered</v>
      </c>
      <c r="F224">
        <f>VLOOKUP(A224,Sheet1!A:B,2,FALSE)</f>
        <v>9930396709</v>
      </c>
      <c r="G224" t="str">
        <f>_xlfn.IFNA(VLOOKUP(C224,CallLog_Latest!A:H,8,FALSE),"")</f>
        <v>Registered for 2</v>
      </c>
      <c r="H224" t="str">
        <f>VLOOKUP(C224,[1]Sheet1!$F:$H,3,FALSE)</f>
        <v>Rock Enclave A-503,Plot C,above Yes bank Hindustan Naka, Kandivali west</v>
      </c>
    </row>
    <row r="225" spans="1:8" x14ac:dyDescent="0.25">
      <c r="A225" t="s">
        <v>65</v>
      </c>
      <c r="B225" t="s">
        <v>269</v>
      </c>
      <c r="C225">
        <v>9819318417</v>
      </c>
      <c r="D225" t="str">
        <f>_xlfn.IFNA(VLOOKUP(C225,CallLog_Latest!A:H,7,FALSE),"Not Called")</f>
        <v>Not Called</v>
      </c>
      <c r="E225" t="str">
        <f>IF(ISNA(VLOOKUP(C225,Registration!A:A,1,FALSE)),"Not Registered","Registered")</f>
        <v>Not Registered</v>
      </c>
      <c r="F225">
        <f>VLOOKUP(A225,Sheet1!A:B,2,FALSE)</f>
        <v>7738892551</v>
      </c>
      <c r="G225" t="str">
        <f>_xlfn.IFNA(VLOOKUP(C225,CallLog_Latest!A:H,8,FALSE),"")</f>
        <v/>
      </c>
      <c r="H225" t="str">
        <f>VLOOKUP(C225,[1]Sheet1!$F:$H,3,FALSE)</f>
        <v>1/14 Parijat Apartment  Panchsheel Heights Mahavir Nagar</v>
      </c>
    </row>
    <row r="226" spans="1:8" x14ac:dyDescent="0.25">
      <c r="A226" t="s">
        <v>67</v>
      </c>
      <c r="B226" t="s">
        <v>270</v>
      </c>
      <c r="C226">
        <v>8655667565</v>
      </c>
      <c r="D226" t="str">
        <f>_xlfn.IFNA(VLOOKUP(C226,CallLog_Latest!A:H,7,FALSE),"Not Called")</f>
        <v>Not Called</v>
      </c>
      <c r="E226" t="str">
        <f>IF(ISNA(VLOOKUP(C226,Registration!A:A,1,FALSE)),"Not Registered","Registered")</f>
        <v>Not Registered</v>
      </c>
      <c r="F226">
        <f>VLOOKUP(A226,Sheet1!A:B,2,FALSE)</f>
        <v>9820251565</v>
      </c>
      <c r="G226" t="str">
        <f>_xlfn.IFNA(VLOOKUP(C226,CallLog_Latest!A:H,8,FALSE),"")</f>
        <v/>
      </c>
      <c r="H226" t="str">
        <f>VLOOKUP(C226,[1]Sheet1!$F:$H,3,FALSE)</f>
        <v>Bldg No.1b  Flat 12  2nd Floor Majithia Nagar  S.v. Road</v>
      </c>
    </row>
    <row r="227" spans="1:8" x14ac:dyDescent="0.25">
      <c r="A227" t="s">
        <v>69</v>
      </c>
      <c r="B227" t="s">
        <v>271</v>
      </c>
      <c r="C227">
        <v>9757301107</v>
      </c>
      <c r="D227" t="str">
        <f>_xlfn.IFNA(VLOOKUP(C227,CallLog_Latest!A:H,7,FALSE),"Not Called")</f>
        <v>Not Called</v>
      </c>
      <c r="E227" t="str">
        <f>IF(ISNA(VLOOKUP(C227,Registration!A:A,1,FALSE)),"Not Registered","Registered")</f>
        <v>Not Registered</v>
      </c>
      <c r="F227">
        <f>VLOOKUP(A227,Sheet1!A:B,2,FALSE)</f>
        <v>9968855475</v>
      </c>
      <c r="G227" t="str">
        <f>_xlfn.IFNA(VLOOKUP(C227,CallLog_Latest!A:H,8,FALSE),"")</f>
        <v/>
      </c>
      <c r="H227" t="str">
        <f>VLOOKUP(C227,[1]Sheet1!$F:$H,3,FALSE)</f>
        <v>Kalpavruksh Heights, A-201, Near Lalji Pada, Police Chowki, Link Road, Kandivali (W</v>
      </c>
    </row>
    <row r="228" spans="1:8" x14ac:dyDescent="0.25">
      <c r="A228" t="s">
        <v>71</v>
      </c>
      <c r="B228" t="s">
        <v>272</v>
      </c>
      <c r="C228">
        <v>9833731212</v>
      </c>
      <c r="D228" t="str">
        <f>_xlfn.IFNA(VLOOKUP(C228,CallLog_Latest!A:H,7,FALSE),"Not Called")</f>
        <v>Not Called</v>
      </c>
      <c r="E228" t="str">
        <f>IF(ISNA(VLOOKUP(C228,Registration!A:A,1,FALSE)),"Not Registered","Registered")</f>
        <v>Not Registered</v>
      </c>
      <c r="F228">
        <f>VLOOKUP(A228,Sheet1!A:B,2,FALSE)</f>
        <v>9405263833</v>
      </c>
      <c r="G228" t="str">
        <f>_xlfn.IFNA(VLOOKUP(C228,CallLog_Latest!A:H,8,FALSE),"")</f>
        <v/>
      </c>
      <c r="H228" t="str">
        <f>VLOOKUP(C228,[1]Sheet1!$F:$H,3,FALSE)</f>
        <v>Orchid Suburbia CHS. Ltd. F-601 Link Road, Near Dahanukarwadi Metro Station, Kandivali (W</v>
      </c>
    </row>
    <row r="229" spans="1:8" x14ac:dyDescent="0.25">
      <c r="A229" t="s">
        <v>73</v>
      </c>
      <c r="B229" t="s">
        <v>273</v>
      </c>
      <c r="C229">
        <v>9821111601</v>
      </c>
      <c r="D229" t="str">
        <f>_xlfn.IFNA(VLOOKUP(C229,CallLog_Latest!A:H,7,FALSE),"Not Called")</f>
        <v>Maybe Attending 🤔</v>
      </c>
      <c r="E229" t="str">
        <f>IF(ISNA(VLOOKUP(C229,Registration!A:A,1,FALSE)),"Not Registered","Registered")</f>
        <v>Not Registered</v>
      </c>
      <c r="F229">
        <f>VLOOKUP(A229,Sheet1!A:B,2,FALSE)</f>
        <v>8879433174</v>
      </c>
      <c r="G229">
        <f>_xlfn.IFNA(VLOOKUP(C229,CallLog_Latest!A:H,8,FALSE),"")</f>
        <v>0</v>
      </c>
      <c r="H229" t="str">
        <f>VLOOKUP(C229,[1]Sheet1!$F:$H,3,FALSE)</f>
        <v>F-304  Mody Park Iraniwadi Road No 3 Kandivali (W -</v>
      </c>
    </row>
    <row r="230" spans="1:8" x14ac:dyDescent="0.25">
      <c r="A230" t="s">
        <v>75</v>
      </c>
      <c r="B230" t="s">
        <v>274</v>
      </c>
      <c r="C230">
        <v>9869652536</v>
      </c>
      <c r="D230" t="str">
        <f>_xlfn.IFNA(VLOOKUP(C230,CallLog_Latest!A:H,7,FALSE),"Not Called")</f>
        <v>Confirmed Presence</v>
      </c>
      <c r="E230" t="str">
        <f>IF(ISNA(VLOOKUP(C230,Registration!A:A,1,FALSE)),"Not Registered","Registered")</f>
        <v>Not Registered</v>
      </c>
      <c r="F230">
        <f>VLOOKUP(A230,Sheet1!A:B,2,FALSE)</f>
        <v>9993325021</v>
      </c>
      <c r="G230">
        <f>_xlfn.IFNA(VLOOKUP(C230,CallLog_Latest!A:H,8,FALSE),"")</f>
        <v>0</v>
      </c>
      <c r="H230" t="str">
        <f>VLOOKUP(C230,[1]Sheet1!$F:$H,3,FALSE)</f>
        <v>1001, Divya Gunjan Gaurav Garden Complex, Ganesh Chowk, Charkop Sector -6, Kandivali (W</v>
      </c>
    </row>
    <row r="231" spans="1:8" x14ac:dyDescent="0.25">
      <c r="A231" t="s">
        <v>12</v>
      </c>
      <c r="B231" t="s">
        <v>275</v>
      </c>
      <c r="C231">
        <v>9869652536</v>
      </c>
      <c r="D231" t="str">
        <f>_xlfn.IFNA(VLOOKUP(C231,CallLog_Latest!A:H,7,FALSE),"Not Called")</f>
        <v>Confirmed Presence</v>
      </c>
      <c r="E231" t="str">
        <f>IF(ISNA(VLOOKUP(C231,Registration!A:A,1,FALSE)),"Not Registered","Registered")</f>
        <v>Not Registered</v>
      </c>
      <c r="F231">
        <f>VLOOKUP(A231,Sheet1!A:B,2,FALSE)</f>
        <v>9820454734</v>
      </c>
      <c r="G231">
        <f>_xlfn.IFNA(VLOOKUP(C231,CallLog_Latest!A:H,8,FALSE),"")</f>
        <v>0</v>
      </c>
      <c r="H231" t="str">
        <f>VLOOKUP(C231,[1]Sheet1!$F:$H,3,FALSE)</f>
        <v>1001, Divya Gunjan Gaurav Garden Complex, Ganesh Chowk, Charkop Sector -6, Kandivali (W</v>
      </c>
    </row>
    <row r="232" spans="1:8" x14ac:dyDescent="0.25">
      <c r="A232" t="s">
        <v>78</v>
      </c>
      <c r="B232" t="s">
        <v>276</v>
      </c>
      <c r="C232">
        <v>9320102206</v>
      </c>
      <c r="D232" t="str">
        <f>_xlfn.IFNA(VLOOKUP(C232,CallLog_Latest!A:H,7,FALSE),"Not Called")</f>
        <v>May be Attending</v>
      </c>
      <c r="E232" t="str">
        <f>IF(ISNA(VLOOKUP(C232,Registration!A:A,1,FALSE)),"Not Registered","Registered")</f>
        <v>Not Registered</v>
      </c>
      <c r="F232">
        <f>VLOOKUP(A232,Sheet1!A:B,2,FALSE)</f>
        <v>9029105124</v>
      </c>
      <c r="G232">
        <f>_xlfn.IFNA(VLOOKUP(C232,CallLog_Latest!A:H,8,FALSE),"")</f>
        <v>0</v>
      </c>
      <c r="H232" t="str">
        <f>VLOOKUP(C232,[1]Sheet1!$F:$H,3,FALSE)</f>
        <v>1001, Divya Gunjan Gaurav Garden Complex, Ganesh Chowk, Charkop Sector -6, Kandivali (W</v>
      </c>
    </row>
    <row r="233" spans="1:8" x14ac:dyDescent="0.25">
      <c r="A233" t="s">
        <v>80</v>
      </c>
      <c r="B233" t="s">
        <v>277</v>
      </c>
      <c r="C233">
        <v>9323380926</v>
      </c>
      <c r="D233" t="str">
        <f>_xlfn.IFNA(VLOOKUP(C233,CallLog_Latest!A:H,7,FALSE),"Not Called")</f>
        <v>Not Called</v>
      </c>
      <c r="E233" t="str">
        <f>IF(ISNA(VLOOKUP(C233,Registration!A:A,1,FALSE)),"Not Registered","Registered")</f>
        <v>Not Registered</v>
      </c>
      <c r="F233">
        <f>VLOOKUP(A233,Sheet1!A:B,2,FALSE)</f>
        <v>9599704370</v>
      </c>
      <c r="G233" t="str">
        <f>_xlfn.IFNA(VLOOKUP(C233,CallLog_Latest!A:H,8,FALSE),"")</f>
        <v/>
      </c>
      <c r="H233" t="str">
        <f>VLOOKUP(C233,[1]Sheet1!$F:$H,3,FALSE)</f>
        <v>304 Charkop  Rajnigandha CHS Sector No 1  Plot No 4, Kandivali (W</v>
      </c>
    </row>
    <row r="234" spans="1:8" x14ac:dyDescent="0.25">
      <c r="A234" t="s">
        <v>82</v>
      </c>
      <c r="B234" t="s">
        <v>278</v>
      </c>
      <c r="C234">
        <v>9833681821</v>
      </c>
      <c r="D234" t="str">
        <f>_xlfn.IFNA(VLOOKUP(C234,CallLog_Latest!A:H,7,FALSE),"Not Called")</f>
        <v>Not Reachable</v>
      </c>
      <c r="E234" t="str">
        <f>IF(ISNA(VLOOKUP(C234,Registration!A:A,1,FALSE)),"Not Registered","Registered")</f>
        <v>Not Registered</v>
      </c>
      <c r="F234">
        <f>VLOOKUP(A234,Sheet1!A:B,2,FALSE)</f>
        <v>9824100412</v>
      </c>
      <c r="G234">
        <f>_xlfn.IFNA(VLOOKUP(C234,CallLog_Latest!A:H,8,FALSE),"")</f>
        <v>0</v>
      </c>
      <c r="H234" t="str">
        <f>VLOOKUP(C234,[1]Sheet1!$F:$H,3,FALSE)</f>
        <v>504  Kanya Kumari CHS  Nr  Santoshimata Mandir  M.g. Road</v>
      </c>
    </row>
    <row r="235" spans="1:8" x14ac:dyDescent="0.25">
      <c r="A235" t="s">
        <v>84</v>
      </c>
      <c r="B235" t="s">
        <v>279</v>
      </c>
      <c r="C235">
        <v>9619537250</v>
      </c>
      <c r="D235" t="str">
        <f>_xlfn.IFNA(VLOOKUP(C235,CallLog_Latest!A:H,7,FALSE),"Not Called")</f>
        <v>Not Coming</v>
      </c>
      <c r="E235" t="str">
        <f>IF(ISNA(VLOOKUP(C235,Registration!A:A,1,FALSE)),"Not Registered","Registered")</f>
        <v>Not Registered</v>
      </c>
      <c r="F235">
        <f>VLOOKUP(A235,Sheet1!A:B,2,FALSE)</f>
        <v>9225211083</v>
      </c>
      <c r="G235" t="str">
        <f>_xlfn.IFNA(VLOOKUP(C235,CallLog_Latest!A:H,8,FALSE),"")</f>
        <v>Out of town</v>
      </c>
      <c r="H235" t="str">
        <f>VLOOKUP(C235,[1]Sheet1!$F:$H,3,FALSE)</f>
        <v>A-101  Trishul Heights  Nr.blue Empire Complex Link Road</v>
      </c>
    </row>
    <row r="236" spans="1:8" x14ac:dyDescent="0.25">
      <c r="A236" t="s">
        <v>86</v>
      </c>
      <c r="B236" t="s">
        <v>280</v>
      </c>
      <c r="C236">
        <v>9322297669</v>
      </c>
      <c r="D236" t="str">
        <f>_xlfn.IFNA(VLOOKUP(C236,CallLog_Latest!A:H,7,FALSE),"Not Called")</f>
        <v>Not Called</v>
      </c>
      <c r="E236" t="str">
        <f>IF(ISNA(VLOOKUP(C236,Registration!A:A,1,FALSE)),"Not Registered","Registered")</f>
        <v>Not Registered</v>
      </c>
      <c r="F236">
        <f>VLOOKUP(A236,Sheet1!A:B,2,FALSE)</f>
        <v>9930252076</v>
      </c>
      <c r="G236" t="str">
        <f>_xlfn.IFNA(VLOOKUP(C236,CallLog_Latest!A:H,8,FALSE),"")</f>
        <v/>
      </c>
      <c r="H236" t="str">
        <f>VLOOKUP(C236,[1]Sheet1!$F:$H,3,FALSE)</f>
        <v>Kshitij CHS. C/3   Devnagar Derasar Road, Kandivali (W</v>
      </c>
    </row>
    <row r="237" spans="1:8" x14ac:dyDescent="0.25">
      <c r="A237" t="s">
        <v>88</v>
      </c>
      <c r="B237" t="s">
        <v>281</v>
      </c>
      <c r="C237">
        <v>9892002017</v>
      </c>
      <c r="D237" t="str">
        <f>_xlfn.IFNA(VLOOKUP(C237,CallLog_Latest!A:H,7,FALSE),"Not Called")</f>
        <v>Not Called</v>
      </c>
      <c r="E237" t="str">
        <f>IF(ISNA(VLOOKUP(C237,Registration!A:A,1,FALSE)),"Not Registered","Registered")</f>
        <v>Not Registered</v>
      </c>
      <c r="F237">
        <f>VLOOKUP(A237,Sheet1!A:B,2,FALSE)</f>
        <v>9661270782</v>
      </c>
      <c r="G237" t="str">
        <f>_xlfn.IFNA(VLOOKUP(C237,CallLog_Latest!A:H,8,FALSE),"")</f>
        <v/>
      </c>
      <c r="H237" t="str">
        <f>VLOOKUP(C237,[1]Sheet1!$F:$H,3,FALSE)</f>
        <v>Kshitij CHS. C/3   Devnagar Derasar Road, Kandivali (W</v>
      </c>
    </row>
    <row r="238" spans="1:8" x14ac:dyDescent="0.25">
      <c r="A238" t="s">
        <v>90</v>
      </c>
      <c r="B238" t="s">
        <v>282</v>
      </c>
      <c r="C238">
        <v>9987536868</v>
      </c>
      <c r="D238" t="str">
        <f>_xlfn.IFNA(VLOOKUP(C238,CallLog_Latest!A:H,7,FALSE),"Not Called")</f>
        <v>Not Called</v>
      </c>
      <c r="E238" t="str">
        <f>IF(ISNA(VLOOKUP(C238,Registration!A:A,1,FALSE)),"Not Registered","Registered")</f>
        <v>Not Registered</v>
      </c>
      <c r="F238">
        <f>VLOOKUP(A238,Sheet1!A:B,2,FALSE)</f>
        <v>9819128389</v>
      </c>
      <c r="G238" t="str">
        <f>_xlfn.IFNA(VLOOKUP(C238,CallLog_Latest!A:H,8,FALSE),"")</f>
        <v/>
      </c>
      <c r="H238" t="str">
        <f>VLOOKUP(C238,[1]Sheet1!$F:$H,3,FALSE)</f>
        <v>Kshitij CHS. C/3   Devnagar Derasar Road, Kandivali (W</v>
      </c>
    </row>
    <row r="239" spans="1:8" x14ac:dyDescent="0.25">
      <c r="A239" t="s">
        <v>92</v>
      </c>
      <c r="B239" t="s">
        <v>283</v>
      </c>
      <c r="C239">
        <v>9820101822</v>
      </c>
      <c r="D239" t="str">
        <f>_xlfn.IFNA(VLOOKUP(C239,CallLog_Latest!A:H,7,FALSE),"Not Called")</f>
        <v>Not Called</v>
      </c>
      <c r="E239" t="str">
        <f>IF(ISNA(VLOOKUP(C239,Registration!A:A,1,FALSE)),"Not Registered","Registered")</f>
        <v>Not Registered</v>
      </c>
      <c r="F239">
        <f>VLOOKUP(A239,Sheet1!A:B,2,FALSE)</f>
        <v>8268665777</v>
      </c>
      <c r="G239" t="str">
        <f>_xlfn.IFNA(VLOOKUP(C239,CallLog_Latest!A:H,8,FALSE),"")</f>
        <v/>
      </c>
      <c r="H239" t="str">
        <f>VLOOKUP(C239,[1]Sheet1!$F:$H,3,FALSE)</f>
        <v>Kshitij CHS. C/3   Devnagar Derasar Road, Kandivali (W</v>
      </c>
    </row>
    <row r="240" spans="1:8" x14ac:dyDescent="0.25">
      <c r="A240" t="s">
        <v>94</v>
      </c>
      <c r="B240" t="s">
        <v>284</v>
      </c>
      <c r="C240">
        <v>9869089190</v>
      </c>
      <c r="D240" t="str">
        <f>_xlfn.IFNA(VLOOKUP(C240,CallLog_Latest!A:H,7,FALSE),"Not Called")</f>
        <v>Not Called</v>
      </c>
      <c r="E240" t="str">
        <f>IF(ISNA(VLOOKUP(C240,Registration!A:A,1,FALSE)),"Not Registered","Registered")</f>
        <v>Not Registered</v>
      </c>
      <c r="F240">
        <f>VLOOKUP(A240,Sheet1!A:B,2,FALSE)</f>
        <v>9920085455</v>
      </c>
      <c r="G240" t="str">
        <f>_xlfn.IFNA(VLOOKUP(C240,CallLog_Latest!A:H,8,FALSE),"")</f>
        <v/>
      </c>
      <c r="H240" t="str">
        <f>VLOOKUP(C240,[1]Sheet1!$F:$H,3,FALSE)</f>
        <v>C-501  Paranay Vidya Opp. Pawar Public School</v>
      </c>
    </row>
    <row r="241" spans="1:8" x14ac:dyDescent="0.25">
      <c r="A241" t="s">
        <v>96</v>
      </c>
      <c r="B241" t="s">
        <v>285</v>
      </c>
      <c r="C241">
        <v>9820558544</v>
      </c>
      <c r="D241" t="str">
        <f>_xlfn.IFNA(VLOOKUP(C241,CallLog_Latest!A:H,7,FALSE),"Not Called")</f>
        <v>Not Reachable</v>
      </c>
      <c r="E241" t="str">
        <f>IF(ISNA(VLOOKUP(C241,Registration!A:A,1,FALSE)),"Not Registered","Registered")</f>
        <v>Not Registered</v>
      </c>
      <c r="F241">
        <f>VLOOKUP(A241,Sheet1!A:B,2,FALSE)</f>
        <v>9424584007</v>
      </c>
      <c r="G241" t="str">
        <f>_xlfn.IFNA(VLOOKUP(C241,CallLog_Latest!A:H,8,FALSE),"")</f>
        <v>Number out of service</v>
      </c>
      <c r="H241" t="str">
        <f>VLOOKUP(C241,[1]Sheet1!$F:$H,3,FALSE)</f>
        <v>302 A Wing  Shubham  Gaurav Garden Complex Near Diya Gunjan Bldg  Ganesh Chowk, Kandivali (W</v>
      </c>
    </row>
    <row r="242" spans="1:8" x14ac:dyDescent="0.25">
      <c r="A242" t="s">
        <v>3</v>
      </c>
      <c r="B242" t="s">
        <v>286</v>
      </c>
      <c r="C242">
        <v>7208998099</v>
      </c>
      <c r="D242" t="str">
        <f>_xlfn.IFNA(VLOOKUP(C242,CallLog_Latest!A:H,7,FALSE),"Not Called")</f>
        <v>Not Called</v>
      </c>
      <c r="E242" t="str">
        <f>IF(ISNA(VLOOKUP(C242,Registration!A:A,1,FALSE)),"Not Registered","Registered")</f>
        <v>Registered</v>
      </c>
      <c r="F242">
        <f>VLOOKUP(A242,Sheet1!A:B,2,FALSE)</f>
        <v>9326379737</v>
      </c>
      <c r="G242" t="str">
        <f>_xlfn.IFNA(VLOOKUP(C242,CallLog_Latest!A:H,8,FALSE),"")</f>
        <v/>
      </c>
      <c r="H242" t="str">
        <f>VLOOKUP(C242,[1]Sheet1!$F:$H,3,FALSE)</f>
        <v>201, Dhvani Bldg. Plot 11, Ganesh Nagar Old Link Road, Charkop, Kandivali (W</v>
      </c>
    </row>
    <row r="243" spans="1:8" x14ac:dyDescent="0.25">
      <c r="A243" t="s">
        <v>5</v>
      </c>
      <c r="B243" t="s">
        <v>287</v>
      </c>
      <c r="C243">
        <v>9869249453</v>
      </c>
      <c r="D243" t="str">
        <f>_xlfn.IFNA(VLOOKUP(C243,CallLog_Latest!A:H,7,FALSE),"Not Called")</f>
        <v>Not Called</v>
      </c>
      <c r="E243" t="str">
        <f>IF(ISNA(VLOOKUP(C243,Registration!A:A,1,FALSE)),"Not Registered","Registered")</f>
        <v>Not Registered</v>
      </c>
      <c r="F243">
        <f>VLOOKUP(A243,Sheet1!A:B,2,FALSE)</f>
        <v>9323541634</v>
      </c>
      <c r="G243" t="str">
        <f>_xlfn.IFNA(VLOOKUP(C243,CallLog_Latest!A:H,8,FALSE),"")</f>
        <v/>
      </c>
      <c r="H243" t="str">
        <f>VLOOKUP(C243,[1]Sheet1!$F:$H,3,FALSE)</f>
        <v>201, Dhvani Bldg. Plot 11, Ganesh Nagar Old Link Road, Charkop, Kandivali (W</v>
      </c>
    </row>
    <row r="244" spans="1:8" x14ac:dyDescent="0.25">
      <c r="A244" t="s">
        <v>7</v>
      </c>
      <c r="B244" t="s">
        <v>288</v>
      </c>
      <c r="C244">
        <v>9730934087</v>
      </c>
      <c r="D244" t="str">
        <f>_xlfn.IFNA(VLOOKUP(C244,CallLog_Latest!A:H,7,FALSE),"Not Called")</f>
        <v>Not Called</v>
      </c>
      <c r="E244" t="str">
        <f>IF(ISNA(VLOOKUP(C244,Registration!A:A,1,FALSE)),"Not Registered","Registered")</f>
        <v>Not Registered</v>
      </c>
      <c r="F244">
        <f>VLOOKUP(A244,Sheet1!A:B,2,FALSE)</f>
        <v>9867015031</v>
      </c>
      <c r="G244" t="str">
        <f>_xlfn.IFNA(VLOOKUP(C244,CallLog_Latest!A:H,8,FALSE),"")</f>
        <v/>
      </c>
      <c r="H244" t="str">
        <f>VLOOKUP(C244,[1]Sheet1!$F:$H,3,FALSE)</f>
        <v>Shubhakamana CHSL., C-23, Plot No. 513, RSC-45 Sector-5, Charkop, Kandivali (W</v>
      </c>
    </row>
    <row r="245" spans="1:8" x14ac:dyDescent="0.25">
      <c r="A245" t="s">
        <v>9</v>
      </c>
      <c r="B245" t="s">
        <v>289</v>
      </c>
      <c r="C245">
        <v>9869421034</v>
      </c>
      <c r="D245" t="str">
        <f>_xlfn.IFNA(VLOOKUP(C245,CallLog_Latest!A:H,7,FALSE),"Not Called")</f>
        <v>Not Called</v>
      </c>
      <c r="E245" t="str">
        <f>IF(ISNA(VLOOKUP(C245,Registration!A:A,1,FALSE)),"Not Registered","Registered")</f>
        <v>Not Registered</v>
      </c>
      <c r="F245">
        <f>VLOOKUP(A245,Sheet1!A:B,2,FALSE)</f>
        <v>9821268271</v>
      </c>
      <c r="G245" t="str">
        <f>_xlfn.IFNA(VLOOKUP(C245,CallLog_Latest!A:H,8,FALSE),"")</f>
        <v/>
      </c>
      <c r="H245" t="str">
        <f>VLOOKUP(C245,[1]Sheet1!$F:$H,3,FALSE)</f>
        <v>301-Dhwani CHS Plot No 11 Ganesh Nagar Dhwani chsl</v>
      </c>
    </row>
    <row r="246" spans="1:8" x14ac:dyDescent="0.25">
      <c r="A246" t="s">
        <v>11</v>
      </c>
      <c r="B246" t="s">
        <v>290</v>
      </c>
      <c r="C246">
        <v>9821524187</v>
      </c>
      <c r="D246" t="str">
        <f>_xlfn.IFNA(VLOOKUP(C246,CallLog_Latest!A:H,7,FALSE),"Not Called")</f>
        <v>Not Called</v>
      </c>
      <c r="E246" t="str">
        <f>IF(ISNA(VLOOKUP(C246,Registration!A:A,1,FALSE)),"Not Registered","Registered")</f>
        <v>Not Registered</v>
      </c>
      <c r="F246">
        <f>VLOOKUP(A246,Sheet1!A:B,2,FALSE)</f>
        <v>9322598681</v>
      </c>
      <c r="G246" t="str">
        <f>_xlfn.IFNA(VLOOKUP(C246,CallLog_Latest!A:H,8,FALSE),"")</f>
        <v/>
      </c>
      <c r="H246" t="str">
        <f>VLOOKUP(C246,[1]Sheet1!$F:$H,3,FALSE)</f>
        <v>D/402  Pushp Heritage Dahanukar Wad  I Near Mahaveer Nagar</v>
      </c>
    </row>
    <row r="247" spans="1:8" x14ac:dyDescent="0.25">
      <c r="A247" t="s">
        <v>13</v>
      </c>
      <c r="B247" t="s">
        <v>291</v>
      </c>
      <c r="C247">
        <v>9322335192</v>
      </c>
      <c r="D247" t="str">
        <f>_xlfn.IFNA(VLOOKUP(C247,CallLog_Latest!A:H,7,FALSE),"Not Called")</f>
        <v>Not Called</v>
      </c>
      <c r="E247" t="str">
        <f>IF(ISNA(VLOOKUP(C247,Registration!A:A,1,FALSE)),"Not Registered","Registered")</f>
        <v>Not Registered</v>
      </c>
      <c r="F247">
        <f>VLOOKUP(A247,Sheet1!A:B,2,FALSE)</f>
        <v>9969403870</v>
      </c>
      <c r="G247" t="str">
        <f>_xlfn.IFNA(VLOOKUP(C247,CallLog_Latest!A:H,8,FALSE),"")</f>
        <v/>
      </c>
      <c r="H247" t="str">
        <f>VLOOKUP(C247,[1]Sheet1!$F:$H,3,FALSE)</f>
        <v>A/12.Zenith CHS .Ltd. Plot No.8/217 Sector 3. Opp.Saraswat Bank.Charkop. Kandivali (W.Mumbai - .</v>
      </c>
    </row>
    <row r="248" spans="1:8" x14ac:dyDescent="0.25">
      <c r="A248" t="s">
        <v>15</v>
      </c>
      <c r="B248" t="s">
        <v>292</v>
      </c>
      <c r="C248">
        <v>9324336209</v>
      </c>
      <c r="D248" t="str">
        <f>_xlfn.IFNA(VLOOKUP(C248,CallLog_Latest!A:H,7,FALSE),"Not Called")</f>
        <v>Not Called</v>
      </c>
      <c r="E248" t="str">
        <f>IF(ISNA(VLOOKUP(C248,Registration!A:A,1,FALSE)),"Not Registered","Registered")</f>
        <v>Not Registered</v>
      </c>
      <c r="F248">
        <f>VLOOKUP(A248,Sheet1!A:B,2,FALSE)</f>
        <v>9892726278</v>
      </c>
      <c r="G248" t="str">
        <f>_xlfn.IFNA(VLOOKUP(C248,CallLog_Latest!A:H,8,FALSE),"")</f>
        <v/>
      </c>
      <c r="H248" t="str">
        <f>VLOOKUP(C248,[1]Sheet1!$F:$H,3,FALSE)</f>
        <v>A-12  Jenit  Sector -3  Charkop Opp  Saraswat Bank,kandivali(w</v>
      </c>
    </row>
    <row r="249" spans="1:8" x14ac:dyDescent="0.25">
      <c r="A249" t="s">
        <v>17</v>
      </c>
      <c r="B249" t="s">
        <v>293</v>
      </c>
      <c r="C249">
        <v>9324645508</v>
      </c>
      <c r="D249" t="str">
        <f>_xlfn.IFNA(VLOOKUP(C249,CallLog_Latest!A:H,7,FALSE),"Not Called")</f>
        <v>Phone Busy</v>
      </c>
      <c r="E249" t="str">
        <f>IF(ISNA(VLOOKUP(C249,Registration!A:A,1,FALSE)),"Not Registered","Registered")</f>
        <v>Not Registered</v>
      </c>
      <c r="F249">
        <f>VLOOKUP(A249,Sheet1!A:B,2,FALSE)</f>
        <v>9869798705</v>
      </c>
      <c r="G249" t="str">
        <f>_xlfn.IFNA(VLOOKUP(C249,CallLog_Latest!A:H,8,FALSE),"")</f>
        <v>Not received</v>
      </c>
      <c r="H249" t="str">
        <f>VLOOKUP(C249,[1]Sheet1!$F:$H,3,FALSE)</f>
        <v>Rock Enclave, F-122,   Near ICICI Bank, Hindustan Naka, Kandivali (W</v>
      </c>
    </row>
    <row r="250" spans="1:8" x14ac:dyDescent="0.25">
      <c r="A250" t="s">
        <v>19</v>
      </c>
      <c r="B250" t="s">
        <v>294</v>
      </c>
      <c r="C250">
        <v>9968855475</v>
      </c>
      <c r="D250" t="str">
        <f>_xlfn.IFNA(VLOOKUP(C250,CallLog_Latest!A:H,7,FALSE),"Not Called")</f>
        <v>Not Called</v>
      </c>
      <c r="E250" t="str">
        <f>IF(ISNA(VLOOKUP(C250,Registration!A:A,1,FALSE)),"Not Registered","Registered")</f>
        <v>Not Registered</v>
      </c>
      <c r="F250">
        <f>VLOOKUP(A250,Sheet1!A:B,2,FALSE)</f>
        <v>9820265640</v>
      </c>
      <c r="G250" t="str">
        <f>_xlfn.IFNA(VLOOKUP(C250,CallLog_Latest!A:H,8,FALSE),"")</f>
        <v/>
      </c>
      <c r="H250" t="str">
        <f>VLOOKUP(C250,[1]Sheet1!$F:$H,3,FALSE)</f>
        <v>1502, A Wing  Orchid Suburbia, New Link Road, Kandivali West</v>
      </c>
    </row>
    <row r="251" spans="1:8" x14ac:dyDescent="0.25">
      <c r="A251" t="s">
        <v>21</v>
      </c>
      <c r="B251" t="s">
        <v>295</v>
      </c>
      <c r="C251">
        <v>9820817039</v>
      </c>
      <c r="D251" t="str">
        <f>_xlfn.IFNA(VLOOKUP(C251,CallLog_Latest!A:H,7,FALSE),"Not Called")</f>
        <v>Not Called</v>
      </c>
      <c r="E251" t="str">
        <f>IF(ISNA(VLOOKUP(C251,Registration!A:A,1,FALSE)),"Not Registered","Registered")</f>
        <v>Not Registered</v>
      </c>
      <c r="F251">
        <f>VLOOKUP(A251,Sheet1!A:B,2,FALSE)</f>
        <v>9820636392</v>
      </c>
      <c r="G251" t="str">
        <f>_xlfn.IFNA(VLOOKUP(C251,CallLog_Latest!A:H,8,FALSE),"")</f>
        <v/>
      </c>
      <c r="H251" t="str">
        <f>VLOOKUP(C251,[1]Sheet1!$F:$H,3,FALSE)</f>
        <v>Rajshivganga 1506 Ganesh Nagar, Kandivali w</v>
      </c>
    </row>
    <row r="252" spans="1:8" x14ac:dyDescent="0.25">
      <c r="A252" t="s">
        <v>23</v>
      </c>
      <c r="B252" t="s">
        <v>296</v>
      </c>
      <c r="C252">
        <v>9833180748</v>
      </c>
      <c r="D252" t="str">
        <f>_xlfn.IFNA(VLOOKUP(C252,CallLog_Latest!A:H,7,FALSE),"Not Called")</f>
        <v>Not Called</v>
      </c>
      <c r="E252" t="str">
        <f>IF(ISNA(VLOOKUP(C252,Registration!A:A,1,FALSE)),"Not Registered","Registered")</f>
        <v>Not Registered</v>
      </c>
      <c r="F252">
        <f>VLOOKUP(A252,Sheet1!A:B,2,FALSE)</f>
        <v>7977439717</v>
      </c>
      <c r="G252" t="str">
        <f>_xlfn.IFNA(VLOOKUP(C252,CallLog_Latest!A:H,8,FALSE),"")</f>
        <v/>
      </c>
      <c r="H252" t="str">
        <f>VLOOKUP(C252,[1]Sheet1!$F:$H,3,FALSE)</f>
        <v>Flat 701 A Mahavir Darshan A Wing Plot 2 Sector 2 Charkop Kandivali .</v>
      </c>
    </row>
    <row r="253" spans="1:8" x14ac:dyDescent="0.25">
      <c r="A253" t="s">
        <v>25</v>
      </c>
      <c r="B253" t="s">
        <v>297</v>
      </c>
      <c r="C253">
        <v>9820074656</v>
      </c>
      <c r="D253" t="str">
        <f>_xlfn.IFNA(VLOOKUP(C253,CallLog_Latest!A:H,7,FALSE),"Not Called")</f>
        <v>Not Called</v>
      </c>
      <c r="E253" t="str">
        <f>IF(ISNA(VLOOKUP(C253,Registration!A:A,1,FALSE)),"Not Registered","Registered")</f>
        <v>Not Registered</v>
      </c>
      <c r="F253">
        <f>VLOOKUP(A253,Sheet1!A:B,2,FALSE)</f>
        <v>9967045520</v>
      </c>
      <c r="G253" t="str">
        <f>_xlfn.IFNA(VLOOKUP(C253,CallLog_Latest!A:H,8,FALSE),"")</f>
        <v/>
      </c>
      <c r="H253" t="str">
        <f>VLOOKUP(C253,[1]Sheet1!$F:$H,3,FALSE)</f>
        <v>B /26  Madhurima CHS M.G. Road  Kandivali (W</v>
      </c>
    </row>
    <row r="254" spans="1:8" x14ac:dyDescent="0.25">
      <c r="A254" t="s">
        <v>27</v>
      </c>
      <c r="B254" t="s">
        <v>298</v>
      </c>
      <c r="C254">
        <v>9892582361</v>
      </c>
      <c r="D254" t="str">
        <f>_xlfn.IFNA(VLOOKUP(C254,CallLog_Latest!A:H,7,FALSE),"Not Called")</f>
        <v>Not Called</v>
      </c>
      <c r="E254" t="str">
        <f>IF(ISNA(VLOOKUP(C254,Registration!A:A,1,FALSE)),"Not Registered","Registered")</f>
        <v>Not Registered</v>
      </c>
      <c r="F254">
        <f>VLOOKUP(A254,Sheet1!A:B,2,FALSE)</f>
        <v>9820075931</v>
      </c>
      <c r="G254" t="str">
        <f>_xlfn.IFNA(VLOOKUP(C254,CallLog_Latest!A:H,8,FALSE),"")</f>
        <v/>
      </c>
      <c r="H254" t="str">
        <f>VLOOKUP(C254,[1]Sheet1!$F:$H,3,FALSE)</f>
        <v>A 1001 Gaurav Geet  10th Floor Gaurav Gadern Complex Bunder Pakhadi Road Kandivali (W -</v>
      </c>
    </row>
    <row r="255" spans="1:8" x14ac:dyDescent="0.25">
      <c r="A255" t="s">
        <v>29</v>
      </c>
      <c r="B255" t="s">
        <v>299</v>
      </c>
      <c r="C255">
        <v>9029634348</v>
      </c>
      <c r="D255" t="str">
        <f>_xlfn.IFNA(VLOOKUP(C255,CallLog_Latest!A:H,7,FALSE),"Not Called")</f>
        <v>Not Called</v>
      </c>
      <c r="E255" t="str">
        <f>IF(ISNA(VLOOKUP(C255,Registration!A:A,1,FALSE)),"Not Registered","Registered")</f>
        <v>Not Registered</v>
      </c>
      <c r="F255">
        <f>VLOOKUP(A255,Sheet1!A:B,2,FALSE)</f>
        <v>9819364345</v>
      </c>
      <c r="G255" t="str">
        <f>_xlfn.IFNA(VLOOKUP(C255,CallLog_Latest!A:H,8,FALSE),"")</f>
        <v/>
      </c>
      <c r="H255" t="str">
        <f>VLOOKUP(C255,[1]Sheet1!$F:$H,3,FALSE)</f>
        <v>B /26  Madhurima CHS M.G. Road  Kandivali (W</v>
      </c>
    </row>
    <row r="256" spans="1:8" x14ac:dyDescent="0.25">
      <c r="A256" t="s">
        <v>31</v>
      </c>
      <c r="B256" t="s">
        <v>300</v>
      </c>
      <c r="C256">
        <v>9820810762</v>
      </c>
      <c r="D256" t="str">
        <f>_xlfn.IFNA(VLOOKUP(C256,CallLog_Latest!A:H,7,FALSE),"Not Called")</f>
        <v>May be Attending</v>
      </c>
      <c r="E256" t="str">
        <f>IF(ISNA(VLOOKUP(C256,Registration!A:A,1,FALSE)),"Not Registered","Registered")</f>
        <v>Not Registered</v>
      </c>
      <c r="F256">
        <f>VLOOKUP(A256,Sheet1!A:B,2,FALSE)</f>
        <v>9869064553</v>
      </c>
      <c r="G256">
        <f>_xlfn.IFNA(VLOOKUP(C256,CallLog_Latest!A:H,8,FALSE),"")</f>
        <v>0</v>
      </c>
      <c r="H256" t="str">
        <f>VLOOKUP(C256,[1]Sheet1!$F:$H,3,FALSE)</f>
        <v>26/B  Madhurima CHS   M.G.Road  Kandivali Village   Kandivali I (W</v>
      </c>
    </row>
    <row r="257" spans="1:8" x14ac:dyDescent="0.25">
      <c r="A257" t="s">
        <v>33</v>
      </c>
      <c r="B257" t="s">
        <v>301</v>
      </c>
      <c r="C257">
        <v>9920485387</v>
      </c>
      <c r="D257" t="str">
        <f>_xlfn.IFNA(VLOOKUP(C257,CallLog_Latest!A:H,7,FALSE),"Not Called")</f>
        <v>Confirmed Presence ✅</v>
      </c>
      <c r="E257" t="str">
        <f>IF(ISNA(VLOOKUP(C257,Registration!A:A,1,FALSE)),"Not Registered","Registered")</f>
        <v>Registered</v>
      </c>
      <c r="F257">
        <f>VLOOKUP(A257,Sheet1!A:B,2,FALSE)</f>
        <v>9930070116</v>
      </c>
      <c r="G257" t="str">
        <f>_xlfn.IFNA(VLOOKUP(C257,CallLog_Latest!A:H,8,FALSE),"")</f>
        <v>Confirmed for 3 people. He is available for any volunteer activities.</v>
      </c>
      <c r="H257" t="str">
        <f>VLOOKUP(C257,[1]Sheet1!$F:$H,3,FALSE)</f>
        <v>Sita Sadan  C-23  Sky Build Village Opp. Dev Nagar, Behind Bhatia High School, Kandivali (W</v>
      </c>
    </row>
    <row r="258" spans="1:8" x14ac:dyDescent="0.25">
      <c r="A258" t="s">
        <v>35</v>
      </c>
      <c r="B258" t="s">
        <v>302</v>
      </c>
      <c r="C258">
        <v>9322676231</v>
      </c>
      <c r="D258" t="str">
        <f>_xlfn.IFNA(VLOOKUP(C258,CallLog_Latest!A:H,7,FALSE),"Not Called")</f>
        <v>Not Called</v>
      </c>
      <c r="E258" t="str">
        <f>IF(ISNA(VLOOKUP(C258,Registration!A:A,1,FALSE)),"Not Registered","Registered")</f>
        <v>Not Registered</v>
      </c>
      <c r="F258">
        <f>VLOOKUP(A258,Sheet1!A:B,2,FALSE)</f>
        <v>9833705425</v>
      </c>
      <c r="G258" t="str">
        <f>_xlfn.IFNA(VLOOKUP(C258,CallLog_Latest!A:H,8,FALSE),"")</f>
        <v/>
      </c>
      <c r="H258" t="str">
        <f>VLOOKUP(C258,[1]Sheet1!$F:$H,3,FALSE)</f>
        <v>C-23  Sita Sadan  Opp.Dev Nagar Sai Baba Nagar  Behind Bhatia School, Kandivali (W</v>
      </c>
    </row>
    <row r="259" spans="1:8" x14ac:dyDescent="0.25">
      <c r="A259" t="s">
        <v>37</v>
      </c>
      <c r="B259" t="s">
        <v>303</v>
      </c>
      <c r="C259">
        <v>9867920672</v>
      </c>
      <c r="D259" t="str">
        <f>_xlfn.IFNA(VLOOKUP(C259,CallLog_Latest!A:H,7,FALSE),"Not Called")</f>
        <v>Not Called</v>
      </c>
      <c r="E259" t="str">
        <f>IF(ISNA(VLOOKUP(C259,Registration!A:A,1,FALSE)),"Not Registered","Registered")</f>
        <v>Not Registered</v>
      </c>
      <c r="F259">
        <f>VLOOKUP(A259,Sheet1!A:B,2,FALSE)</f>
        <v>9167390835</v>
      </c>
      <c r="G259" t="str">
        <f>_xlfn.IFNA(VLOOKUP(C259,CallLog_Latest!A:H,8,FALSE),"")</f>
        <v/>
      </c>
      <c r="H259" t="str">
        <f>VLOOKUP(C259,[1]Sheet1!$F:$H,3,FALSE)</f>
        <v>15  Indralok CHS.  Near Adukia School  Balika Vidyalay Marg</v>
      </c>
    </row>
    <row r="260" spans="1:8" x14ac:dyDescent="0.25">
      <c r="A260" t="s">
        <v>39</v>
      </c>
      <c r="B260" t="s">
        <v>304</v>
      </c>
      <c r="C260">
        <v>9324819088</v>
      </c>
      <c r="D260" t="str">
        <f>_xlfn.IFNA(VLOOKUP(C260,CallLog_Latest!A:H,7,FALSE),"Not Called")</f>
        <v>May be Attending</v>
      </c>
      <c r="E260" t="str">
        <f>IF(ISNA(VLOOKUP(C260,Registration!A:A,1,FALSE)),"Not Registered","Registered")</f>
        <v>Not Registered</v>
      </c>
      <c r="F260">
        <f>VLOOKUP(A260,Sheet1!A:B,2,FALSE)</f>
        <v>9820505363</v>
      </c>
      <c r="G260" t="str">
        <f>_xlfn.IFNA(VLOOKUP(C260,CallLog_Latest!A:H,8,FALSE),"")</f>
        <v>Will ask their children to register</v>
      </c>
      <c r="H260" t="str">
        <f>VLOOKUP(C260,[1]Sheet1!$F:$H,3,FALSE)</f>
        <v>B-803, Shiv Veer Co-op Society, Charkop Sector -8 Behind Charkop MTNL, Kandivali (W</v>
      </c>
    </row>
    <row r="261" spans="1:8" x14ac:dyDescent="0.25">
      <c r="A261" t="s">
        <v>41</v>
      </c>
      <c r="B261" t="s">
        <v>305</v>
      </c>
      <c r="C261">
        <v>8777740593</v>
      </c>
      <c r="D261" t="str">
        <f>_xlfn.IFNA(VLOOKUP(C261,CallLog_Latest!A:H,7,FALSE),"Not Called")</f>
        <v>Not Reachable</v>
      </c>
      <c r="E261" t="str">
        <f>IF(ISNA(VLOOKUP(C261,Registration!A:A,1,FALSE)),"Not Registered","Registered")</f>
        <v>Not Registered</v>
      </c>
      <c r="F261">
        <f>VLOOKUP(A261,Sheet1!A:B,2,FALSE)</f>
        <v>8058973809</v>
      </c>
      <c r="G261">
        <f>_xlfn.IFNA(VLOOKUP(C261,CallLog_Latest!A:H,8,FALSE),"")</f>
        <v>0</v>
      </c>
      <c r="H261" t="str">
        <f>VLOOKUP(C261,[1]Sheet1!$F:$H,3,FALSE)</f>
        <v>14-B  Madhurima 4th Floor  M.G.Road</v>
      </c>
    </row>
    <row r="262" spans="1:8" x14ac:dyDescent="0.25">
      <c r="A262" t="s">
        <v>43</v>
      </c>
      <c r="B262" t="s">
        <v>306</v>
      </c>
      <c r="C262">
        <v>9821268271</v>
      </c>
      <c r="D262" t="str">
        <f>_xlfn.IFNA(VLOOKUP(C262,CallLog_Latest!A:H,7,FALSE),"Not Called")</f>
        <v>Not Called</v>
      </c>
      <c r="E262" t="str">
        <f>IF(ISNA(VLOOKUP(C262,Registration!A:A,1,FALSE)),"Not Registered","Registered")</f>
        <v>Not Registered</v>
      </c>
      <c r="F262">
        <f>VLOOKUP(A262,Sheet1!A:B,2,FALSE)</f>
        <v>9320683201</v>
      </c>
      <c r="G262" t="str">
        <f>_xlfn.IFNA(VLOOKUP(C262,CallLog_Latest!A:H,8,FALSE),"")</f>
        <v/>
      </c>
      <c r="H262" t="str">
        <f>VLOOKUP(C262,[1]Sheet1!$F:$H,3,FALSE)</f>
        <v>1003, 10th Floor, Mayfair Greens CHS Ltd 88A, Gaodevi Road,  Near Poisar Subway, Poisar, Kandivali West</v>
      </c>
    </row>
    <row r="263" spans="1:8" x14ac:dyDescent="0.25">
      <c r="A263" t="s">
        <v>45</v>
      </c>
      <c r="B263" t="s">
        <v>307</v>
      </c>
      <c r="C263">
        <v>9327252521</v>
      </c>
      <c r="D263" t="str">
        <f>_xlfn.IFNA(VLOOKUP(C263,CallLog_Latest!A:H,7,FALSE),"Not Called")</f>
        <v>Not Called</v>
      </c>
      <c r="E263" t="str">
        <f>IF(ISNA(VLOOKUP(C263,Registration!A:A,1,FALSE)),"Not Registered","Registered")</f>
        <v>Not Registered</v>
      </c>
      <c r="F263">
        <f>VLOOKUP(A263,Sheet1!A:B,2,FALSE)</f>
        <v>9967235652</v>
      </c>
      <c r="G263" t="str">
        <f>_xlfn.IFNA(VLOOKUP(C263,CallLog_Latest!A:H,8,FALSE),"")</f>
        <v/>
      </c>
      <c r="H263" t="str">
        <f>VLOOKUP(C263,[1]Sheet1!$F:$H,3,FALSE)</f>
        <v>301 Shree Arihant Chs, Sector 1 Plot 123, Charkop Kandivali (W</v>
      </c>
    </row>
    <row r="264" spans="1:8" x14ac:dyDescent="0.25">
      <c r="A264" t="s">
        <v>47</v>
      </c>
      <c r="B264" t="s">
        <v>308</v>
      </c>
      <c r="C264">
        <v>9004255553</v>
      </c>
      <c r="D264" t="str">
        <f>_xlfn.IFNA(VLOOKUP(C264,CallLog_Latest!A:H,7,FALSE),"Not Called")</f>
        <v>Confirmed Presence ✅</v>
      </c>
      <c r="E264" t="str">
        <f>IF(ISNA(VLOOKUP(C264,Registration!A:A,1,FALSE)),"Not Registered","Registered")</f>
        <v>Not Registered</v>
      </c>
      <c r="F264">
        <f>VLOOKUP(A264,Sheet1!A:B,2,FALSE)</f>
        <v>8108711149</v>
      </c>
      <c r="G264">
        <f>_xlfn.IFNA(VLOOKUP(C264,CallLog_Latest!A:H,8,FALSE),"")</f>
        <v>0</v>
      </c>
      <c r="H264" t="str">
        <f>VLOOKUP(C264,[1]Sheet1!$F:$H,3,FALSE)</f>
        <v>301 Shree Arihant Chs, Sector 1 Plot 123, Charkop Kandivali (W</v>
      </c>
    </row>
    <row r="265" spans="1:8" x14ac:dyDescent="0.25">
      <c r="A265" t="s">
        <v>49</v>
      </c>
      <c r="B265" t="s">
        <v>309</v>
      </c>
      <c r="C265">
        <v>9930459981</v>
      </c>
      <c r="D265" t="str">
        <f>_xlfn.IFNA(VLOOKUP(C265,CallLog_Latest!A:H,7,FALSE),"Not Called")</f>
        <v>Confirmed Presence ✅</v>
      </c>
      <c r="E265" t="str">
        <f>IF(ISNA(VLOOKUP(C265,Registration!A:A,1,FALSE)),"Not Registered","Registered")</f>
        <v>Not Registered</v>
      </c>
      <c r="F265">
        <f>VLOOKUP(A265,Sheet1!A:B,2,FALSE)</f>
        <v>9322206108</v>
      </c>
      <c r="G265">
        <f>_xlfn.IFNA(VLOOKUP(C265,CallLog_Latest!A:H,8,FALSE),"")</f>
        <v>0</v>
      </c>
      <c r="H265" t="str">
        <f>VLOOKUP(C265,[1]Sheet1!$F:$H,3,FALSE)</f>
        <v>Link Road, Above Puma Showroom</v>
      </c>
    </row>
    <row r="266" spans="1:8" x14ac:dyDescent="0.25">
      <c r="A266" t="s">
        <v>51</v>
      </c>
      <c r="B266" t="s">
        <v>310</v>
      </c>
      <c r="C266">
        <v>9820246617</v>
      </c>
      <c r="D266" t="str">
        <f>_xlfn.IFNA(VLOOKUP(C266,CallLog_Latest!A:H,7,FALSE),"Not Called")</f>
        <v>Not Called</v>
      </c>
      <c r="E266" t="str">
        <f>IF(ISNA(VLOOKUP(C266,Registration!A:A,1,FALSE)),"Not Registered","Registered")</f>
        <v>Not Registered</v>
      </c>
      <c r="F266">
        <f>VLOOKUP(A266,Sheet1!A:B,2,FALSE)</f>
        <v>9967015641</v>
      </c>
      <c r="G266" t="str">
        <f>_xlfn.IFNA(VLOOKUP(C266,CallLog_Latest!A:H,8,FALSE),"")</f>
        <v/>
      </c>
      <c r="H266" t="str">
        <f>VLOOKUP(C266,[1]Sheet1!$F:$H,3,FALSE)</f>
        <v>J-502  Rna Regency Park CHS. Ltd Maharashtra Nagar  M.g. Road  Off Link Road</v>
      </c>
    </row>
    <row r="267" spans="1:8" x14ac:dyDescent="0.25">
      <c r="A267" t="s">
        <v>53</v>
      </c>
      <c r="B267" t="s">
        <v>311</v>
      </c>
      <c r="C267">
        <v>9869461088</v>
      </c>
      <c r="D267" t="str">
        <f>_xlfn.IFNA(VLOOKUP(C267,CallLog_Latest!A:H,7,FALSE),"Not Called")</f>
        <v>Not Called</v>
      </c>
      <c r="E267" t="str">
        <f>IF(ISNA(VLOOKUP(C267,Registration!A:A,1,FALSE)),"Not Registered","Registered")</f>
        <v>Not Registered</v>
      </c>
      <c r="F267">
        <f>VLOOKUP(A267,Sheet1!A:B,2,FALSE)</f>
        <v>9820216355</v>
      </c>
      <c r="G267" t="str">
        <f>_xlfn.IFNA(VLOOKUP(C267,CallLog_Latest!A:H,8,FALSE),"")</f>
        <v/>
      </c>
      <c r="H267" t="str">
        <f>VLOOKUP(C267,[1]Sheet1!$F:$H,3,FALSE)</f>
        <v>A-604  6TH FLOOR SHREE HIGHLAND PARK CHS LTD NEW LINK ROAD  DAHANUKAR WADI</v>
      </c>
    </row>
    <row r="268" spans="1:8" x14ac:dyDescent="0.25">
      <c r="A268" t="s">
        <v>55</v>
      </c>
      <c r="B268" t="s">
        <v>312</v>
      </c>
      <c r="C268">
        <v>9930770867</v>
      </c>
      <c r="D268" t="str">
        <f>_xlfn.IFNA(VLOOKUP(C268,CallLog_Latest!A:H,7,FALSE),"Not Called")</f>
        <v>May be Attending</v>
      </c>
      <c r="E268" t="str">
        <f>IF(ISNA(VLOOKUP(C268,Registration!A:A,1,FALSE)),"Not Registered","Registered")</f>
        <v>Not Registered</v>
      </c>
      <c r="F268">
        <f>VLOOKUP(A268,Sheet1!A:B,2,FALSE)</f>
        <v>9819083540</v>
      </c>
      <c r="G268">
        <f>_xlfn.IFNA(VLOOKUP(C268,CallLog_Latest!A:H,8,FALSE),"")</f>
        <v>0</v>
      </c>
      <c r="H268" t="str">
        <f>VLOOKUP(C268,[1]Sheet1!$F:$H,3,FALSE)</f>
        <v>B-403, Jalaram Jyot Apartment  Highland Park, Charkop Village, Kandivali (W</v>
      </c>
    </row>
    <row r="269" spans="1:8" x14ac:dyDescent="0.25">
      <c r="A269" t="s">
        <v>57</v>
      </c>
      <c r="B269" t="s">
        <v>313</v>
      </c>
      <c r="C269">
        <v>8823915926</v>
      </c>
      <c r="D269" t="str">
        <f>_xlfn.IFNA(VLOOKUP(C269,CallLog_Latest!A:H,7,FALSE),"Not Called")</f>
        <v>Not Reachable</v>
      </c>
      <c r="E269" t="str">
        <f>IF(ISNA(VLOOKUP(C269,Registration!A:A,1,FALSE)),"Not Registered","Registered")</f>
        <v>Not Registered</v>
      </c>
      <c r="F269">
        <f>VLOOKUP(A269,Sheet1!A:B,2,FALSE)</f>
        <v>9101910341</v>
      </c>
      <c r="G269" t="str">
        <f>_xlfn.IFNA(VLOOKUP(C269,CallLog_Latest!A:H,8,FALSE),"")</f>
        <v>Number does not exist. Needs correction/revision in calling list</v>
      </c>
      <c r="H269" t="str">
        <f>VLOOKUP(C269,[1]Sheet1!$F:$H,3,FALSE)</f>
        <v>B -25  Dattani Apartment  Opp Vaishnav Hall Near Shatabadi Hospital  S.v. Road</v>
      </c>
    </row>
    <row r="270" spans="1:8" x14ac:dyDescent="0.25">
      <c r="A270" t="s">
        <v>59</v>
      </c>
      <c r="B270" t="s">
        <v>314</v>
      </c>
      <c r="C270">
        <v>9821377487</v>
      </c>
      <c r="D270" t="str">
        <f>_xlfn.IFNA(VLOOKUP(C270,CallLog_Latest!A:H,7,FALSE),"Not Called")</f>
        <v>Not Called</v>
      </c>
      <c r="E270" t="str">
        <f>IF(ISNA(VLOOKUP(C270,Registration!A:A,1,FALSE)),"Not Registered","Registered")</f>
        <v>Not Registered</v>
      </c>
      <c r="F270">
        <f>VLOOKUP(A270,Sheet1!A:B,2,FALSE)</f>
        <v>9920121726</v>
      </c>
      <c r="G270" t="str">
        <f>_xlfn.IFNA(VLOOKUP(C270,CallLog_Latest!A:H,8,FALSE),"")</f>
        <v/>
      </c>
      <c r="H270" t="str">
        <f>VLOOKUP(C270,[1]Sheet1!$F:$H,3,FALSE)</f>
        <v>1306  Kamalavihar G-Wing  Bldg No. 5  Mahavir Nagar</v>
      </c>
    </row>
    <row r="271" spans="1:8" x14ac:dyDescent="0.25">
      <c r="A271" t="s">
        <v>61</v>
      </c>
      <c r="B271" t="s">
        <v>315</v>
      </c>
      <c r="C271">
        <v>9819884085</v>
      </c>
      <c r="D271" t="str">
        <f>_xlfn.IFNA(VLOOKUP(C271,CallLog_Latest!A:H,7,FALSE),"Not Called")</f>
        <v>Not Reachable</v>
      </c>
      <c r="E271" t="str">
        <f>IF(ISNA(VLOOKUP(C271,Registration!A:A,1,FALSE)),"Not Registered","Registered")</f>
        <v>Not Registered</v>
      </c>
      <c r="F271">
        <f>VLOOKUP(A271,Sheet1!A:B,2,FALSE)</f>
        <v>9820779873</v>
      </c>
      <c r="G271" t="str">
        <f>_xlfn.IFNA(VLOOKUP(C271,CallLog_Latest!A:H,8,FALSE),"")</f>
        <v>Did not attending the call</v>
      </c>
      <c r="H271" t="str">
        <f>VLOOKUP(C271,[1]Sheet1!$F:$H,3,FALSE)</f>
        <v>B-801  Riddhi Siddhi  Opp. Swimming Pool Off M G Road  Kandivali (W</v>
      </c>
    </row>
    <row r="272" spans="1:8" x14ac:dyDescent="0.25">
      <c r="A272" t="s">
        <v>63</v>
      </c>
      <c r="B272" t="s">
        <v>316</v>
      </c>
      <c r="C272">
        <v>9820459261</v>
      </c>
      <c r="D272" t="str">
        <f>_xlfn.IFNA(VLOOKUP(C272,CallLog_Latest!A:H,7,FALSE),"Not Called")</f>
        <v>Not Called</v>
      </c>
      <c r="E272" t="str">
        <f>IF(ISNA(VLOOKUP(C272,Registration!A:A,1,FALSE)),"Not Registered","Registered")</f>
        <v>Not Registered</v>
      </c>
      <c r="F272">
        <f>VLOOKUP(A272,Sheet1!A:B,2,FALSE)</f>
        <v>9930396709</v>
      </c>
      <c r="G272" t="str">
        <f>_xlfn.IFNA(VLOOKUP(C272,CallLog_Latest!A:H,8,FALSE),"")</f>
        <v/>
      </c>
      <c r="H272" t="str">
        <f>VLOOKUP(C272,[1]Sheet1!$F:$H,3,FALSE)</f>
        <v>Rock Enclave, F-123 Sahyadri Nagar, Near Hindustan Naka, Kandivali (W</v>
      </c>
    </row>
    <row r="273" spans="1:8" x14ac:dyDescent="0.25">
      <c r="A273" t="s">
        <v>65</v>
      </c>
      <c r="B273" t="s">
        <v>317</v>
      </c>
      <c r="C273">
        <v>9869632416</v>
      </c>
      <c r="D273" t="str">
        <f>_xlfn.IFNA(VLOOKUP(C273,CallLog_Latest!A:H,7,FALSE),"Not Called")</f>
        <v>Not Called</v>
      </c>
      <c r="E273" t="str">
        <f>IF(ISNA(VLOOKUP(C273,Registration!A:A,1,FALSE)),"Not Registered","Registered")</f>
        <v>Not Registered</v>
      </c>
      <c r="F273">
        <f>VLOOKUP(A273,Sheet1!A:B,2,FALSE)</f>
        <v>7738892551</v>
      </c>
      <c r="G273" t="str">
        <f>_xlfn.IFNA(VLOOKUP(C273,CallLog_Latest!A:H,8,FALSE),"")</f>
        <v/>
      </c>
      <c r="H273" t="str">
        <f>VLOOKUP(C273,[1]Sheet1!$F:$H,3,FALSE)</f>
        <v>106/18 Shri Sandhya CHS  Sector No 1 Charkop</v>
      </c>
    </row>
    <row r="274" spans="1:8" x14ac:dyDescent="0.25">
      <c r="A274" t="s">
        <v>67</v>
      </c>
      <c r="B274" t="s">
        <v>318</v>
      </c>
      <c r="C274">
        <v>9702560544</v>
      </c>
      <c r="D274" t="str">
        <f>_xlfn.IFNA(VLOOKUP(C274,CallLog_Latest!A:H,7,FALSE),"Not Called")</f>
        <v>Not Called</v>
      </c>
      <c r="E274" t="str">
        <f>IF(ISNA(VLOOKUP(C274,Registration!A:A,1,FALSE)),"Not Registered","Registered")</f>
        <v>Not Registered</v>
      </c>
      <c r="F274">
        <f>VLOOKUP(A274,Sheet1!A:B,2,FALSE)</f>
        <v>9820251565</v>
      </c>
      <c r="G274" t="str">
        <f>_xlfn.IFNA(VLOOKUP(C274,CallLog_Latest!A:H,8,FALSE),"")</f>
        <v/>
      </c>
      <c r="H274" t="str">
        <f>VLOOKUP(C274,[1]Sheet1!$F:$H,3,FALSE)</f>
        <v>244/7  Sai Prerana Soc. Sector-2 Ganesh Mandir  Charkop</v>
      </c>
    </row>
    <row r="275" spans="1:8" x14ac:dyDescent="0.25">
      <c r="A275" t="s">
        <v>69</v>
      </c>
      <c r="B275" t="s">
        <v>319</v>
      </c>
      <c r="C275">
        <v>9324802364</v>
      </c>
      <c r="D275" t="str">
        <f>_xlfn.IFNA(VLOOKUP(C275,CallLog_Latest!A:H,7,FALSE),"Not Called")</f>
        <v>Not Called</v>
      </c>
      <c r="E275" t="str">
        <f>IF(ISNA(VLOOKUP(C275,Registration!A:A,1,FALSE)),"Not Registered","Registered")</f>
        <v>Not Registered</v>
      </c>
      <c r="F275">
        <f>VLOOKUP(A275,Sheet1!A:B,2,FALSE)</f>
        <v>9968855475</v>
      </c>
      <c r="G275" t="str">
        <f>_xlfn.IFNA(VLOOKUP(C275,CallLog_Latest!A:H,8,FALSE),"")</f>
        <v/>
      </c>
      <c r="H275" t="str">
        <f>VLOOKUP(C275,[1]Sheet1!$F:$H,3,FALSE)</f>
        <v>Q-1104 Panchsheel Garden Mahavir Nagar</v>
      </c>
    </row>
    <row r="276" spans="1:8" x14ac:dyDescent="0.25">
      <c r="A276" t="s">
        <v>71</v>
      </c>
      <c r="B276" t="s">
        <v>320</v>
      </c>
      <c r="C276">
        <v>9820550154</v>
      </c>
      <c r="D276" t="str">
        <f>_xlfn.IFNA(VLOOKUP(C276,CallLog_Latest!A:H,7,FALSE),"Not Called")</f>
        <v>Confirmed Presence</v>
      </c>
      <c r="E276" t="str">
        <f>IF(ISNA(VLOOKUP(C276,Registration!A:A,1,FALSE)),"Not Registered","Registered")</f>
        <v>Not Registered</v>
      </c>
      <c r="F276">
        <f>VLOOKUP(A276,Sheet1!A:B,2,FALSE)</f>
        <v>9405263833</v>
      </c>
      <c r="G276">
        <f>_xlfn.IFNA(VLOOKUP(C276,CallLog_Latest!A:H,8,FALSE),"")</f>
        <v>5</v>
      </c>
      <c r="H276" t="str">
        <f>VLOOKUP(C276,[1]Sheet1!$F:$H,3,FALSE)</f>
        <v>Sita Sadan, C-51, Sky Build Village  Opp. Devnagar, Behind Bhatia High School, Kandivali (W</v>
      </c>
    </row>
    <row r="277" spans="1:8" x14ac:dyDescent="0.25">
      <c r="A277" t="s">
        <v>73</v>
      </c>
      <c r="B277" t="s">
        <v>321</v>
      </c>
      <c r="C277">
        <v>9930868776</v>
      </c>
      <c r="D277" t="str">
        <f>_xlfn.IFNA(VLOOKUP(C277,CallLog_Latest!A:H,7,FALSE),"Not Called")</f>
        <v>Confirmed Presence ✅</v>
      </c>
      <c r="E277" t="str">
        <f>IF(ISNA(VLOOKUP(C277,Registration!A:A,1,FALSE)),"Not Registered","Registered")</f>
        <v>Not Registered</v>
      </c>
      <c r="F277">
        <f>VLOOKUP(A277,Sheet1!A:B,2,FALSE)</f>
        <v>8879433174</v>
      </c>
      <c r="G277">
        <f>_xlfn.IFNA(VLOOKUP(C277,CallLog_Latest!A:H,8,FALSE),"")</f>
        <v>0</v>
      </c>
      <c r="H277" t="str">
        <f>VLOOKUP(C277,[1]Sheet1!$F:$H,3,FALSE)</f>
        <v>Sita Sadan, C-51, Sky Build Village  Opp. Devnagar, Behind Bhatia High School, Kandivali (W</v>
      </c>
    </row>
    <row r="278" spans="1:8" x14ac:dyDescent="0.25">
      <c r="A278" t="s">
        <v>75</v>
      </c>
      <c r="B278" t="s">
        <v>322</v>
      </c>
      <c r="C278">
        <v>9820550153</v>
      </c>
      <c r="D278" t="str">
        <f>_xlfn.IFNA(VLOOKUP(C278,CallLog_Latest!A:H,7,FALSE),"Not Called")</f>
        <v>Not Called</v>
      </c>
      <c r="E278" t="str">
        <f>IF(ISNA(VLOOKUP(C278,Registration!A:A,1,FALSE)),"Not Registered","Registered")</f>
        <v>Not Registered</v>
      </c>
      <c r="F278">
        <f>VLOOKUP(A278,Sheet1!A:B,2,FALSE)</f>
        <v>9993325021</v>
      </c>
      <c r="G278" t="str">
        <f>_xlfn.IFNA(VLOOKUP(C278,CallLog_Latest!A:H,8,FALSE),"")</f>
        <v/>
      </c>
      <c r="H278" t="str">
        <f>VLOOKUP(C278,[1]Sheet1!$F:$H,3,FALSE)</f>
        <v>C-62  Sita Sadan, Sky Build Village, Opp.Devnagar, Behind Bhatia High School, Kandivali (W</v>
      </c>
    </row>
    <row r="279" spans="1:8" x14ac:dyDescent="0.25">
      <c r="A279" t="s">
        <v>12</v>
      </c>
      <c r="B279" t="s">
        <v>323</v>
      </c>
      <c r="C279">
        <v>9819621190</v>
      </c>
      <c r="D279" t="str">
        <f>_xlfn.IFNA(VLOOKUP(C279,CallLog_Latest!A:H,7,FALSE),"Not Called")</f>
        <v>Confirmed Presence</v>
      </c>
      <c r="E279" t="str">
        <f>IF(ISNA(VLOOKUP(C279,Registration!A:A,1,FALSE)),"Not Registered","Registered")</f>
        <v>Not Registered</v>
      </c>
      <c r="F279">
        <f>VLOOKUP(A279,Sheet1!A:B,2,FALSE)</f>
        <v>9820454734</v>
      </c>
      <c r="G279">
        <f>_xlfn.IFNA(VLOOKUP(C279,CallLog_Latest!A:H,8,FALSE),"")</f>
        <v>0</v>
      </c>
      <c r="H279" t="str">
        <f>VLOOKUP(C279,[1]Sheet1!$F:$H,3,FALSE)</f>
        <v>C-41  Sitasadan  New Saibaba Nagar</v>
      </c>
    </row>
    <row r="280" spans="1:8" x14ac:dyDescent="0.25">
      <c r="A280" t="s">
        <v>78</v>
      </c>
      <c r="B280" t="s">
        <v>324</v>
      </c>
      <c r="C280">
        <v>9820858454</v>
      </c>
      <c r="D280" t="str">
        <f>_xlfn.IFNA(VLOOKUP(C280,CallLog_Latest!A:H,7,FALSE),"Not Called")</f>
        <v>Confirmed Presence</v>
      </c>
      <c r="E280" t="str">
        <f>IF(ISNA(VLOOKUP(C280,Registration!A:A,1,FALSE)),"Not Registered","Registered")</f>
        <v>Not Registered</v>
      </c>
      <c r="F280">
        <f>VLOOKUP(A280,Sheet1!A:B,2,FALSE)</f>
        <v>9029105124</v>
      </c>
      <c r="G280">
        <f>_xlfn.IFNA(VLOOKUP(C280,CallLog_Latest!A:H,8,FALSE),"")</f>
        <v>0</v>
      </c>
      <c r="H280" t="str">
        <f>VLOOKUP(C280,[1]Sheet1!$F:$H,3,FALSE)</f>
        <v>C-62  Sky Build Village,  Sita Sadan, Opp.Dev Nagar,v Behind Bhatia High School, Kandivali (W</v>
      </c>
    </row>
    <row r="281" spans="1:8" x14ac:dyDescent="0.25">
      <c r="A281" t="s">
        <v>80</v>
      </c>
      <c r="B281" t="s">
        <v>325</v>
      </c>
      <c r="C281">
        <v>9833157877</v>
      </c>
      <c r="D281" t="str">
        <f>_xlfn.IFNA(VLOOKUP(C281,CallLog_Latest!A:H,7,FALSE),"Not Called")</f>
        <v>Not Called</v>
      </c>
      <c r="E281" t="str">
        <f>IF(ISNA(VLOOKUP(C281,Registration!A:A,1,FALSE)),"Not Registered","Registered")</f>
        <v>Not Registered</v>
      </c>
      <c r="F281">
        <f>VLOOKUP(A281,Sheet1!A:B,2,FALSE)</f>
        <v>9599704370</v>
      </c>
      <c r="G281" t="str">
        <f>_xlfn.IFNA(VLOOKUP(C281,CallLog_Latest!A:H,8,FALSE),"")</f>
        <v/>
      </c>
      <c r="H281" t="str">
        <f>VLOOKUP(C281,[1]Sheet1!$F:$H,3,FALSE)</f>
        <v>Sita Sadan, C-51, Sky Build Village  Opp. Devnagar, Behind Bhatia High School, Kandivali (W</v>
      </c>
    </row>
    <row r="282" spans="1:8" x14ac:dyDescent="0.25">
      <c r="A282" t="s">
        <v>82</v>
      </c>
      <c r="B282" t="s">
        <v>326</v>
      </c>
      <c r="C282">
        <v>9167730854</v>
      </c>
      <c r="D282" t="str">
        <f>_xlfn.IFNA(VLOOKUP(C282,CallLog_Latest!A:H,7,FALSE),"Not Called")</f>
        <v>Not Reachable</v>
      </c>
      <c r="E282" t="str">
        <f>IF(ISNA(VLOOKUP(C282,Registration!A:A,1,FALSE)),"Not Registered","Registered")</f>
        <v>Not Registered</v>
      </c>
      <c r="F282">
        <f>VLOOKUP(A282,Sheet1!A:B,2,FALSE)</f>
        <v>9824100412</v>
      </c>
      <c r="G282" t="str">
        <f>_xlfn.IFNA(VLOOKUP(C282,CallLog_Latest!A:H,8,FALSE),"")</f>
        <v>Didn't pick up phone</v>
      </c>
      <c r="H282" t="str">
        <f>VLOOKUP(C282,[1]Sheet1!$F:$H,3,FALSE)</f>
        <v>J - 305  Country Park  Datta Pada Road  Off. Tata Steel</v>
      </c>
    </row>
    <row r="283" spans="1:8" x14ac:dyDescent="0.25">
      <c r="A283" t="s">
        <v>84</v>
      </c>
      <c r="B283" t="s">
        <v>327</v>
      </c>
      <c r="C283">
        <v>9323908004</v>
      </c>
      <c r="D283" t="str">
        <f>_xlfn.IFNA(VLOOKUP(C283,CallLog_Latest!A:H,7,FALSE),"Not Called")</f>
        <v>Not Reachable</v>
      </c>
      <c r="E283" t="str">
        <f>IF(ISNA(VLOOKUP(C283,Registration!A:A,1,FALSE)),"Not Registered","Registered")</f>
        <v>Not Registered</v>
      </c>
      <c r="F283">
        <f>VLOOKUP(A283,Sheet1!A:B,2,FALSE)</f>
        <v>9225211083</v>
      </c>
      <c r="G283" t="str">
        <f>_xlfn.IFNA(VLOOKUP(C283,CallLog_Latest!A:H,8,FALSE),"")</f>
        <v>Wrong Number</v>
      </c>
      <c r="H283" t="str">
        <f>VLOOKUP(C283,[1]Sheet1!$F:$H,3,FALSE)</f>
        <v>A-501 Kesar Residency Sector 3 Charkop  Kandivali West  Mumbai .</v>
      </c>
    </row>
    <row r="284" spans="1:8" x14ac:dyDescent="0.25">
      <c r="A284" t="s">
        <v>86</v>
      </c>
      <c r="B284" t="s">
        <v>328</v>
      </c>
      <c r="C284">
        <v>9820865215</v>
      </c>
      <c r="D284" t="str">
        <f>_xlfn.IFNA(VLOOKUP(C284,CallLog_Latest!A:H,7,FALSE),"Not Called")</f>
        <v>Not Called</v>
      </c>
      <c r="E284" t="str">
        <f>IF(ISNA(VLOOKUP(C284,Registration!A:A,1,FALSE)),"Not Registered","Registered")</f>
        <v>Not Registered</v>
      </c>
      <c r="F284">
        <f>VLOOKUP(A284,Sheet1!A:B,2,FALSE)</f>
        <v>9930252076</v>
      </c>
      <c r="G284" t="str">
        <f>_xlfn.IFNA(VLOOKUP(C284,CallLog_Latest!A:H,8,FALSE),"")</f>
        <v/>
      </c>
      <c r="H284" t="str">
        <f>VLOOKUP(C284,[1]Sheet1!$F:$H,3,FALSE)</f>
        <v>A-1104 Panchsheel Heights Mahaveer Nagar</v>
      </c>
    </row>
    <row r="285" spans="1:8" x14ac:dyDescent="0.25">
      <c r="A285" t="s">
        <v>88</v>
      </c>
      <c r="B285" t="s">
        <v>329</v>
      </c>
      <c r="C285">
        <v>9930996695</v>
      </c>
      <c r="D285" t="str">
        <f>_xlfn.IFNA(VLOOKUP(C285,CallLog_Latest!A:H,7,FALSE),"Not Called")</f>
        <v>Not Called</v>
      </c>
      <c r="E285" t="str">
        <f>IF(ISNA(VLOOKUP(C285,Registration!A:A,1,FALSE)),"Not Registered","Registered")</f>
        <v>Not Registered</v>
      </c>
      <c r="F285">
        <f>VLOOKUP(A285,Sheet1!A:B,2,FALSE)</f>
        <v>9661270782</v>
      </c>
      <c r="G285" t="str">
        <f>_xlfn.IFNA(VLOOKUP(C285,CallLog_Latest!A:H,8,FALSE),"")</f>
        <v/>
      </c>
      <c r="H285" t="str">
        <f>VLOOKUP(C285,[1]Sheet1!$F:$H,3,FALSE)</f>
        <v>1703, Pristina Hiranandani Heritage S.V. Road, Opp. Poiser Bus Depo, Kandivali (W</v>
      </c>
    </row>
    <row r="286" spans="1:8" x14ac:dyDescent="0.25">
      <c r="A286" t="s">
        <v>90</v>
      </c>
      <c r="B286" t="s">
        <v>330</v>
      </c>
      <c r="C286">
        <v>9930175944</v>
      </c>
      <c r="D286" t="str">
        <f>_xlfn.IFNA(VLOOKUP(C286,CallLog_Latest!A:H,7,FALSE),"Not Called")</f>
        <v>Not Called</v>
      </c>
      <c r="E286" t="str">
        <f>IF(ISNA(VLOOKUP(C286,Registration!A:A,1,FALSE)),"Not Registered","Registered")</f>
        <v>Not Registered</v>
      </c>
      <c r="F286">
        <f>VLOOKUP(A286,Sheet1!A:B,2,FALSE)</f>
        <v>9819128389</v>
      </c>
      <c r="G286" t="str">
        <f>_xlfn.IFNA(VLOOKUP(C286,CallLog_Latest!A:H,8,FALSE),"")</f>
        <v/>
      </c>
      <c r="H286" t="str">
        <f>VLOOKUP(C286,[1]Sheet1!$F:$H,3,FALSE)</f>
        <v>A-1302  Vrandavan Vatika CHS Ltd. Jamnadas Adukia Marg</v>
      </c>
    </row>
    <row r="287" spans="1:8" x14ac:dyDescent="0.25">
      <c r="A287" t="s">
        <v>92</v>
      </c>
      <c r="B287" t="s">
        <v>331</v>
      </c>
      <c r="C287">
        <v>9867399388</v>
      </c>
      <c r="D287" t="str">
        <f>_xlfn.IFNA(VLOOKUP(C287,CallLog_Latest!A:H,7,FALSE),"Not Called")</f>
        <v>Not Called</v>
      </c>
      <c r="E287" t="str">
        <f>IF(ISNA(VLOOKUP(C287,Registration!A:A,1,FALSE)),"Not Registered","Registered")</f>
        <v>Not Registered</v>
      </c>
      <c r="F287">
        <f>VLOOKUP(A287,Sheet1!A:B,2,FALSE)</f>
        <v>8268665777</v>
      </c>
      <c r="G287" t="str">
        <f>_xlfn.IFNA(VLOOKUP(C287,CallLog_Latest!A:H,8,FALSE),"")</f>
        <v/>
      </c>
      <c r="H287" t="str">
        <f>VLOOKUP(C287,[1]Sheet1!$F:$H,3,FALSE)</f>
        <v>702  Veer Tower   Dev Nagar  Derasar Lane</v>
      </c>
    </row>
    <row r="288" spans="1:8" x14ac:dyDescent="0.25">
      <c r="A288" t="s">
        <v>94</v>
      </c>
      <c r="B288" t="s">
        <v>332</v>
      </c>
      <c r="C288">
        <v>9869063440</v>
      </c>
      <c r="D288" t="str">
        <f>_xlfn.IFNA(VLOOKUP(C288,CallLog_Latest!A:H,7,FALSE),"Not Called")</f>
        <v>Not Called</v>
      </c>
      <c r="E288" t="str">
        <f>IF(ISNA(VLOOKUP(C288,Registration!A:A,1,FALSE)),"Not Registered","Registered")</f>
        <v>Not Registered</v>
      </c>
      <c r="F288">
        <f>VLOOKUP(A288,Sheet1!A:B,2,FALSE)</f>
        <v>9920085455</v>
      </c>
      <c r="G288" t="str">
        <f>_xlfn.IFNA(VLOOKUP(C288,CallLog_Latest!A:H,8,FALSE),"")</f>
        <v/>
      </c>
      <c r="H288" t="str">
        <f>VLOOKUP(C288,[1]Sheet1!$F:$H,3,FALSE)</f>
        <v>901  Vasant Aradhana Tower   Mahavir Nagar Dahanukar Wadi</v>
      </c>
    </row>
    <row r="289" spans="1:8" x14ac:dyDescent="0.25">
      <c r="A289" t="s">
        <v>96</v>
      </c>
      <c r="B289" t="s">
        <v>333</v>
      </c>
      <c r="C289">
        <v>9819700400</v>
      </c>
      <c r="D289" t="str">
        <f>_xlfn.IFNA(VLOOKUP(C289,CallLog_Latest!A:H,7,FALSE),"Not Called")</f>
        <v>Confirmed Presence</v>
      </c>
      <c r="E289" t="str">
        <f>IF(ISNA(VLOOKUP(C289,Registration!A:A,1,FALSE)),"Not Registered","Registered")</f>
        <v>Not Registered</v>
      </c>
      <c r="F289">
        <f>VLOOKUP(A289,Sheet1!A:B,2,FALSE)</f>
        <v>9424584007</v>
      </c>
      <c r="G289" t="str">
        <f>_xlfn.IFNA(VLOOKUP(C289,CallLog_Latest!A:H,8,FALSE),"")</f>
        <v>He said he will do the registration and wanted to upload the child's marksheet for 10 th std</v>
      </c>
      <c r="H289" t="str">
        <f>VLOOKUP(C289,[1]Sheet1!$F:$H,3,FALSE)</f>
        <v>F-901  Orchid Suburbia Link Road</v>
      </c>
    </row>
    <row r="290" spans="1:8" x14ac:dyDescent="0.25">
      <c r="A290" t="s">
        <v>3</v>
      </c>
      <c r="B290" t="s">
        <v>334</v>
      </c>
      <c r="C290">
        <v>9321116465</v>
      </c>
      <c r="D290" t="str">
        <f>_xlfn.IFNA(VLOOKUP(C290,CallLog_Latest!A:H,7,FALSE),"Not Called")</f>
        <v>Not Called</v>
      </c>
      <c r="E290" t="str">
        <f>IF(ISNA(VLOOKUP(C290,Registration!A:A,1,FALSE)),"Not Registered","Registered")</f>
        <v>Not Registered</v>
      </c>
      <c r="F290">
        <f>VLOOKUP(A290,Sheet1!A:B,2,FALSE)</f>
        <v>9326379737</v>
      </c>
      <c r="G290" t="str">
        <f>_xlfn.IFNA(VLOOKUP(C290,CallLog_Latest!A:H,8,FALSE),"")</f>
        <v/>
      </c>
      <c r="H290" t="str">
        <f>VLOOKUP(C290,[1]Sheet1!$F:$H,3,FALSE)</f>
        <v>A/1303  Shree Niketan  Nr. Lalji Pada Police Chowky Dhanukarwari  New Link Road</v>
      </c>
    </row>
    <row r="291" spans="1:8" x14ac:dyDescent="0.25">
      <c r="A291" t="s">
        <v>5</v>
      </c>
      <c r="B291" t="s">
        <v>335</v>
      </c>
      <c r="C291">
        <v>9833069716</v>
      </c>
      <c r="D291" t="str">
        <f>_xlfn.IFNA(VLOOKUP(C291,CallLog_Latest!A:H,7,FALSE),"Not Called")</f>
        <v>Not Called</v>
      </c>
      <c r="E291" t="str">
        <f>IF(ISNA(VLOOKUP(C291,Registration!A:A,1,FALSE)),"Not Registered","Registered")</f>
        <v>Not Registered</v>
      </c>
      <c r="F291">
        <f>VLOOKUP(A291,Sheet1!A:B,2,FALSE)</f>
        <v>9323541634</v>
      </c>
      <c r="G291" t="str">
        <f>_xlfn.IFNA(VLOOKUP(C291,CallLog_Latest!A:H,8,FALSE),"")</f>
        <v/>
      </c>
      <c r="H291" t="str">
        <f>VLOOKUP(C291,[1]Sheet1!$F:$H,3,FALSE)</f>
        <v>G-404 Neelambuj Kamal Apt Shankar Lane</v>
      </c>
    </row>
    <row r="292" spans="1:8" x14ac:dyDescent="0.25">
      <c r="A292" t="s">
        <v>7</v>
      </c>
      <c r="B292" t="s">
        <v>336</v>
      </c>
      <c r="C292">
        <v>7498489065</v>
      </c>
      <c r="D292" t="str">
        <f>_xlfn.IFNA(VLOOKUP(C292,CallLog_Latest!A:H,7,FALSE),"Not Called")</f>
        <v>Not Called</v>
      </c>
      <c r="E292" t="str">
        <f>IF(ISNA(VLOOKUP(C292,Registration!A:A,1,FALSE)),"Not Registered","Registered")</f>
        <v>Not Registered</v>
      </c>
      <c r="F292">
        <f>VLOOKUP(A292,Sheet1!A:B,2,FALSE)</f>
        <v>9867015031</v>
      </c>
      <c r="G292" t="str">
        <f>_xlfn.IFNA(VLOOKUP(C292,CallLog_Latest!A:H,8,FALSE),"")</f>
        <v/>
      </c>
      <c r="H292" t="str">
        <f>VLOOKUP(C292,[1]Sheet1!$F:$H,3,FALSE)</f>
        <v>Blue Empire Complex Soc. Blue Oasis Bldg no-1  E-Wing  Flat no.206 2nd floor  Nr. Ekta Nagar  Mahavir Nagar  Link Road, Kandivali (W</v>
      </c>
    </row>
    <row r="293" spans="1:8" x14ac:dyDescent="0.25">
      <c r="A293" t="s">
        <v>9</v>
      </c>
      <c r="B293" t="s">
        <v>337</v>
      </c>
      <c r="C293">
        <v>9892859889</v>
      </c>
      <c r="D293" t="str">
        <f>_xlfn.IFNA(VLOOKUP(C293,CallLog_Latest!A:H,7,FALSE),"Not Called")</f>
        <v>Not Called</v>
      </c>
      <c r="E293" t="str">
        <f>IF(ISNA(VLOOKUP(C293,Registration!A:A,1,FALSE)),"Not Registered","Registered")</f>
        <v>Not Registered</v>
      </c>
      <c r="F293">
        <f>VLOOKUP(A293,Sheet1!A:B,2,FALSE)</f>
        <v>9821268271</v>
      </c>
      <c r="G293" t="str">
        <f>_xlfn.IFNA(VLOOKUP(C293,CallLog_Latest!A:H,8,FALSE),"")</f>
        <v/>
      </c>
      <c r="H293" t="str">
        <f>VLOOKUP(C293,[1]Sheet1!$F:$H,3,FALSE)</f>
        <v>B-603  Panchsheel Heights Mahavir Nagar</v>
      </c>
    </row>
    <row r="294" spans="1:8" x14ac:dyDescent="0.25">
      <c r="A294" t="s">
        <v>11</v>
      </c>
      <c r="B294" t="s">
        <v>338</v>
      </c>
      <c r="C294">
        <v>9702512632</v>
      </c>
      <c r="D294" t="str">
        <f>_xlfn.IFNA(VLOOKUP(C294,CallLog_Latest!A:H,7,FALSE),"Not Called")</f>
        <v>Not Called</v>
      </c>
      <c r="E294" t="str">
        <f>IF(ISNA(VLOOKUP(C294,Registration!A:A,1,FALSE)),"Not Registered","Registered")</f>
        <v>Not Registered</v>
      </c>
      <c r="F294">
        <f>VLOOKUP(A294,Sheet1!A:B,2,FALSE)</f>
        <v>9322598681</v>
      </c>
      <c r="G294" t="str">
        <f>_xlfn.IFNA(VLOOKUP(C294,CallLog_Latest!A:H,8,FALSE),"")</f>
        <v/>
      </c>
      <c r="H294" t="str">
        <f>VLOOKUP(C294,[1]Sheet1!$F:$H,3,FALSE)</f>
        <v>A-602, SHUBH SHANTI CHSL, DAHANUKARWADI, BEHIND MAHATRE PLAZA, KANDIVLI WEST M.G. Road</v>
      </c>
    </row>
    <row r="295" spans="1:8" x14ac:dyDescent="0.25">
      <c r="A295" t="s">
        <v>13</v>
      </c>
      <c r="B295" t="s">
        <v>339</v>
      </c>
      <c r="C295">
        <v>8976639294</v>
      </c>
      <c r="D295" t="str">
        <f>_xlfn.IFNA(VLOOKUP(C295,CallLog_Latest!A:H,7,FALSE),"Not Called")</f>
        <v>Not Called</v>
      </c>
      <c r="E295" t="str">
        <f>IF(ISNA(VLOOKUP(C295,Registration!A:A,1,FALSE)),"Not Registered","Registered")</f>
        <v>Not Registered</v>
      </c>
      <c r="F295">
        <f>VLOOKUP(A295,Sheet1!A:B,2,FALSE)</f>
        <v>9969403870</v>
      </c>
      <c r="G295" t="str">
        <f>_xlfn.IFNA(VLOOKUP(C295,CallLog_Latest!A:H,8,FALSE),"")</f>
        <v/>
      </c>
      <c r="H295" t="str">
        <f>VLOOKUP(C295,[1]Sheet1!$F:$H,3,FALSE)</f>
        <v>501  Shree Radhe Darshan CHS. Ltd.  Iraniwadi No.2  Mathuradas Extension Rd  Kandivali (W</v>
      </c>
    </row>
    <row r="296" spans="1:8" x14ac:dyDescent="0.25">
      <c r="A296" t="s">
        <v>15</v>
      </c>
      <c r="B296" t="s">
        <v>340</v>
      </c>
      <c r="C296">
        <v>9022173050</v>
      </c>
      <c r="D296" t="str">
        <f>_xlfn.IFNA(VLOOKUP(C296,CallLog_Latest!A:H,7,FALSE),"Not Called")</f>
        <v>Not Called</v>
      </c>
      <c r="E296" t="str">
        <f>IF(ISNA(VLOOKUP(C296,Registration!A:A,1,FALSE)),"Not Registered","Registered")</f>
        <v>Not Registered</v>
      </c>
      <c r="F296">
        <f>VLOOKUP(A296,Sheet1!A:B,2,FALSE)</f>
        <v>9892726278</v>
      </c>
      <c r="G296" t="str">
        <f>_xlfn.IFNA(VLOOKUP(C296,CallLog_Latest!A:H,8,FALSE),"")</f>
        <v/>
      </c>
      <c r="H296" t="str">
        <f>VLOOKUP(C296,[1]Sheet1!$F:$H,3,FALSE)</f>
        <v>C-23/522  Swapnil Co-Op Soc Sector-5  Charkop Kandivali(W.</v>
      </c>
    </row>
    <row r="297" spans="1:8" x14ac:dyDescent="0.25">
      <c r="A297" t="s">
        <v>17</v>
      </c>
      <c r="B297" t="s">
        <v>341</v>
      </c>
      <c r="C297">
        <v>9820164386</v>
      </c>
      <c r="D297" t="str">
        <f>_xlfn.IFNA(VLOOKUP(C297,CallLog_Latest!A:H,7,FALSE),"Not Called")</f>
        <v>Confirmed Presence ✅</v>
      </c>
      <c r="E297" t="str">
        <f>IF(ISNA(VLOOKUP(C297,Registration!A:A,1,FALSE)),"Not Registered","Registered")</f>
        <v>Not Registered</v>
      </c>
      <c r="F297">
        <f>VLOOKUP(A297,Sheet1!A:B,2,FALSE)</f>
        <v>9869798705</v>
      </c>
      <c r="G297">
        <f>_xlfn.IFNA(VLOOKUP(C297,CallLog_Latest!A:H,8,FALSE),"")</f>
        <v>0</v>
      </c>
      <c r="H297" t="str">
        <f>VLOOKUP(C297,[1]Sheet1!$F:$H,3,FALSE)</f>
        <v>A-2304, Kalpvruksh Heights, New Link Road, Nr. Lalji Pada,,, Police Station, Kandivali (W</v>
      </c>
    </row>
    <row r="298" spans="1:8" x14ac:dyDescent="0.25">
      <c r="A298" t="s">
        <v>19</v>
      </c>
      <c r="B298" t="s">
        <v>342</v>
      </c>
      <c r="C298">
        <v>9820994142</v>
      </c>
      <c r="D298" t="str">
        <f>_xlfn.IFNA(VLOOKUP(C298,CallLog_Latest!A:H,7,FALSE),"Not Called")</f>
        <v>Not Called</v>
      </c>
      <c r="E298" t="str">
        <f>IF(ISNA(VLOOKUP(C298,Registration!A:A,1,FALSE)),"Not Registered","Registered")</f>
        <v>Not Registered</v>
      </c>
      <c r="F298">
        <f>VLOOKUP(A298,Sheet1!A:B,2,FALSE)</f>
        <v>9820265640</v>
      </c>
      <c r="G298" t="str">
        <f>_xlfn.IFNA(VLOOKUP(C298,CallLog_Latest!A:H,8,FALSE),"")</f>
        <v/>
      </c>
      <c r="H298" t="str">
        <f>VLOOKUP(C298,[1]Sheet1!$F:$H,3,FALSE)</f>
        <v>Bunglow -10 Aama road no.7  charco sector 8</v>
      </c>
    </row>
    <row r="299" spans="1:8" x14ac:dyDescent="0.25">
      <c r="A299" t="s">
        <v>21</v>
      </c>
      <c r="B299" t="s">
        <v>343</v>
      </c>
      <c r="C299">
        <v>9320002281</v>
      </c>
      <c r="D299" t="str">
        <f>_xlfn.IFNA(VLOOKUP(C299,CallLog_Latest!A:H,7,FALSE),"Not Called")</f>
        <v>Not Called</v>
      </c>
      <c r="E299" t="str">
        <f>IF(ISNA(VLOOKUP(C299,Registration!A:A,1,FALSE)),"Not Registered","Registered")</f>
        <v>Not Registered</v>
      </c>
      <c r="F299">
        <f>VLOOKUP(A299,Sheet1!A:B,2,FALSE)</f>
        <v>9820636392</v>
      </c>
      <c r="G299" t="str">
        <f>_xlfn.IFNA(VLOOKUP(C299,CallLog_Latest!A:H,8,FALSE),"")</f>
        <v/>
      </c>
      <c r="H299" t="str">
        <f>VLOOKUP(C299,[1]Sheet1!$F:$H,3,FALSE)</f>
        <v>C-46 Poddar Apartment S. V. Road</v>
      </c>
    </row>
    <row r="300" spans="1:8" x14ac:dyDescent="0.25">
      <c r="A300" t="s">
        <v>23</v>
      </c>
      <c r="B300" t="s">
        <v>344</v>
      </c>
      <c r="C300">
        <v>9820744204</v>
      </c>
      <c r="D300" t="str">
        <f>_xlfn.IFNA(VLOOKUP(C300,CallLog_Latest!A:H,7,FALSE),"Not Called")</f>
        <v>Not Called</v>
      </c>
      <c r="E300" t="str">
        <f>IF(ISNA(VLOOKUP(C300,Registration!A:A,1,FALSE)),"Not Registered","Registered")</f>
        <v>Not Registered</v>
      </c>
      <c r="F300">
        <f>VLOOKUP(A300,Sheet1!A:B,2,FALSE)</f>
        <v>7977439717</v>
      </c>
      <c r="G300" t="str">
        <f>_xlfn.IFNA(VLOOKUP(C300,CallLog_Latest!A:H,8,FALSE),"")</f>
        <v/>
      </c>
      <c r="H300" t="str">
        <f>VLOOKUP(C300,[1]Sheet1!$F:$H,3,FALSE)</f>
        <v>22  Parijat Bldg-1  M.G.Road  Mahavir Nagar Dahanukar Wadi</v>
      </c>
    </row>
    <row r="301" spans="1:8" x14ac:dyDescent="0.25">
      <c r="A301" t="s">
        <v>25</v>
      </c>
      <c r="B301" t="s">
        <v>345</v>
      </c>
      <c r="C301">
        <v>9869000126</v>
      </c>
      <c r="D301" t="str">
        <f>_xlfn.IFNA(VLOOKUP(C301,CallLog_Latest!A:H,7,FALSE),"Not Called")</f>
        <v>Not Called</v>
      </c>
      <c r="E301" t="str">
        <f>IF(ISNA(VLOOKUP(C301,Registration!A:A,1,FALSE)),"Not Registered","Registered")</f>
        <v>Not Registered</v>
      </c>
      <c r="F301">
        <f>VLOOKUP(A301,Sheet1!A:B,2,FALSE)</f>
        <v>9967045520</v>
      </c>
      <c r="G301" t="str">
        <f>_xlfn.IFNA(VLOOKUP(C301,CallLog_Latest!A:H,8,FALSE),"")</f>
        <v/>
      </c>
      <c r="H301" t="str">
        <f>VLOOKUP(C301,[1]Sheet1!$F:$H,3,FALSE)</f>
        <v>503  Mangalam Tower  Nr.Kala Hanuman Mandir M.G. Road</v>
      </c>
    </row>
    <row r="302" spans="1:8" x14ac:dyDescent="0.25">
      <c r="A302" t="s">
        <v>27</v>
      </c>
      <c r="B302" t="s">
        <v>346</v>
      </c>
      <c r="C302">
        <v>9821327987</v>
      </c>
      <c r="D302" t="str">
        <f>_xlfn.IFNA(VLOOKUP(C302,CallLog_Latest!A:H,7,FALSE),"Not Called")</f>
        <v>Not Called</v>
      </c>
      <c r="E302" t="str">
        <f>IF(ISNA(VLOOKUP(C302,Registration!A:A,1,FALSE)),"Not Registered","Registered")</f>
        <v>Not Registered</v>
      </c>
      <c r="F302">
        <f>VLOOKUP(A302,Sheet1!A:B,2,FALSE)</f>
        <v>9820075931</v>
      </c>
      <c r="G302" t="str">
        <f>_xlfn.IFNA(VLOOKUP(C302,CallLog_Latest!A:H,8,FALSE),"")</f>
        <v/>
      </c>
      <c r="H302" t="str">
        <f>VLOOKUP(C302,[1]Sheet1!$F:$H,3,FALSE)</f>
        <v>51 5th Floor Plot No 243 Nayalai Co Op Hsg Society Sector No 1 Charkop Kandivali Maumbai -67 .</v>
      </c>
    </row>
    <row r="303" spans="1:8" x14ac:dyDescent="0.25">
      <c r="A303" t="s">
        <v>29</v>
      </c>
      <c r="B303" t="s">
        <v>347</v>
      </c>
      <c r="C303">
        <v>9322366700</v>
      </c>
      <c r="D303" t="str">
        <f>_xlfn.IFNA(VLOOKUP(C303,CallLog_Latest!A:H,7,FALSE),"Not Called")</f>
        <v>Not Called</v>
      </c>
      <c r="E303" t="str">
        <f>IF(ISNA(VLOOKUP(C303,Registration!A:A,1,FALSE)),"Not Registered","Registered")</f>
        <v>Not Registered</v>
      </c>
      <c r="F303">
        <f>VLOOKUP(A303,Sheet1!A:B,2,FALSE)</f>
        <v>9819364345</v>
      </c>
      <c r="G303" t="str">
        <f>_xlfn.IFNA(VLOOKUP(C303,CallLog_Latest!A:H,8,FALSE),"")</f>
        <v/>
      </c>
      <c r="H303" t="str">
        <f>VLOOKUP(C303,[1]Sheet1!$F:$H,3,FALSE)</f>
        <v>Flat no. E/704  Orchid Suburbia  Link Road</v>
      </c>
    </row>
    <row r="304" spans="1:8" x14ac:dyDescent="0.25">
      <c r="A304" t="s">
        <v>31</v>
      </c>
      <c r="B304" t="s">
        <v>348</v>
      </c>
      <c r="C304">
        <v>9324698060</v>
      </c>
      <c r="D304" t="str">
        <f>_xlfn.IFNA(VLOOKUP(C304,CallLog_Latest!A:H,7,FALSE),"Not Called")</f>
        <v>Confirmed Presence</v>
      </c>
      <c r="E304" t="str">
        <f>IF(ISNA(VLOOKUP(C304,Registration!A:A,1,FALSE)),"Not Registered","Registered")</f>
        <v>Not Registered</v>
      </c>
      <c r="F304">
        <f>VLOOKUP(A304,Sheet1!A:B,2,FALSE)</f>
        <v>9869064553</v>
      </c>
      <c r="G304">
        <f>_xlfn.IFNA(VLOOKUP(C304,CallLog_Latest!A:H,8,FALSE),"")</f>
        <v>0</v>
      </c>
      <c r="H304" t="str">
        <f>VLOOKUP(C304,[1]Sheet1!$F:$H,3,FALSE)</f>
        <v>102, Ramjharokha, Plot No. 116 Sector-2, Near King George School, Charkop, Kandivali (W</v>
      </c>
    </row>
    <row r="305" spans="1:8" x14ac:dyDescent="0.25">
      <c r="A305" t="s">
        <v>33</v>
      </c>
      <c r="B305" t="s">
        <v>349</v>
      </c>
      <c r="C305">
        <v>9821692529</v>
      </c>
      <c r="D305" t="str">
        <f>_xlfn.IFNA(VLOOKUP(C305,CallLog_Latest!A:H,7,FALSE),"Not Called")</f>
        <v>Confirmed Presence</v>
      </c>
      <c r="E305" t="str">
        <f>IF(ISNA(VLOOKUP(C305,Registration!A:A,1,FALSE)),"Not Registered","Registered")</f>
        <v>Not Registered</v>
      </c>
      <c r="F305">
        <f>VLOOKUP(A305,Sheet1!A:B,2,FALSE)</f>
        <v>9930070116</v>
      </c>
      <c r="G305" t="str">
        <f>_xlfn.IFNA(VLOOKUP(C305,CallLog_Latest!A:H,8,FALSE),"")</f>
        <v>4 people have confirmed</v>
      </c>
      <c r="H305" t="str">
        <f>VLOOKUP(C305,[1]Sheet1!$F:$H,3,FALSE)</f>
        <v>B-307, Raj Arcade, Mahavir Nagar, Kandivali (W</v>
      </c>
    </row>
    <row r="306" spans="1:8" x14ac:dyDescent="0.25">
      <c r="A306" t="s">
        <v>35</v>
      </c>
      <c r="B306" t="s">
        <v>350</v>
      </c>
      <c r="C306">
        <v>9867156354</v>
      </c>
      <c r="D306" t="str">
        <f>_xlfn.IFNA(VLOOKUP(C306,CallLog_Latest!A:H,7,FALSE),"Not Called")</f>
        <v>Not Called</v>
      </c>
      <c r="E306" t="str">
        <f>IF(ISNA(VLOOKUP(C306,Registration!A:A,1,FALSE)),"Not Registered","Registered")</f>
        <v>Not Registered</v>
      </c>
      <c r="F306">
        <f>VLOOKUP(A306,Sheet1!A:B,2,FALSE)</f>
        <v>9833705425</v>
      </c>
      <c r="G306" t="str">
        <f>_xlfn.IFNA(VLOOKUP(C306,CallLog_Latest!A:H,8,FALSE),"")</f>
        <v/>
      </c>
      <c r="H306" t="str">
        <f>VLOOKUP(C306,[1]Sheet1!$F:$H,3,FALSE)</f>
        <v>Anant Ravi Flat No.202  2nd floor  Sector-5  Charkop</v>
      </c>
    </row>
    <row r="307" spans="1:8" x14ac:dyDescent="0.25">
      <c r="A307" t="s">
        <v>37</v>
      </c>
      <c r="B307" t="s">
        <v>351</v>
      </c>
      <c r="C307">
        <v>9867226419</v>
      </c>
      <c r="D307" t="str">
        <f>_xlfn.IFNA(VLOOKUP(C307,CallLog_Latest!A:H,7,FALSE),"Not Called")</f>
        <v>Not Called</v>
      </c>
      <c r="E307" t="str">
        <f>IF(ISNA(VLOOKUP(C307,Registration!A:A,1,FALSE)),"Not Registered","Registered")</f>
        <v>Not Registered</v>
      </c>
      <c r="F307">
        <f>VLOOKUP(A307,Sheet1!A:B,2,FALSE)</f>
        <v>9167390835</v>
      </c>
      <c r="G307" t="str">
        <f>_xlfn.IFNA(VLOOKUP(C307,CallLog_Latest!A:H,8,FALSE),"")</f>
        <v/>
      </c>
      <c r="H307" t="str">
        <f>VLOOKUP(C307,[1]Sheet1!$F:$H,3,FALSE)</f>
        <v>B-204, Orchid Suburbia  Linking Road, Kandivali west</v>
      </c>
    </row>
    <row r="308" spans="1:8" x14ac:dyDescent="0.25">
      <c r="A308" t="s">
        <v>39</v>
      </c>
      <c r="B308" t="s">
        <v>352</v>
      </c>
      <c r="C308">
        <v>9820444531</v>
      </c>
      <c r="D308" t="str">
        <f>_xlfn.IFNA(VLOOKUP(C308,CallLog_Latest!A:H,7,FALSE),"Not Called")</f>
        <v>May be Attending</v>
      </c>
      <c r="E308" t="str">
        <f>IF(ISNA(VLOOKUP(C308,Registration!A:A,1,FALSE)),"Not Registered","Registered")</f>
        <v>Not Registered</v>
      </c>
      <c r="F308">
        <f>VLOOKUP(A308,Sheet1!A:B,2,FALSE)</f>
        <v>9820505363</v>
      </c>
      <c r="G308" t="str">
        <f>_xlfn.IFNA(VLOOKUP(C308,CallLog_Latest!A:H,8,FALSE),"")</f>
        <v>Will let us know</v>
      </c>
      <c r="H308" t="str">
        <f>VLOOKUP(C308,[1]Sheet1!$F:$H,3,FALSE)</f>
        <v>A-1401  Symphony  New Link Road Near Lalji Pada Police Station, Kandivali (W</v>
      </c>
    </row>
    <row r="309" spans="1:8" x14ac:dyDescent="0.25">
      <c r="A309" t="s">
        <v>41</v>
      </c>
      <c r="B309" t="s">
        <v>353</v>
      </c>
      <c r="C309">
        <v>9323188245</v>
      </c>
      <c r="D309" t="str">
        <f>_xlfn.IFNA(VLOOKUP(C309,CallLog_Latest!A:H,7,FALSE),"Not Called")</f>
        <v>May be Attending</v>
      </c>
      <c r="E309" t="str">
        <f>IF(ISNA(VLOOKUP(C309,Registration!A:A,1,FALSE)),"Not Registered","Registered")</f>
        <v>Not Registered</v>
      </c>
      <c r="F309">
        <f>VLOOKUP(A309,Sheet1!A:B,2,FALSE)</f>
        <v>8058973809</v>
      </c>
      <c r="G309">
        <f>_xlfn.IFNA(VLOOKUP(C309,CallLog_Latest!A:H,8,FALSE),"")</f>
        <v>0</v>
      </c>
      <c r="H309" t="str">
        <f>VLOOKUP(C309,[1]Sheet1!$F:$H,3,FALSE)</f>
        <v>V-102  Shubham CHS Near  Ganesh Chowk Kandivali</v>
      </c>
    </row>
    <row r="310" spans="1:8" x14ac:dyDescent="0.25">
      <c r="A310" t="s">
        <v>43</v>
      </c>
      <c r="B310" t="s">
        <v>354</v>
      </c>
      <c r="C310">
        <v>9819183207</v>
      </c>
      <c r="D310" t="str">
        <f>_xlfn.IFNA(VLOOKUP(C310,CallLog_Latest!A:H,7,FALSE),"Not Called")</f>
        <v>Not Called</v>
      </c>
      <c r="E310" t="str">
        <f>IF(ISNA(VLOOKUP(C310,Registration!A:A,1,FALSE)),"Not Registered","Registered")</f>
        <v>Not Registered</v>
      </c>
      <c r="F310">
        <f>VLOOKUP(A310,Sheet1!A:B,2,FALSE)</f>
        <v>9320683201</v>
      </c>
      <c r="G310" t="str">
        <f>_xlfn.IFNA(VLOOKUP(C310,CallLog_Latest!A:H,8,FALSE),"")</f>
        <v/>
      </c>
      <c r="H310" t="str">
        <f>VLOOKUP(C310,[1]Sheet1!$F:$H,3,FALSE)</f>
        <v>A/406  Orchid Suburbia  Off New Link Road  M.g Road  Junction</v>
      </c>
    </row>
    <row r="311" spans="1:8" x14ac:dyDescent="0.25">
      <c r="A311" t="s">
        <v>45</v>
      </c>
      <c r="B311" t="s">
        <v>355</v>
      </c>
      <c r="C311">
        <v>9987026732</v>
      </c>
      <c r="D311" t="str">
        <f>_xlfn.IFNA(VLOOKUP(C311,CallLog_Latest!A:H,7,FALSE),"Not Called")</f>
        <v>Confirmed Presence ✅</v>
      </c>
      <c r="E311" t="str">
        <f>IF(ISNA(VLOOKUP(C311,Registration!A:A,1,FALSE)),"Not Registered","Registered")</f>
        <v>Not Registered</v>
      </c>
      <c r="F311">
        <f>VLOOKUP(A311,Sheet1!A:B,2,FALSE)</f>
        <v>9967235652</v>
      </c>
      <c r="G311">
        <f>_xlfn.IFNA(VLOOKUP(C311,CallLog_Latest!A:H,8,FALSE),"")</f>
        <v>0</v>
      </c>
      <c r="H311" t="str">
        <f>VLOOKUP(C311,[1]Sheet1!$F:$H,3,FALSE)</f>
        <v>B - 502  Ajoy CHS Ltd Datta Mandir Road Dahanukarwadi   Kandivali (W</v>
      </c>
    </row>
    <row r="312" spans="1:8" x14ac:dyDescent="0.25">
      <c r="A312" t="s">
        <v>47</v>
      </c>
      <c r="B312" t="s">
        <v>356</v>
      </c>
      <c r="C312">
        <v>9820962076</v>
      </c>
      <c r="D312" t="str">
        <f>_xlfn.IFNA(VLOOKUP(C312,CallLog_Latest!A:H,7,FALSE),"Not Called")</f>
        <v>Confirmed Presence ✅</v>
      </c>
      <c r="E312" t="str">
        <f>IF(ISNA(VLOOKUP(C312,Registration!A:A,1,FALSE)),"Not Registered","Registered")</f>
        <v>Not Registered</v>
      </c>
      <c r="F312">
        <f>VLOOKUP(A312,Sheet1!A:B,2,FALSE)</f>
        <v>8108711149</v>
      </c>
      <c r="G312">
        <f>_xlfn.IFNA(VLOOKUP(C312,CallLog_Latest!A:H,8,FALSE),"")</f>
        <v>0</v>
      </c>
      <c r="H312" t="str">
        <f>VLOOKUP(C312,[1]Sheet1!$F:$H,3,FALSE)</f>
        <v>Shivshrusti Building, B-801  Opp. Nirman Diagnostics Centre, Link Road, Kandivali (W</v>
      </c>
    </row>
    <row r="313" spans="1:8" x14ac:dyDescent="0.25">
      <c r="A313" t="s">
        <v>49</v>
      </c>
      <c r="B313" t="s">
        <v>357</v>
      </c>
      <c r="C313">
        <v>9819442861</v>
      </c>
      <c r="D313" t="str">
        <f>_xlfn.IFNA(VLOOKUP(C313,CallLog_Latest!A:H,7,FALSE),"Not Called")</f>
        <v>Confirmed Presence ✅</v>
      </c>
      <c r="E313" t="str">
        <f>IF(ISNA(VLOOKUP(C313,Registration!A:A,1,FALSE)),"Not Registered","Registered")</f>
        <v>Not Registered</v>
      </c>
      <c r="F313">
        <f>VLOOKUP(A313,Sheet1!A:B,2,FALSE)</f>
        <v>9322206108</v>
      </c>
      <c r="G313">
        <f>_xlfn.IFNA(VLOOKUP(C313,CallLog_Latest!A:H,8,FALSE),"")</f>
        <v>0</v>
      </c>
      <c r="H313" t="str">
        <f>VLOOKUP(C313,[1]Sheet1!$F:$H,3,FALSE)</f>
        <v>1-1-153 Mohan Nagar Dahanukarwadi Kandivali (W Mumbai 400 067 .</v>
      </c>
    </row>
    <row r="314" spans="1:8" x14ac:dyDescent="0.25">
      <c r="A314" t="s">
        <v>51</v>
      </c>
      <c r="B314" t="s">
        <v>358</v>
      </c>
      <c r="C314">
        <v>9820442091</v>
      </c>
      <c r="D314" t="str">
        <f>_xlfn.IFNA(VLOOKUP(C314,CallLog_Latest!A:H,7,FALSE),"Not Called")</f>
        <v>Not Called</v>
      </c>
      <c r="E314" t="str">
        <f>IF(ISNA(VLOOKUP(C314,Registration!A:A,1,FALSE)),"Not Registered","Registered")</f>
        <v>Not Registered</v>
      </c>
      <c r="F314">
        <f>VLOOKUP(A314,Sheet1!A:B,2,FALSE)</f>
        <v>9967015641</v>
      </c>
      <c r="G314" t="str">
        <f>_xlfn.IFNA(VLOOKUP(C314,CallLog_Latest!A:H,8,FALSE),"")</f>
        <v/>
      </c>
      <c r="H314" t="str">
        <f>VLOOKUP(C314,[1]Sheet1!$F:$H,3,FALSE)</f>
        <v>Suruchi Vasant Complex CHS. 702   Mahavir Nagar Extn. Opp Kandivali West Metro Station  Kandivali (W</v>
      </c>
    </row>
    <row r="315" spans="1:8" x14ac:dyDescent="0.25">
      <c r="A315" t="s">
        <v>53</v>
      </c>
      <c r="B315" t="s">
        <v>86</v>
      </c>
      <c r="C315">
        <v>9930252076</v>
      </c>
      <c r="D315" t="str">
        <f>_xlfn.IFNA(VLOOKUP(C315,CallLog_Latest!A:H,7,FALSE),"Not Called")</f>
        <v>Not Called</v>
      </c>
      <c r="E315" t="str">
        <f>IF(ISNA(VLOOKUP(C315,Registration!A:A,1,FALSE)),"Not Registered","Registered")</f>
        <v>Not Registered</v>
      </c>
      <c r="F315">
        <f>VLOOKUP(A315,Sheet1!A:B,2,FALSE)</f>
        <v>9820216355</v>
      </c>
      <c r="G315" t="str">
        <f>_xlfn.IFNA(VLOOKUP(C315,CallLog_Latest!A:H,8,FALSE),"")</f>
        <v/>
      </c>
      <c r="H315" t="str">
        <f>VLOOKUP(C315,[1]Sheet1!$F:$H,3,FALSE)</f>
        <v>Shivshrusti Building, B-801  Opp. Nirman Diagnostics Centre, Link Road, Kandivali (W</v>
      </c>
    </row>
    <row r="316" spans="1:8" x14ac:dyDescent="0.25">
      <c r="A316" t="s">
        <v>55</v>
      </c>
      <c r="B316" t="s">
        <v>359</v>
      </c>
      <c r="C316">
        <v>9820634447</v>
      </c>
      <c r="D316" t="str">
        <f>_xlfn.IFNA(VLOOKUP(C316,CallLog_Latest!A:H,7,FALSE),"Not Called")</f>
        <v>Not Reachable</v>
      </c>
      <c r="E316" t="str">
        <f>IF(ISNA(VLOOKUP(C316,Registration!A:A,1,FALSE)),"Not Registered","Registered")</f>
        <v>Not Registered</v>
      </c>
      <c r="F316">
        <f>VLOOKUP(A316,Sheet1!A:B,2,FALSE)</f>
        <v>9819083540</v>
      </c>
      <c r="G316">
        <f>_xlfn.IFNA(VLOOKUP(C316,CallLog_Latest!A:H,8,FALSE),"")</f>
        <v>0</v>
      </c>
      <c r="H316" t="str">
        <f>VLOOKUP(C316,[1]Sheet1!$F:$H,3,FALSE)</f>
        <v>R/804  Panchsheel Garden  Pqr CHS.ltd. Mahavir Nagar</v>
      </c>
    </row>
    <row r="317" spans="1:8" x14ac:dyDescent="0.25">
      <c r="A317" t="s">
        <v>57</v>
      </c>
      <c r="B317" t="s">
        <v>360</v>
      </c>
      <c r="C317">
        <v>9819758430</v>
      </c>
      <c r="D317" t="str">
        <f>_xlfn.IFNA(VLOOKUP(C317,CallLog_Latest!A:H,7,FALSE),"Not Called")</f>
        <v>Confirmed Presence</v>
      </c>
      <c r="E317" t="str">
        <f>IF(ISNA(VLOOKUP(C317,Registration!A:A,1,FALSE)),"Not Registered","Registered")</f>
        <v>Not Registered</v>
      </c>
      <c r="F317">
        <f>VLOOKUP(A317,Sheet1!A:B,2,FALSE)</f>
        <v>9101910341</v>
      </c>
      <c r="G317" t="str">
        <f>_xlfn.IFNA(VLOOKUP(C317,CallLog_Latest!A:H,8,FALSE),"")</f>
        <v>No marksheets</v>
      </c>
      <c r="H317" t="str">
        <f>VLOOKUP(C317,[1]Sheet1!$F:$H,3,FALSE)</f>
        <v>B/1304  Shiv Shrushthi  Link Road  Mahavir Nagar, Kandivali (W</v>
      </c>
    </row>
    <row r="318" spans="1:8" x14ac:dyDescent="0.25">
      <c r="A318" t="s">
        <v>59</v>
      </c>
      <c r="B318" t="s">
        <v>361</v>
      </c>
      <c r="C318">
        <v>9820634447</v>
      </c>
      <c r="D318" t="str">
        <f>_xlfn.IFNA(VLOOKUP(C318,CallLog_Latest!A:H,7,FALSE),"Not Called")</f>
        <v>Not Reachable</v>
      </c>
      <c r="E318" t="str">
        <f>IF(ISNA(VLOOKUP(C318,Registration!A:A,1,FALSE)),"Not Registered","Registered")</f>
        <v>Not Registered</v>
      </c>
      <c r="F318">
        <f>VLOOKUP(A318,Sheet1!A:B,2,FALSE)</f>
        <v>9920121726</v>
      </c>
      <c r="G318">
        <f>_xlfn.IFNA(VLOOKUP(C318,CallLog_Latest!A:H,8,FALSE),"")</f>
        <v>0</v>
      </c>
      <c r="H318" t="str">
        <f>VLOOKUP(C318,[1]Sheet1!$F:$H,3,FALSE)</f>
        <v>R/804  Panchsheel Garden  Pqr CHS.ltd. Mahavir Nagar</v>
      </c>
    </row>
    <row r="319" spans="1:8" x14ac:dyDescent="0.25">
      <c r="A319" t="s">
        <v>61</v>
      </c>
      <c r="B319" t="s">
        <v>362</v>
      </c>
      <c r="C319">
        <v>9833869339</v>
      </c>
      <c r="D319" t="str">
        <f>_xlfn.IFNA(VLOOKUP(C319,CallLog_Latest!A:H,7,FALSE),"Not Called")</f>
        <v>Not Called</v>
      </c>
      <c r="E319" t="str">
        <f>IF(ISNA(VLOOKUP(C319,Registration!A:A,1,FALSE)),"Not Registered","Registered")</f>
        <v>Not Registered</v>
      </c>
      <c r="F319">
        <f>VLOOKUP(A319,Sheet1!A:B,2,FALSE)</f>
        <v>9820779873</v>
      </c>
      <c r="G319" t="str">
        <f>_xlfn.IFNA(VLOOKUP(C319,CallLog_Latest!A:H,8,FALSE),"")</f>
        <v/>
      </c>
      <c r="H319" t="str">
        <f>VLOOKUP(C319,[1]Sheet1!$F:$H,3,FALSE)</f>
        <v>B -302  Gaurav Geet  Gaurav Garden  Bunder Pakhadi Road  Near Sahyadri Nagar</v>
      </c>
    </row>
    <row r="320" spans="1:8" x14ac:dyDescent="0.25">
      <c r="A320" t="s">
        <v>63</v>
      </c>
      <c r="B320" t="s">
        <v>363</v>
      </c>
      <c r="C320">
        <v>9323589700</v>
      </c>
      <c r="D320" t="str">
        <f>_xlfn.IFNA(VLOOKUP(C320,CallLog_Latest!A:H,7,FALSE),"Not Called")</f>
        <v>Confirmed Presence</v>
      </c>
      <c r="E320" t="str">
        <f>IF(ISNA(VLOOKUP(C320,Registration!A:A,1,FALSE)),"Not Registered","Registered")</f>
        <v>Registered</v>
      </c>
      <c r="F320">
        <f>VLOOKUP(A320,Sheet1!A:B,2,FALSE)</f>
        <v>9930396709</v>
      </c>
      <c r="G320" t="str">
        <f>_xlfn.IFNA(VLOOKUP(C320,CallLog_Latest!A:H,8,FALSE),"")</f>
        <v>Registered for 1</v>
      </c>
      <c r="H320" t="str">
        <f>VLOOKUP(C320,[1]Sheet1!$F:$H,3,FALSE)</f>
        <v>Skylone Spaces, 1704-B Iraniwadi No.4, Kandivali (W</v>
      </c>
    </row>
    <row r="321" spans="1:8" x14ac:dyDescent="0.25">
      <c r="A321" t="s">
        <v>65</v>
      </c>
      <c r="B321" t="s">
        <v>364</v>
      </c>
      <c r="C321">
        <v>9820507185</v>
      </c>
      <c r="D321" t="str">
        <f>_xlfn.IFNA(VLOOKUP(C321,CallLog_Latest!A:H,7,FALSE),"Not Called")</f>
        <v>Not Called</v>
      </c>
      <c r="E321" t="str">
        <f>IF(ISNA(VLOOKUP(C321,Registration!A:A,1,FALSE)),"Not Registered","Registered")</f>
        <v>Not Registered</v>
      </c>
      <c r="F321">
        <f>VLOOKUP(A321,Sheet1!A:B,2,FALSE)</f>
        <v>7738892551</v>
      </c>
      <c r="G321" t="str">
        <f>_xlfn.IFNA(VLOOKUP(C321,CallLog_Latest!A:H,8,FALSE),"")</f>
        <v/>
      </c>
      <c r="H321" t="str">
        <f>VLOOKUP(C321,[1]Sheet1!$F:$H,3,FALSE)</f>
        <v>1302  Rivona A  Hiranandani Heritage S.V. Road  Poinsur</v>
      </c>
    </row>
    <row r="322" spans="1:8" x14ac:dyDescent="0.25">
      <c r="A322" t="s">
        <v>67</v>
      </c>
      <c r="B322" t="s">
        <v>365</v>
      </c>
      <c r="C322">
        <v>9920118100</v>
      </c>
      <c r="D322" t="str">
        <f>_xlfn.IFNA(VLOOKUP(C322,CallLog_Latest!A:H,7,FALSE),"Not Called")</f>
        <v>Not Called</v>
      </c>
      <c r="E322" t="str">
        <f>IF(ISNA(VLOOKUP(C322,Registration!A:A,1,FALSE)),"Not Registered","Registered")</f>
        <v>Not Registered</v>
      </c>
      <c r="F322">
        <f>VLOOKUP(A322,Sheet1!A:B,2,FALSE)</f>
        <v>9820251565</v>
      </c>
      <c r="G322" t="str">
        <f>_xlfn.IFNA(VLOOKUP(C322,CallLog_Latest!A:H,8,FALSE),"")</f>
        <v/>
      </c>
      <c r="H322" t="str">
        <f>VLOOKUP(C322,[1]Sheet1!$F:$H,3,FALSE)</f>
        <v>B/1304  Shiv Shrushthi  Link Road  Mahavir Nagar, Kandivali (W</v>
      </c>
    </row>
    <row r="323" spans="1:8" x14ac:dyDescent="0.25">
      <c r="A323" t="s">
        <v>69</v>
      </c>
      <c r="B323" t="s">
        <v>366</v>
      </c>
      <c r="C323">
        <v>9820528695</v>
      </c>
      <c r="D323" t="str">
        <f>_xlfn.IFNA(VLOOKUP(C323,CallLog_Latest!A:H,7,FALSE),"Not Called")</f>
        <v>Not Called</v>
      </c>
      <c r="E323" t="str">
        <f>IF(ISNA(VLOOKUP(C323,Registration!A:A,1,FALSE)),"Not Registered","Registered")</f>
        <v>Not Registered</v>
      </c>
      <c r="F323">
        <f>VLOOKUP(A323,Sheet1!A:B,2,FALSE)</f>
        <v>9968855475</v>
      </c>
      <c r="G323" t="str">
        <f>_xlfn.IFNA(VLOOKUP(C323,CallLog_Latest!A:H,8,FALSE),"")</f>
        <v/>
      </c>
      <c r="H323" t="str">
        <f>VLOOKUP(C323,[1]Sheet1!$F:$H,3,FALSE)</f>
        <v>A-604 Om Siddhi Vinayak CHS Ltd Plot No 50 Sector No 2 Charkop Kandiwali (W</v>
      </c>
    </row>
    <row r="324" spans="1:8" x14ac:dyDescent="0.25">
      <c r="A324" t="s">
        <v>71</v>
      </c>
      <c r="B324" t="s">
        <v>367</v>
      </c>
      <c r="C324">
        <v>9869799837</v>
      </c>
      <c r="D324" t="str">
        <f>_xlfn.IFNA(VLOOKUP(C324,CallLog_Latest!A:H,7,FALSE),"Not Called")</f>
        <v>Not Called</v>
      </c>
      <c r="E324" t="str">
        <f>IF(ISNA(VLOOKUP(C324,Registration!A:A,1,FALSE)),"Not Registered","Registered")</f>
        <v>Not Registered</v>
      </c>
      <c r="F324">
        <f>VLOOKUP(A324,Sheet1!A:B,2,FALSE)</f>
        <v>9405263833</v>
      </c>
      <c r="G324" t="str">
        <f>_xlfn.IFNA(VLOOKUP(C324,CallLog_Latest!A:H,8,FALSE),"")</f>
        <v/>
      </c>
      <c r="H324" t="str">
        <f>VLOOKUP(C324,[1]Sheet1!$F:$H,3,FALSE)</f>
        <v>502/ A Leena Enclave S V Road Opp. Telephone Exchange Kandivali  (W</v>
      </c>
    </row>
    <row r="325" spans="1:8" x14ac:dyDescent="0.25">
      <c r="A325" t="s">
        <v>73</v>
      </c>
      <c r="B325" t="s">
        <v>368</v>
      </c>
      <c r="C325">
        <v>9821359693</v>
      </c>
      <c r="D325" t="str">
        <f>_xlfn.IFNA(VLOOKUP(C325,CallLog_Latest!A:H,7,FALSE),"Not Called")</f>
        <v>Not Reachable</v>
      </c>
      <c r="E325" t="str">
        <f>IF(ISNA(VLOOKUP(C325,Registration!A:A,1,FALSE)),"Not Registered","Registered")</f>
        <v>Not Registered</v>
      </c>
      <c r="F325">
        <f>VLOOKUP(A325,Sheet1!A:B,2,FALSE)</f>
        <v>8879433174</v>
      </c>
      <c r="G325">
        <f>_xlfn.IFNA(VLOOKUP(C325,CallLog_Latest!A:H,8,FALSE),"")</f>
        <v>0</v>
      </c>
      <c r="H325" t="str">
        <f>VLOOKUP(C325,[1]Sheet1!$F:$H,3,FALSE)</f>
        <v>Shiv Shrusti Chs. Ltd. Flat no. A-1902, A-Wing  New Link RoadOpp. Nirma Diagnistic Polytechnology Center, Mahavir Nagar, Kandivali (W</v>
      </c>
    </row>
    <row r="326" spans="1:8" x14ac:dyDescent="0.25">
      <c r="A326" t="s">
        <v>75</v>
      </c>
      <c r="B326" t="s">
        <v>369</v>
      </c>
      <c r="C326">
        <v>9821142432</v>
      </c>
      <c r="D326" t="str">
        <f>_xlfn.IFNA(VLOOKUP(C326,CallLog_Latest!A:H,7,FALSE),"Not Called")</f>
        <v>Not Called</v>
      </c>
      <c r="E326" t="str">
        <f>IF(ISNA(VLOOKUP(C326,Registration!A:A,1,FALSE)),"Not Registered","Registered")</f>
        <v>Not Registered</v>
      </c>
      <c r="F326">
        <f>VLOOKUP(A326,Sheet1!A:B,2,FALSE)</f>
        <v>9993325021</v>
      </c>
      <c r="G326" t="str">
        <f>_xlfn.IFNA(VLOOKUP(C326,CallLog_Latest!A:H,8,FALSE),"")</f>
        <v/>
      </c>
      <c r="H326" t="str">
        <f>VLOOKUP(C326,[1]Sheet1!$F:$H,3,FALSE)</f>
        <v>R-104  PANCHSHEEL GARDENS  MAHAVIR NAGAR  DAHANUKAR WADI</v>
      </c>
    </row>
    <row r="327" spans="1:8" x14ac:dyDescent="0.25">
      <c r="A327" t="s">
        <v>12</v>
      </c>
      <c r="B327" t="s">
        <v>370</v>
      </c>
      <c r="C327">
        <v>9869906116</v>
      </c>
      <c r="D327" t="str">
        <f>_xlfn.IFNA(VLOOKUP(C327,CallLog_Latest!A:H,7,FALSE),"Not Called")</f>
        <v>Confirmed Presence</v>
      </c>
      <c r="E327" t="str">
        <f>IF(ISNA(VLOOKUP(C327,Registration!A:A,1,FALSE)),"Not Registered","Registered")</f>
        <v>Not Registered</v>
      </c>
      <c r="F327">
        <f>VLOOKUP(A327,Sheet1!A:B,2,FALSE)</f>
        <v>9820454734</v>
      </c>
      <c r="G327">
        <f>_xlfn.IFNA(VLOOKUP(C327,CallLog_Latest!A:H,8,FALSE),"")</f>
        <v>0</v>
      </c>
      <c r="H327" t="str">
        <f>VLOOKUP(C327,[1]Sheet1!$F:$H,3,FALSE)</f>
        <v>Estonia B-1002  Hiranandani Heritage Poisar Bridge  S.V. Road</v>
      </c>
    </row>
    <row r="328" spans="1:8" x14ac:dyDescent="0.25">
      <c r="A328" t="s">
        <v>78</v>
      </c>
      <c r="B328" t="s">
        <v>371</v>
      </c>
      <c r="C328">
        <v>9324059577</v>
      </c>
      <c r="D328" t="str">
        <f>_xlfn.IFNA(VLOOKUP(C328,CallLog_Latest!A:H,7,FALSE),"Not Called")</f>
        <v>Not Coming</v>
      </c>
      <c r="E328" t="str">
        <f>IF(ISNA(VLOOKUP(C328,Registration!A:A,1,FALSE)),"Not Registered","Registered")</f>
        <v>Not Registered</v>
      </c>
      <c r="F328">
        <f>VLOOKUP(A328,Sheet1!A:B,2,FALSE)</f>
        <v>9029105124</v>
      </c>
      <c r="G328">
        <f>_xlfn.IFNA(VLOOKUP(C328,CallLog_Latest!A:H,8,FALSE),"")</f>
        <v>0</v>
      </c>
      <c r="H328" t="str">
        <f>VLOOKUP(C328,[1]Sheet1!$F:$H,3,FALSE)</f>
        <v>A-401  Lalji Complex CHS Ltd. Linking Road Opp. Symphony Tower &amp; Shanti Nagar Chawl  Dhanukarwadi</v>
      </c>
    </row>
    <row r="329" spans="1:8" x14ac:dyDescent="0.25">
      <c r="A329" t="s">
        <v>80</v>
      </c>
      <c r="B329" t="s">
        <v>372</v>
      </c>
      <c r="C329">
        <v>9869152484</v>
      </c>
      <c r="D329" t="str">
        <f>_xlfn.IFNA(VLOOKUP(C329,CallLog_Latest!A:H,7,FALSE),"Not Called")</f>
        <v>Not Called</v>
      </c>
      <c r="E329" t="str">
        <f>IF(ISNA(VLOOKUP(C329,Registration!A:A,1,FALSE)),"Not Registered","Registered")</f>
        <v>Not Registered</v>
      </c>
      <c r="F329">
        <f>VLOOKUP(A329,Sheet1!A:B,2,FALSE)</f>
        <v>9599704370</v>
      </c>
      <c r="G329" t="str">
        <f>_xlfn.IFNA(VLOOKUP(C329,CallLog_Latest!A:H,8,FALSE),"")</f>
        <v/>
      </c>
      <c r="H329" t="str">
        <f>VLOOKUP(C329,[1]Sheet1!$F:$H,3,FALSE)</f>
        <v>Estonia B-1002  Hiranandani Heritage Poisar Bridge  S. V. Road, Malad (E</v>
      </c>
    </row>
    <row r="330" spans="1:8" x14ac:dyDescent="0.25">
      <c r="A330" t="s">
        <v>82</v>
      </c>
      <c r="B330" t="s">
        <v>373</v>
      </c>
      <c r="C330">
        <v>9833229112</v>
      </c>
      <c r="D330" t="str">
        <f>_xlfn.IFNA(VLOOKUP(C330,CallLog_Latest!A:H,7,FALSE),"Not Called")</f>
        <v>Not Reachable</v>
      </c>
      <c r="E330" t="str">
        <f>IF(ISNA(VLOOKUP(C330,Registration!A:A,1,FALSE)),"Not Registered","Registered")</f>
        <v>Not Registered</v>
      </c>
      <c r="F330">
        <f>VLOOKUP(A330,Sheet1!A:B,2,FALSE)</f>
        <v>9824100412</v>
      </c>
      <c r="G330" t="str">
        <f>_xlfn.IFNA(VLOOKUP(C330,CallLog_Latest!A:H,8,FALSE),"")</f>
        <v>Can't receive incoming calls</v>
      </c>
      <c r="H330" t="str">
        <f>VLOOKUP(C330,[1]Sheet1!$F:$H,3,FALSE)</f>
        <v>N.g. Garden  B-204  Inside Gaurav Garden Complex  Bhunder Pakadi Road</v>
      </c>
    </row>
    <row r="331" spans="1:8" x14ac:dyDescent="0.25">
      <c r="A331" t="s">
        <v>84</v>
      </c>
      <c r="B331" t="s">
        <v>374</v>
      </c>
      <c r="C331">
        <v>9619190941</v>
      </c>
      <c r="D331" t="str">
        <f>_xlfn.IFNA(VLOOKUP(C331,CallLog_Latest!A:H,7,FALSE),"Not Called")</f>
        <v>Not Reachable</v>
      </c>
      <c r="E331" t="str">
        <f>IF(ISNA(VLOOKUP(C331,Registration!A:A,1,FALSE)),"Not Registered","Registered")</f>
        <v>Not Registered</v>
      </c>
      <c r="F331">
        <f>VLOOKUP(A331,Sheet1!A:B,2,FALSE)</f>
        <v>9225211083</v>
      </c>
      <c r="G331" t="str">
        <f>_xlfn.IFNA(VLOOKUP(C331,CallLog_Latest!A:H,8,FALSE),"")</f>
        <v>Not answering call</v>
      </c>
      <c r="H331" t="str">
        <f>VLOOKUP(C331,[1]Sheet1!$F:$H,3,FALSE)</f>
        <v>Amit Tower  Sector No.-1 Plot No.119  Flat No.302  Charkop</v>
      </c>
    </row>
    <row r="332" spans="1:8" x14ac:dyDescent="0.25">
      <c r="A332" t="s">
        <v>86</v>
      </c>
      <c r="B332" t="s">
        <v>375</v>
      </c>
      <c r="C332">
        <v>9892126233</v>
      </c>
      <c r="D332" t="str">
        <f>_xlfn.IFNA(VLOOKUP(C332,CallLog_Latest!A:H,7,FALSE),"Not Called")</f>
        <v>Not Called</v>
      </c>
      <c r="E332" t="str">
        <f>IF(ISNA(VLOOKUP(C332,Registration!A:A,1,FALSE)),"Not Registered","Registered")</f>
        <v>Not Registered</v>
      </c>
      <c r="F332">
        <f>VLOOKUP(A332,Sheet1!A:B,2,FALSE)</f>
        <v>9930252076</v>
      </c>
      <c r="G332" t="str">
        <f>_xlfn.IFNA(VLOOKUP(C332,CallLog_Latest!A:H,8,FALSE),"")</f>
        <v/>
      </c>
      <c r="H332" t="str">
        <f>VLOOKUP(C332,[1]Sheet1!$F:$H,3,FALSE)</f>
        <v>Flat No 302 Amit Tower  Sector No1 Plot No 119 Charkop</v>
      </c>
    </row>
    <row r="333" spans="1:8" x14ac:dyDescent="0.25">
      <c r="A333" t="s">
        <v>88</v>
      </c>
      <c r="B333" t="s">
        <v>376</v>
      </c>
      <c r="C333">
        <v>9820424621</v>
      </c>
      <c r="D333" t="str">
        <f>_xlfn.IFNA(VLOOKUP(C333,CallLog_Latest!A:H,7,FALSE),"Not Called")</f>
        <v>Not Called</v>
      </c>
      <c r="E333" t="str">
        <f>IF(ISNA(VLOOKUP(C333,Registration!A:A,1,FALSE)),"Not Registered","Registered")</f>
        <v>Not Registered</v>
      </c>
      <c r="F333">
        <f>VLOOKUP(A333,Sheet1!A:B,2,FALSE)</f>
        <v>9661270782</v>
      </c>
      <c r="G333" t="str">
        <f>_xlfn.IFNA(VLOOKUP(C333,CallLog_Latest!A:H,8,FALSE),"")</f>
        <v/>
      </c>
      <c r="H333" t="str">
        <f>VLOOKUP(C333,[1]Sheet1!$F:$H,3,FALSE)</f>
        <v>Kum Kum CHSL Sector 1, Plot no. 12, Flat No. 301, 3rd Floor RDP-1, Near Police Station, Kandivali (W</v>
      </c>
    </row>
    <row r="334" spans="1:8" x14ac:dyDescent="0.25">
      <c r="A334" t="s">
        <v>90</v>
      </c>
      <c r="B334" t="s">
        <v>377</v>
      </c>
      <c r="C334">
        <v>9820020096</v>
      </c>
      <c r="D334" t="str">
        <f>_xlfn.IFNA(VLOOKUP(C334,CallLog_Latest!A:H,7,FALSE),"Not Called")</f>
        <v>Not Called</v>
      </c>
      <c r="E334" t="str">
        <f>IF(ISNA(VLOOKUP(C334,Registration!A:A,1,FALSE)),"Not Registered","Registered")</f>
        <v>Not Registered</v>
      </c>
      <c r="F334">
        <f>VLOOKUP(A334,Sheet1!A:B,2,FALSE)</f>
        <v>9819128389</v>
      </c>
      <c r="G334" t="str">
        <f>_xlfn.IFNA(VLOOKUP(C334,CallLog_Latest!A:H,8,FALSE),"")</f>
        <v/>
      </c>
      <c r="H334" t="str">
        <f>VLOOKUP(C334,[1]Sheet1!$F:$H,3,FALSE)</f>
        <v>E-1404  Orchid Suburbia Link Road</v>
      </c>
    </row>
    <row r="335" spans="1:8" x14ac:dyDescent="0.25">
      <c r="A335" t="s">
        <v>92</v>
      </c>
      <c r="B335" t="s">
        <v>378</v>
      </c>
      <c r="C335">
        <v>8080857770</v>
      </c>
      <c r="D335" t="str">
        <f>_xlfn.IFNA(VLOOKUP(C335,CallLog_Latest!A:H,7,FALSE),"Not Called")</f>
        <v>Not Called</v>
      </c>
      <c r="E335" t="str">
        <f>IF(ISNA(VLOOKUP(C335,Registration!A:A,1,FALSE)),"Not Registered","Registered")</f>
        <v>Not Registered</v>
      </c>
      <c r="F335">
        <f>VLOOKUP(A335,Sheet1!A:B,2,FALSE)</f>
        <v>8268665777</v>
      </c>
      <c r="G335" t="str">
        <f>_xlfn.IFNA(VLOOKUP(C335,CallLog_Latest!A:H,8,FALSE),"")</f>
        <v/>
      </c>
      <c r="H335" t="str">
        <f>VLOOKUP(C335,[1]Sheet1!$F:$H,3,FALSE)</f>
        <v>A-203, Parinee Essence, Ambedkar Road Bhabrekar Nagar, Charkop Gaon, Kandivali (W</v>
      </c>
    </row>
    <row r="336" spans="1:8" x14ac:dyDescent="0.25">
      <c r="A336" t="s">
        <v>94</v>
      </c>
      <c r="B336" t="s">
        <v>379</v>
      </c>
      <c r="C336">
        <v>9322504532</v>
      </c>
      <c r="D336" t="str">
        <f>_xlfn.IFNA(VLOOKUP(C336,CallLog_Latest!A:H,7,FALSE),"Not Called")</f>
        <v>Not Called</v>
      </c>
      <c r="E336" t="str">
        <f>IF(ISNA(VLOOKUP(C336,Registration!A:A,1,FALSE)),"Not Registered","Registered")</f>
        <v>Not Registered</v>
      </c>
      <c r="F336">
        <f>VLOOKUP(A336,Sheet1!A:B,2,FALSE)</f>
        <v>9920085455</v>
      </c>
      <c r="G336" t="str">
        <f>_xlfn.IFNA(VLOOKUP(C336,CallLog_Latest!A:H,8,FALSE),"")</f>
        <v/>
      </c>
      <c r="H336" t="str">
        <f>VLOOKUP(C336,[1]Sheet1!$F:$H,3,FALSE)</f>
        <v>H706 RNA Regency Park, Dhanukar wadi , Kandivali (W</v>
      </c>
    </row>
    <row r="337" spans="1:8" x14ac:dyDescent="0.25">
      <c r="A337" t="s">
        <v>96</v>
      </c>
      <c r="B337" t="s">
        <v>380</v>
      </c>
      <c r="C337">
        <v>9890208968</v>
      </c>
      <c r="D337" t="str">
        <f>_xlfn.IFNA(VLOOKUP(C337,CallLog_Latest!A:H,7,FALSE),"Not Called")</f>
        <v>Not Reachable</v>
      </c>
      <c r="E337" t="str">
        <f>IF(ISNA(VLOOKUP(C337,Registration!A:A,1,FALSE)),"Not Registered","Registered")</f>
        <v>Not Registered</v>
      </c>
      <c r="F337">
        <f>VLOOKUP(A337,Sheet1!A:B,2,FALSE)</f>
        <v>9424584007</v>
      </c>
      <c r="G337" t="str">
        <f>_xlfn.IFNA(VLOOKUP(C337,CallLog_Latest!A:H,8,FALSE),"")</f>
        <v>Number invalid</v>
      </c>
      <c r="H337" t="str">
        <f>VLOOKUP(C337,[1]Sheet1!$F:$H,3,FALSE)</f>
        <v>303  Krishna Heights Mathuradas Road, Opp. Atul Tower, Kandivali (W</v>
      </c>
    </row>
    <row r="338" spans="1:8" x14ac:dyDescent="0.25">
      <c r="A338" t="s">
        <v>3</v>
      </c>
      <c r="B338" t="s">
        <v>381</v>
      </c>
      <c r="C338">
        <v>9833249550</v>
      </c>
      <c r="D338" t="str">
        <f>_xlfn.IFNA(VLOOKUP(C338,CallLog_Latest!A:H,7,FALSE),"Not Called")</f>
        <v>Not Called</v>
      </c>
      <c r="E338" t="str">
        <f>IF(ISNA(VLOOKUP(C338,Registration!A:A,1,FALSE)),"Not Registered","Registered")</f>
        <v>Not Registered</v>
      </c>
      <c r="F338">
        <f>VLOOKUP(A338,Sheet1!A:B,2,FALSE)</f>
        <v>9326379737</v>
      </c>
      <c r="G338" t="str">
        <f>_xlfn.IFNA(VLOOKUP(C338,CallLog_Latest!A:H,8,FALSE),"")</f>
        <v/>
      </c>
      <c r="H338" t="str">
        <f>VLOOKUP(C338,[1]Sheet1!$F:$H,3,FALSE)</f>
        <v>B-1601,  Anshul Heights, Off Link Road , Kandivali -West</v>
      </c>
    </row>
    <row r="339" spans="1:8" x14ac:dyDescent="0.25">
      <c r="A339" t="s">
        <v>5</v>
      </c>
      <c r="B339" t="s">
        <v>382</v>
      </c>
      <c r="C339">
        <v>9757363987</v>
      </c>
      <c r="D339" t="str">
        <f>_xlfn.IFNA(VLOOKUP(C339,CallLog_Latest!A:H,7,FALSE),"Not Called")</f>
        <v>Not Called</v>
      </c>
      <c r="E339" t="str">
        <f>IF(ISNA(VLOOKUP(C339,Registration!A:A,1,FALSE)),"Not Registered","Registered")</f>
        <v>Not Registered</v>
      </c>
      <c r="F339">
        <f>VLOOKUP(A339,Sheet1!A:B,2,FALSE)</f>
        <v>9323541634</v>
      </c>
      <c r="G339" t="str">
        <f>_xlfn.IFNA(VLOOKUP(C339,CallLog_Latest!A:H,8,FALSE),"")</f>
        <v/>
      </c>
      <c r="H339" t="str">
        <f>VLOOKUP(C339,[1]Sheet1!$F:$H,3,FALSE)</f>
        <v>H706 RNA Regency Park, Dhanukar wadi , Kandivali (W</v>
      </c>
    </row>
    <row r="340" spans="1:8" x14ac:dyDescent="0.25">
      <c r="A340" t="s">
        <v>7</v>
      </c>
      <c r="B340" t="s">
        <v>383</v>
      </c>
      <c r="C340">
        <v>9821185122</v>
      </c>
      <c r="D340" t="str">
        <f>_xlfn.IFNA(VLOOKUP(C340,CallLog_Latest!A:H,7,FALSE),"Not Called")</f>
        <v>Not Called</v>
      </c>
      <c r="E340" t="str">
        <f>IF(ISNA(VLOOKUP(C340,Registration!A:A,1,FALSE)),"Not Registered","Registered")</f>
        <v>Not Registered</v>
      </c>
      <c r="F340">
        <f>VLOOKUP(A340,Sheet1!A:B,2,FALSE)</f>
        <v>9867015031</v>
      </c>
      <c r="G340" t="str">
        <f>_xlfn.IFNA(VLOOKUP(C340,CallLog_Latest!A:H,8,FALSE),"")</f>
        <v/>
      </c>
      <c r="H340" t="str">
        <f>VLOOKUP(C340,[1]Sheet1!$F:$H,3,FALSE)</f>
        <v>602, A-Wing, Estonia, Hiranandani Heritage  Kandivali West</v>
      </c>
    </row>
    <row r="341" spans="1:8" x14ac:dyDescent="0.25">
      <c r="A341" t="s">
        <v>9</v>
      </c>
      <c r="B341" t="s">
        <v>384</v>
      </c>
      <c r="C341">
        <v>9920173616</v>
      </c>
      <c r="D341" t="str">
        <f>_xlfn.IFNA(VLOOKUP(C341,CallLog_Latest!A:H,7,FALSE),"Not Called")</f>
        <v>Not Called</v>
      </c>
      <c r="E341" t="str">
        <f>IF(ISNA(VLOOKUP(C341,Registration!A:A,1,FALSE)),"Not Registered","Registered")</f>
        <v>Not Registered</v>
      </c>
      <c r="F341">
        <f>VLOOKUP(A341,Sheet1!A:B,2,FALSE)</f>
        <v>9821268271</v>
      </c>
      <c r="G341" t="str">
        <f>_xlfn.IFNA(VLOOKUP(C341,CallLog_Latest!A:H,8,FALSE),"")</f>
        <v/>
      </c>
      <c r="H341" t="str">
        <f>VLOOKUP(C341,[1]Sheet1!$F:$H,3,FALSE)</f>
        <v>403  Sumil CHS  Ltd  4 Th Floor,Plot No. 11  Sector No. 5   Near Apana Bazar, Ambedkar Marg, Charkop, Kandivali (W</v>
      </c>
    </row>
    <row r="342" spans="1:8" x14ac:dyDescent="0.25">
      <c r="A342" t="s">
        <v>11</v>
      </c>
      <c r="B342" t="s">
        <v>385</v>
      </c>
      <c r="C342">
        <v>9029687624</v>
      </c>
      <c r="D342" t="str">
        <f>_xlfn.IFNA(VLOOKUP(C342,CallLog_Latest!A:H,7,FALSE),"Not Called")</f>
        <v>Not Called</v>
      </c>
      <c r="E342" t="str">
        <f>IF(ISNA(VLOOKUP(C342,Registration!A:A,1,FALSE)),"Not Registered","Registered")</f>
        <v>Not Registered</v>
      </c>
      <c r="F342">
        <f>VLOOKUP(A342,Sheet1!A:B,2,FALSE)</f>
        <v>9322598681</v>
      </c>
      <c r="G342" t="str">
        <f>_xlfn.IFNA(VLOOKUP(C342,CallLog_Latest!A:H,8,FALSE),"")</f>
        <v/>
      </c>
      <c r="H342" t="str">
        <f>VLOOKUP(C342,[1]Sheet1!$F:$H,3,FALSE)</f>
        <v>Rajshivganga CHSL. 1205 Bhabrekar Nagar, Ekta Nagar, Mahada Charkop, Kandivali (W</v>
      </c>
    </row>
    <row r="343" spans="1:8" x14ac:dyDescent="0.25">
      <c r="A343" t="s">
        <v>13</v>
      </c>
      <c r="B343" t="s">
        <v>386</v>
      </c>
      <c r="C343">
        <v>9930370606</v>
      </c>
      <c r="D343" t="str">
        <f>_xlfn.IFNA(VLOOKUP(C343,CallLog_Latest!A:H,7,FALSE),"Not Called")</f>
        <v>Not Called</v>
      </c>
      <c r="E343" t="str">
        <f>IF(ISNA(VLOOKUP(C343,Registration!A:A,1,FALSE)),"Not Registered","Registered")</f>
        <v>Not Registered</v>
      </c>
      <c r="F343">
        <f>VLOOKUP(A343,Sheet1!A:B,2,FALSE)</f>
        <v>9969403870</v>
      </c>
      <c r="G343" t="str">
        <f>_xlfn.IFNA(VLOOKUP(C343,CallLog_Latest!A:H,8,FALSE),"")</f>
        <v/>
      </c>
      <c r="H343" t="str">
        <f>VLOOKUP(C343,[1]Sheet1!$F:$H,3,FALSE)</f>
        <v>D/406, Orchid Suburbia Link Road, Nr. Dhankar Wadi, Kandivali (W</v>
      </c>
    </row>
    <row r="344" spans="1:8" x14ac:dyDescent="0.25">
      <c r="A344" t="s">
        <v>15</v>
      </c>
      <c r="B344" t="s">
        <v>387</v>
      </c>
      <c r="C344">
        <v>9819146316</v>
      </c>
      <c r="D344" t="str">
        <f>_xlfn.IFNA(VLOOKUP(C344,CallLog_Latest!A:H,7,FALSE),"Not Called")</f>
        <v>Not Called</v>
      </c>
      <c r="E344" t="str">
        <f>IF(ISNA(VLOOKUP(C344,Registration!A:A,1,FALSE)),"Not Registered","Registered")</f>
        <v>Registered</v>
      </c>
      <c r="F344">
        <f>VLOOKUP(A344,Sheet1!A:B,2,FALSE)</f>
        <v>9892726278</v>
      </c>
      <c r="G344" t="str">
        <f>_xlfn.IFNA(VLOOKUP(C344,CallLog_Latest!A:H,8,FALSE),"")</f>
        <v/>
      </c>
      <c r="H344" t="str">
        <f>VLOOKUP(C344,[1]Sheet1!$F:$H,3,FALSE)</f>
        <v>Rajshivganga CHSL. 1205 Bhabrekar Nagar, Ekta Nagar, Mahada Charkop, Kandivali (W</v>
      </c>
    </row>
    <row r="345" spans="1:8" x14ac:dyDescent="0.25">
      <c r="A345" t="s">
        <v>17</v>
      </c>
      <c r="B345" t="s">
        <v>388</v>
      </c>
      <c r="C345">
        <v>9964005943</v>
      </c>
      <c r="D345" t="str">
        <f>_xlfn.IFNA(VLOOKUP(C345,CallLog_Latest!A:H,7,FALSE),"Not Called")</f>
        <v>Confirmed Presence ✅</v>
      </c>
      <c r="E345" t="str">
        <f>IF(ISNA(VLOOKUP(C345,Registration!A:A,1,FALSE)),"Not Registered","Registered")</f>
        <v>Registered</v>
      </c>
      <c r="F345">
        <f>VLOOKUP(A345,Sheet1!A:B,2,FALSE)</f>
        <v>9869798705</v>
      </c>
      <c r="G345">
        <f>_xlfn.IFNA(VLOOKUP(C345,CallLog_Latest!A:H,8,FALSE),"")</f>
        <v>0</v>
      </c>
      <c r="H345" t="str">
        <f>VLOOKUP(C345,[1]Sheet1!$F:$H,3,FALSE)</f>
        <v>Shree Highland Park NEW LINK ROAD,Dahanukarwadi</v>
      </c>
    </row>
    <row r="346" spans="1:8" x14ac:dyDescent="0.25">
      <c r="A346" t="s">
        <v>19</v>
      </c>
      <c r="B346" t="s">
        <v>389</v>
      </c>
      <c r="C346">
        <v>9820864166</v>
      </c>
      <c r="D346" t="str">
        <f>_xlfn.IFNA(VLOOKUP(C346,CallLog_Latest!A:H,7,FALSE),"Not Called")</f>
        <v>Not Called</v>
      </c>
      <c r="E346" t="str">
        <f>IF(ISNA(VLOOKUP(C346,Registration!A:A,1,FALSE)),"Not Registered","Registered")</f>
        <v>Not Registered</v>
      </c>
      <c r="F346">
        <f>VLOOKUP(A346,Sheet1!A:B,2,FALSE)</f>
        <v>9820265640</v>
      </c>
      <c r="G346" t="str">
        <f>_xlfn.IFNA(VLOOKUP(C346,CallLog_Latest!A:H,8,FALSE),"")</f>
        <v/>
      </c>
      <c r="H346" t="str">
        <f>VLOOKUP(C346,[1]Sheet1!$F:$H,3,FALSE)</f>
        <v>Jansukh Niwas, 9 Kasturba Road, Kandivali (W</v>
      </c>
    </row>
    <row r="347" spans="1:8" x14ac:dyDescent="0.25">
      <c r="A347" t="s">
        <v>21</v>
      </c>
      <c r="B347" t="s">
        <v>390</v>
      </c>
      <c r="C347">
        <v>9987500079</v>
      </c>
      <c r="D347" t="str">
        <f>_xlfn.IFNA(VLOOKUP(C347,CallLog_Latest!A:H,7,FALSE),"Not Called")</f>
        <v>Not Called</v>
      </c>
      <c r="E347" t="str">
        <f>IF(ISNA(VLOOKUP(C347,Registration!A:A,1,FALSE)),"Not Registered","Registered")</f>
        <v>Not Registered</v>
      </c>
      <c r="F347">
        <f>VLOOKUP(A347,Sheet1!A:B,2,FALSE)</f>
        <v>9820636392</v>
      </c>
      <c r="G347" t="str">
        <f>_xlfn.IFNA(VLOOKUP(C347,CallLog_Latest!A:H,8,FALSE),"")</f>
        <v/>
      </c>
      <c r="H347" t="str">
        <f>VLOOKUP(C347,[1]Sheet1!$F:$H,3,FALSE)</f>
        <v>D 602, Blue Arch, Ekta Nagar, Mahavir Nagar ext , Kandivali West</v>
      </c>
    </row>
    <row r="348" spans="1:8" x14ac:dyDescent="0.25">
      <c r="A348" t="s">
        <v>23</v>
      </c>
      <c r="B348" t="s">
        <v>391</v>
      </c>
      <c r="C348">
        <v>9920305070</v>
      </c>
      <c r="D348" t="str">
        <f>_xlfn.IFNA(VLOOKUP(C348,CallLog_Latest!A:H,7,FALSE),"Not Called")</f>
        <v>Not Called</v>
      </c>
      <c r="E348" t="str">
        <f>IF(ISNA(VLOOKUP(C348,Registration!A:A,1,FALSE)),"Not Registered","Registered")</f>
        <v>Not Registered</v>
      </c>
      <c r="F348">
        <f>VLOOKUP(A348,Sheet1!A:B,2,FALSE)</f>
        <v>7977439717</v>
      </c>
      <c r="G348" t="str">
        <f>_xlfn.IFNA(VLOOKUP(C348,CallLog_Latest!A:H,8,FALSE),"")</f>
        <v/>
      </c>
      <c r="H348" t="e">
        <f>VLOOKUP(C348,[1]Sheet1!$F:$H,3,FALSE)</f>
        <v>#N/A</v>
      </c>
    </row>
    <row r="349" spans="1:8" x14ac:dyDescent="0.25">
      <c r="A349" t="s">
        <v>25</v>
      </c>
      <c r="B349" t="s">
        <v>392</v>
      </c>
      <c r="C349">
        <v>8208264535</v>
      </c>
      <c r="D349" t="str">
        <f>_xlfn.IFNA(VLOOKUP(C349,CallLog_Latest!A:H,7,FALSE),"Not Called")</f>
        <v>Not Called</v>
      </c>
      <c r="E349" t="str">
        <f>IF(ISNA(VLOOKUP(C349,Registration!A:A,1,FALSE)),"Not Registered","Registered")</f>
        <v>Not Registered</v>
      </c>
      <c r="F349">
        <f>VLOOKUP(A349,Sheet1!A:B,2,FALSE)</f>
        <v>9967045520</v>
      </c>
      <c r="G349" t="str">
        <f>_xlfn.IFNA(VLOOKUP(C349,CallLog_Latest!A:H,8,FALSE),"")</f>
        <v/>
      </c>
      <c r="H349" t="e">
        <f>VLOOKUP(C349,[1]Sheet1!$F:$H,3,FALSE)</f>
        <v>#N/A</v>
      </c>
    </row>
    <row r="350" spans="1:8" x14ac:dyDescent="0.25">
      <c r="A350" t="s">
        <v>27</v>
      </c>
      <c r="B350" t="s">
        <v>393</v>
      </c>
      <c r="C350">
        <v>8668966511</v>
      </c>
      <c r="D350" t="str">
        <f>_xlfn.IFNA(VLOOKUP(C350,CallLog_Latest!A:H,7,FALSE),"Not Called")</f>
        <v>Not Called</v>
      </c>
      <c r="E350" t="str">
        <f>IF(ISNA(VLOOKUP(C350,Registration!A:A,1,FALSE)),"Not Registered","Registered")</f>
        <v>Not Registered</v>
      </c>
      <c r="F350">
        <f>VLOOKUP(A350,Sheet1!A:B,2,FALSE)</f>
        <v>9820075931</v>
      </c>
      <c r="G350" t="str">
        <f>_xlfn.IFNA(VLOOKUP(C350,CallLog_Latest!A:H,8,FALSE),"")</f>
        <v/>
      </c>
      <c r="H350" t="e">
        <f>VLOOKUP(C350,[1]Sheet1!$F:$H,3,FALSE)</f>
        <v>#N/A</v>
      </c>
    </row>
    <row r="351" spans="1:8" x14ac:dyDescent="0.25">
      <c r="A351" t="s">
        <v>29</v>
      </c>
      <c r="B351" t="s">
        <v>394</v>
      </c>
      <c r="C351">
        <v>9702001993</v>
      </c>
      <c r="D351" t="str">
        <f>_xlfn.IFNA(VLOOKUP(C351,CallLog_Latest!A:H,7,FALSE),"Not Called")</f>
        <v>Not Called</v>
      </c>
      <c r="E351" t="str">
        <f>IF(ISNA(VLOOKUP(C351,Registration!A:A,1,FALSE)),"Not Registered","Registered")</f>
        <v>Not Registered</v>
      </c>
      <c r="F351">
        <f>VLOOKUP(A351,Sheet1!A:B,2,FALSE)</f>
        <v>9819364345</v>
      </c>
      <c r="G351" t="str">
        <f>_xlfn.IFNA(VLOOKUP(C351,CallLog_Latest!A:H,8,FALSE),"")</f>
        <v/>
      </c>
      <c r="H351" t="str">
        <f>VLOOKUP(C351,[1]Sheet1!$F:$H,3,FALSE)</f>
        <v>Flat No. 405, Shakti Enclave, Q-Wing Chs. Ltd. Opp. Billabong School, Jan Kalyan Nagar, Kharidi, Malad (W</v>
      </c>
    </row>
    <row r="352" spans="1:8" x14ac:dyDescent="0.25">
      <c r="A352" t="s">
        <v>31</v>
      </c>
      <c r="B352" t="s">
        <v>395</v>
      </c>
      <c r="C352">
        <v>9004481082</v>
      </c>
      <c r="D352" t="str">
        <f>_xlfn.IFNA(VLOOKUP(C352,CallLog_Latest!A:H,7,FALSE),"Not Called")</f>
        <v>Confirmed Presence</v>
      </c>
      <c r="E352" t="str">
        <f>IF(ISNA(VLOOKUP(C352,Registration!A:A,1,FALSE)),"Not Registered","Registered")</f>
        <v>Registered</v>
      </c>
      <c r="F352">
        <f>VLOOKUP(A352,Sheet1!A:B,2,FALSE)</f>
        <v>9869064553</v>
      </c>
      <c r="G352">
        <f>_xlfn.IFNA(VLOOKUP(C352,CallLog_Latest!A:H,8,FALSE),"")</f>
        <v>0</v>
      </c>
      <c r="H352" t="str">
        <f>VLOOKUP(C352,[1]Sheet1!$F:$H,3,FALSE)</f>
        <v>1204, C-Wing, Royal Oasis Jankalyan Nagar, Next to Bill Bong School, Malad (W, Mumbai - 400095</v>
      </c>
    </row>
    <row r="353" spans="1:8" x14ac:dyDescent="0.25">
      <c r="A353" t="s">
        <v>33</v>
      </c>
      <c r="B353" t="s">
        <v>396</v>
      </c>
      <c r="C353">
        <v>9702497024</v>
      </c>
      <c r="D353" t="str">
        <f>_xlfn.IFNA(VLOOKUP(C353,CallLog_Latest!A:H,7,FALSE),"Not Called")</f>
        <v>Not Coming 🚫</v>
      </c>
      <c r="E353" t="str">
        <f>IF(ISNA(VLOOKUP(C353,Registration!A:A,1,FALSE)),"Not Registered","Registered")</f>
        <v>Not Registered</v>
      </c>
      <c r="F353">
        <f>VLOOKUP(A353,Sheet1!A:B,2,FALSE)</f>
        <v>9930070116</v>
      </c>
      <c r="G353" t="str">
        <f>_xlfn.IFNA(VLOOKUP(C353,CallLog_Latest!A:H,8,FALSE),"")</f>
        <v>Going to attend a marriage function</v>
      </c>
      <c r="H353" t="str">
        <f>VLOOKUP(C353,[1]Sheet1!$F:$H,3,FALSE)</f>
        <v>G-1/1006,  Bhoomi Park  Phase - 2,  10th Floor,  Off Marve Road, Jankalyan Nagar,  Near Billabong School,</v>
      </c>
    </row>
    <row r="354" spans="1:8" x14ac:dyDescent="0.25">
      <c r="A354" t="s">
        <v>35</v>
      </c>
      <c r="B354" t="s">
        <v>397</v>
      </c>
      <c r="C354">
        <v>9820032318</v>
      </c>
      <c r="D354" t="str">
        <f>_xlfn.IFNA(VLOOKUP(C354,CallLog_Latest!A:H,7,FALSE),"Not Called")</f>
        <v>Maybe Attending 🤔</v>
      </c>
      <c r="E354" t="str">
        <f>IF(ISNA(VLOOKUP(C354,Registration!A:A,1,FALSE)),"Not Registered","Registered")</f>
        <v>Not Registered</v>
      </c>
      <c r="F354">
        <f>VLOOKUP(A354,Sheet1!A:B,2,FALSE)</f>
        <v>9833705425</v>
      </c>
      <c r="G354">
        <f>_xlfn.IFNA(VLOOKUP(C354,CallLog_Latest!A:H,8,FALSE),"")</f>
        <v>0</v>
      </c>
      <c r="H354" t="str">
        <f>VLOOKUP(C354,[1]Sheet1!$F:$H,3,FALSE)</f>
        <v>B1/62  Asmita Jyoti CHS. Marve Road Charkop Naka  Kharodi</v>
      </c>
    </row>
    <row r="355" spans="1:8" x14ac:dyDescent="0.25">
      <c r="A355" t="s">
        <v>37</v>
      </c>
      <c r="B355" t="s">
        <v>398</v>
      </c>
      <c r="C355">
        <v>9821124220</v>
      </c>
      <c r="D355" t="str">
        <f>_xlfn.IFNA(VLOOKUP(C355,CallLog_Latest!A:H,7,FALSE),"Not Called")</f>
        <v>Not Called</v>
      </c>
      <c r="E355" t="str">
        <f>IF(ISNA(VLOOKUP(C355,Registration!A:A,1,FALSE)),"Not Registered","Registered")</f>
        <v>Not Registered</v>
      </c>
      <c r="F355">
        <f>VLOOKUP(A355,Sheet1!A:B,2,FALSE)</f>
        <v>9167390835</v>
      </c>
      <c r="G355" t="str">
        <f>_xlfn.IFNA(VLOOKUP(C355,CallLog_Latest!A:H,8,FALSE),"")</f>
        <v/>
      </c>
      <c r="H355" t="str">
        <f>VLOOKUP(C355,[1]Sheet1!$F:$H,3,FALSE)</f>
        <v>Asmita Jyoti Co-op.hsg Soc.ltd, E1/42 Marve Road, Charkop Naka, Malad (W</v>
      </c>
    </row>
    <row r="356" spans="1:8" x14ac:dyDescent="0.25">
      <c r="A356" t="s">
        <v>39</v>
      </c>
      <c r="B356" t="s">
        <v>399</v>
      </c>
      <c r="C356">
        <v>7977439717</v>
      </c>
      <c r="D356" t="str">
        <f>_xlfn.IFNA(VLOOKUP(C356,CallLog_Latest!A:H,7,FALSE),"Not Called")</f>
        <v>Confirmed Presence</v>
      </c>
      <c r="E356" t="str">
        <f>IF(ISNA(VLOOKUP(C356,Registration!A:A,1,FALSE)),"Not Registered","Registered")</f>
        <v>Not Registered</v>
      </c>
      <c r="F356">
        <f>VLOOKUP(A356,Sheet1!A:B,2,FALSE)</f>
        <v>9820505363</v>
      </c>
      <c r="G356" t="str">
        <f>_xlfn.IFNA(VLOOKUP(C356,CallLog_Latest!A:H,8,FALSE),"")</f>
        <v>Will register</v>
      </c>
      <c r="H356" t="str">
        <f>VLOOKUP(C356,[1]Sheet1!$F:$H,3,FALSE)</f>
        <v>Asmita Jyoti Chs. Ltd., B1/62   Marve Road, Charkop Naka, Malad (W</v>
      </c>
    </row>
    <row r="357" spans="1:8" x14ac:dyDescent="0.25">
      <c r="A357" t="s">
        <v>41</v>
      </c>
      <c r="B357" t="s">
        <v>400</v>
      </c>
      <c r="C357">
        <v>8779756681</v>
      </c>
      <c r="D357" t="str">
        <f>_xlfn.IFNA(VLOOKUP(C357,CallLog_Latest!A:H,7,FALSE),"Not Called")</f>
        <v>Not Reachable</v>
      </c>
      <c r="E357" t="str">
        <f>IF(ISNA(VLOOKUP(C357,Registration!A:A,1,FALSE)),"Not Registered","Registered")</f>
        <v>Not Registered</v>
      </c>
      <c r="F357">
        <f>VLOOKUP(A357,Sheet1!A:B,2,FALSE)</f>
        <v>8058973809</v>
      </c>
      <c r="G357">
        <f>_xlfn.IFNA(VLOOKUP(C357,CallLog_Latest!A:H,8,FALSE),"")</f>
        <v>0</v>
      </c>
      <c r="H357" t="str">
        <f>VLOOKUP(C357,[1]Sheet1!$F:$H,3,FALSE)</f>
        <v>D/6/46  Asmita jyoti Chs  Malda Marve Road  Malad (W</v>
      </c>
    </row>
    <row r="358" spans="1:8" x14ac:dyDescent="0.25">
      <c r="A358" t="s">
        <v>43</v>
      </c>
      <c r="B358" t="s">
        <v>401</v>
      </c>
      <c r="C358">
        <v>9820089651</v>
      </c>
      <c r="D358" t="str">
        <f>_xlfn.IFNA(VLOOKUP(C358,CallLog_Latest!A:H,7,FALSE),"Not Called")</f>
        <v>May be Attending</v>
      </c>
      <c r="E358" t="str">
        <f>IF(ISNA(VLOOKUP(C358,Registration!A:A,1,FALSE)),"Not Registered","Registered")</f>
        <v>Not Registered</v>
      </c>
      <c r="F358">
        <f>VLOOKUP(A358,Sheet1!A:B,2,FALSE)</f>
        <v>9320683201</v>
      </c>
      <c r="G358">
        <f>_xlfn.IFNA(VLOOKUP(C358,CallLog_Latest!A:H,8,FALSE),"")</f>
        <v>0</v>
      </c>
      <c r="H358" t="str">
        <f>VLOOKUP(C358,[1]Sheet1!$F:$H,3,FALSE)</f>
        <v>B-303, Lubna Bldg, Jankalyan Nagar  Marve Road, Malad (W</v>
      </c>
    </row>
    <row r="359" spans="1:8" x14ac:dyDescent="0.25">
      <c r="A359" t="s">
        <v>45</v>
      </c>
      <c r="B359" t="s">
        <v>402</v>
      </c>
      <c r="C359">
        <v>9619496390</v>
      </c>
      <c r="D359" t="str">
        <f>_xlfn.IFNA(VLOOKUP(C359,CallLog_Latest!A:H,7,FALSE),"Not Called")</f>
        <v>Confirmed Presence ✅</v>
      </c>
      <c r="E359" t="str">
        <f>IF(ISNA(VLOOKUP(C359,Registration!A:A,1,FALSE)),"Not Registered","Registered")</f>
        <v>Not Registered</v>
      </c>
      <c r="F359">
        <f>VLOOKUP(A359,Sheet1!A:B,2,FALSE)</f>
        <v>9967235652</v>
      </c>
      <c r="G359">
        <f>_xlfn.IFNA(VLOOKUP(C359,CallLog_Latest!A:H,8,FALSE),"")</f>
        <v>0</v>
      </c>
      <c r="H359" t="str">
        <f>VLOOKUP(C359,[1]Sheet1!$F:$H,3,FALSE)</f>
        <v>Bhoomi Park Phase-3, O-704, Jankalyan Nagar Nr. Firebrigade Marve Road, Malad (W</v>
      </c>
    </row>
    <row r="360" spans="1:8" x14ac:dyDescent="0.25">
      <c r="A360" t="s">
        <v>47</v>
      </c>
      <c r="B360" t="s">
        <v>403</v>
      </c>
      <c r="C360">
        <v>9321346176</v>
      </c>
      <c r="D360" t="str">
        <f>_xlfn.IFNA(VLOOKUP(C360,CallLog_Latest!A:H,7,FALSE),"Not Called")</f>
        <v>Confirmed Presence ✅</v>
      </c>
      <c r="E360" t="str">
        <f>IF(ISNA(VLOOKUP(C360,Registration!A:A,1,FALSE)),"Not Registered","Registered")</f>
        <v>Not Registered</v>
      </c>
      <c r="F360">
        <f>VLOOKUP(A360,Sheet1!A:B,2,FALSE)</f>
        <v>8108711149</v>
      </c>
      <c r="G360">
        <f>_xlfn.IFNA(VLOOKUP(C360,CallLog_Latest!A:H,8,FALSE),"")</f>
        <v>0</v>
      </c>
      <c r="H360" t="str">
        <f>VLOOKUP(C360,[1]Sheet1!$F:$H,3,FALSE)</f>
        <v>201/A-1  Tapovan Krishnadham, Hanuman Tekdi   Pathanwadi Road, Rani Sati Marg, Ext. Malad (W</v>
      </c>
    </row>
    <row r="361" spans="1:8" x14ac:dyDescent="0.25">
      <c r="A361" t="s">
        <v>49</v>
      </c>
      <c r="B361" t="s">
        <v>404</v>
      </c>
      <c r="C361">
        <v>9167900897</v>
      </c>
      <c r="D361" t="str">
        <f>_xlfn.IFNA(VLOOKUP(C361,CallLog_Latest!A:H,7,FALSE),"Not Called")</f>
        <v>Confirmed Presence ✅</v>
      </c>
      <c r="E361" t="str">
        <f>IF(ISNA(VLOOKUP(C361,Registration!A:A,1,FALSE)),"Not Registered","Registered")</f>
        <v>Not Registered</v>
      </c>
      <c r="F361">
        <f>VLOOKUP(A361,Sheet1!A:B,2,FALSE)</f>
        <v>9322206108</v>
      </c>
      <c r="G361">
        <f>_xlfn.IFNA(VLOOKUP(C361,CallLog_Latest!A:H,8,FALSE),"")</f>
        <v>0</v>
      </c>
      <c r="H361" t="str">
        <f>VLOOKUP(C361,[1]Sheet1!$F:$H,3,FALSE)</f>
        <v>802-Orchid, Vasant Valley  Film City Road, Malad (E</v>
      </c>
    </row>
    <row r="362" spans="1:8" x14ac:dyDescent="0.25">
      <c r="A362" t="s">
        <v>51</v>
      </c>
      <c r="B362" t="s">
        <v>405</v>
      </c>
      <c r="C362">
        <v>9324616732</v>
      </c>
      <c r="D362" t="str">
        <f>_xlfn.IFNA(VLOOKUP(C362,CallLog_Latest!A:H,7,FALSE),"Not Called")</f>
        <v>Not Called</v>
      </c>
      <c r="E362" t="str">
        <f>IF(ISNA(VLOOKUP(C362,Registration!A:A,1,FALSE)),"Not Registered","Registered")</f>
        <v>Not Registered</v>
      </c>
      <c r="F362">
        <f>VLOOKUP(A362,Sheet1!A:B,2,FALSE)</f>
        <v>9967015641</v>
      </c>
      <c r="G362" t="str">
        <f>_xlfn.IFNA(VLOOKUP(C362,CallLog_Latest!A:H,8,FALSE),"")</f>
        <v/>
      </c>
      <c r="H362" t="str">
        <f>VLOOKUP(C362,[1]Sheet1!$F:$H,3,FALSE)</f>
        <v>B-301 Shikhar Kunj Upper Govind Nagar Malad (E</v>
      </c>
    </row>
    <row r="363" spans="1:8" x14ac:dyDescent="0.25">
      <c r="A363" t="s">
        <v>53</v>
      </c>
      <c r="B363" t="s">
        <v>406</v>
      </c>
      <c r="C363">
        <v>9324616732</v>
      </c>
      <c r="D363" t="str">
        <f>_xlfn.IFNA(VLOOKUP(C363,CallLog_Latest!A:H,7,FALSE),"Not Called")</f>
        <v>Not Called</v>
      </c>
      <c r="E363" t="str">
        <f>IF(ISNA(VLOOKUP(C363,Registration!A:A,1,FALSE)),"Not Registered","Registered")</f>
        <v>Not Registered</v>
      </c>
      <c r="F363">
        <f>VLOOKUP(A363,Sheet1!A:B,2,FALSE)</f>
        <v>9820216355</v>
      </c>
      <c r="G363" t="str">
        <f>_xlfn.IFNA(VLOOKUP(C363,CallLog_Latest!A:H,8,FALSE),"")</f>
        <v/>
      </c>
      <c r="H363" t="str">
        <f>VLOOKUP(C363,[1]Sheet1!$F:$H,3,FALSE)</f>
        <v>B-301 Shikhar Kunj Upper Govind Nagar Malad (E</v>
      </c>
    </row>
    <row r="364" spans="1:8" x14ac:dyDescent="0.25">
      <c r="A364" t="s">
        <v>55</v>
      </c>
      <c r="B364" t="s">
        <v>407</v>
      </c>
      <c r="C364">
        <v>7798729876</v>
      </c>
      <c r="D364" t="str">
        <f>_xlfn.IFNA(VLOOKUP(C364,CallLog_Latest!A:H,7,FALSE),"Not Called")</f>
        <v>Not Reachable</v>
      </c>
      <c r="E364" t="str">
        <f>IF(ISNA(VLOOKUP(C364,Registration!A:A,1,FALSE)),"Not Registered","Registered")</f>
        <v>Not Registered</v>
      </c>
      <c r="F364">
        <f>VLOOKUP(A364,Sheet1!A:B,2,FALSE)</f>
        <v>9819083540</v>
      </c>
      <c r="G364" t="str">
        <f>_xlfn.IFNA(VLOOKUP(C364,CallLog_Latest!A:H,8,FALSE),"")</f>
        <v>phone is with some other person</v>
      </c>
      <c r="H364" t="str">
        <f>VLOOKUP(C364,[1]Sheet1!$F:$H,3,FALSE)</f>
        <v>G-12a04  Raheja Heights Filmcity Road</v>
      </c>
    </row>
    <row r="365" spans="1:8" x14ac:dyDescent="0.25">
      <c r="A365" t="s">
        <v>57</v>
      </c>
      <c r="B365" t="s">
        <v>408</v>
      </c>
      <c r="C365">
        <v>8919841473</v>
      </c>
      <c r="D365" t="str">
        <f>_xlfn.IFNA(VLOOKUP(C365,CallLog_Latest!A:H,7,FALSE),"Not Called")</f>
        <v>Not Coming</v>
      </c>
      <c r="E365" t="str">
        <f>IF(ISNA(VLOOKUP(C365,Registration!A:A,1,FALSE)),"Not Registered","Registered")</f>
        <v>Not Registered</v>
      </c>
      <c r="F365">
        <f>VLOOKUP(A365,Sheet1!A:B,2,FALSE)</f>
        <v>9101910341</v>
      </c>
      <c r="G365" t="str">
        <f>_xlfn.IFNA(VLOOKUP(C365,CallLog_Latest!A:H,8,FALSE),"")</f>
        <v>Have a family function on same day</v>
      </c>
      <c r="H365" t="str">
        <f>VLOOKUP(C365,[1]Sheet1!$F:$H,3,FALSE)</f>
        <v>Sankalp Building No. 3, 801/802, Pimpripada, Gokuldham Market, Malad (E,</v>
      </c>
    </row>
    <row r="366" spans="1:8" x14ac:dyDescent="0.25">
      <c r="A366" t="s">
        <v>59</v>
      </c>
      <c r="B366" t="s">
        <v>409</v>
      </c>
      <c r="C366">
        <v>9029021191</v>
      </c>
      <c r="D366" t="str">
        <f>_xlfn.IFNA(VLOOKUP(C366,CallLog_Latest!A:H,7,FALSE),"Not Called")</f>
        <v>Not Called</v>
      </c>
      <c r="E366" t="str">
        <f>IF(ISNA(VLOOKUP(C366,Registration!A:A,1,FALSE)),"Not Registered","Registered")</f>
        <v>Not Registered</v>
      </c>
      <c r="F366">
        <f>VLOOKUP(A366,Sheet1!A:B,2,FALSE)</f>
        <v>9920121726</v>
      </c>
      <c r="G366" t="str">
        <f>_xlfn.IFNA(VLOOKUP(C366,CallLog_Latest!A:H,8,FALSE),"")</f>
        <v/>
      </c>
      <c r="H366" t="str">
        <f>VLOOKUP(C366,[1]Sheet1!$F:$H,3,FALSE)</f>
        <v>B2701 Kanakia Levels No.6, Rani Sati Marg Opp. Passport Office, Malad (E</v>
      </c>
    </row>
    <row r="367" spans="1:8" x14ac:dyDescent="0.25">
      <c r="A367" t="s">
        <v>61</v>
      </c>
      <c r="B367" t="s">
        <v>410</v>
      </c>
      <c r="C367">
        <v>9339057544</v>
      </c>
      <c r="D367" t="str">
        <f>_xlfn.IFNA(VLOOKUP(C367,CallLog_Latest!A:H,7,FALSE),"Not Called")</f>
        <v>Not Coming</v>
      </c>
      <c r="E367" t="str">
        <f>IF(ISNA(VLOOKUP(C367,Registration!A:A,1,FALSE)),"Not Registered","Registered")</f>
        <v>Not Registered</v>
      </c>
      <c r="F367">
        <f>VLOOKUP(A367,Sheet1!A:B,2,FALSE)</f>
        <v>9820779873</v>
      </c>
      <c r="G367" t="str">
        <f>_xlfn.IFNA(VLOOKUP(C367,CallLog_Latest!A:H,8,FALSE),"")</f>
        <v>Not in town</v>
      </c>
      <c r="H367" t="str">
        <f>VLOOKUP(C367,[1]Sheet1!$F:$H,3,FALSE)</f>
        <v>B-2701, Kanakia Levels, No.6, Rani Sati Marg, Opp. Passport Office, Malad (E,</v>
      </c>
    </row>
    <row r="368" spans="1:8" x14ac:dyDescent="0.25">
      <c r="A368" t="s">
        <v>63</v>
      </c>
      <c r="B368" t="s">
        <v>411</v>
      </c>
      <c r="C368">
        <v>9029946961</v>
      </c>
      <c r="D368" t="str">
        <f>_xlfn.IFNA(VLOOKUP(C368,CallLog_Latest!A:H,7,FALSE),"Not Called")</f>
        <v>Not Called</v>
      </c>
      <c r="E368" t="str">
        <f>IF(ISNA(VLOOKUP(C368,Registration!A:A,1,FALSE)),"Not Registered","Registered")</f>
        <v>Not Registered</v>
      </c>
      <c r="F368">
        <f>VLOOKUP(A368,Sheet1!A:B,2,FALSE)</f>
        <v>9930396709</v>
      </c>
      <c r="G368" t="str">
        <f>_xlfn.IFNA(VLOOKUP(C368,CallLog_Latest!A:H,8,FALSE),"")</f>
        <v/>
      </c>
      <c r="H368" t="str">
        <f>VLOOKUP(C368,[1]Sheet1!$F:$H,3,FALSE)</f>
        <v>101/A Meera Residency, Jitendra Road, Behind Ashoka Hospital, Malad (E</v>
      </c>
    </row>
    <row r="369" spans="1:8" x14ac:dyDescent="0.25">
      <c r="A369" t="s">
        <v>65</v>
      </c>
      <c r="B369" t="s">
        <v>412</v>
      </c>
      <c r="C369">
        <v>9054305911</v>
      </c>
      <c r="D369" t="str">
        <f>_xlfn.IFNA(VLOOKUP(C369,CallLog_Latest!A:H,7,FALSE),"Not Called")</f>
        <v>Not Called</v>
      </c>
      <c r="E369" t="str">
        <f>IF(ISNA(VLOOKUP(C369,Registration!A:A,1,FALSE)),"Not Registered","Registered")</f>
        <v>Not Registered</v>
      </c>
      <c r="F369">
        <f>VLOOKUP(A369,Sheet1!A:B,2,FALSE)</f>
        <v>7738892551</v>
      </c>
      <c r="G369" t="str">
        <f>_xlfn.IFNA(VLOOKUP(C369,CallLog_Latest!A:H,8,FALSE),"")</f>
        <v/>
      </c>
      <c r="H369" t="str">
        <f>VLOOKUP(C369,[1]Sheet1!$F:$H,3,FALSE)</f>
        <v>Flat No. 1004, D-Wing , Upper East 97  Upper Govind Nagar, Behind Poddar School, Kailash Puri Road, Malad (E</v>
      </c>
    </row>
    <row r="370" spans="1:8" x14ac:dyDescent="0.25">
      <c r="A370" t="s">
        <v>67</v>
      </c>
      <c r="B370" t="s">
        <v>413</v>
      </c>
      <c r="C370">
        <v>9892334018</v>
      </c>
      <c r="D370" t="str">
        <f>_xlfn.IFNA(VLOOKUP(C370,CallLog_Latest!A:H,7,FALSE),"Not Called")</f>
        <v>Not Called</v>
      </c>
      <c r="E370" t="str">
        <f>IF(ISNA(VLOOKUP(C370,Registration!A:A,1,FALSE)),"Not Registered","Registered")</f>
        <v>Not Registered</v>
      </c>
      <c r="F370">
        <f>VLOOKUP(A370,Sheet1!A:B,2,FALSE)</f>
        <v>9820251565</v>
      </c>
      <c r="G370" t="str">
        <f>_xlfn.IFNA(VLOOKUP(C370,CallLog_Latest!A:H,8,FALSE),"")</f>
        <v/>
      </c>
      <c r="H370" t="str">
        <f>VLOOKUP(C370,[1]Sheet1!$F:$H,3,FALSE)</f>
        <v>28/C  Malad Gaurav CHS Haji Bapu Road</v>
      </c>
    </row>
    <row r="371" spans="1:8" x14ac:dyDescent="0.25">
      <c r="A371" t="s">
        <v>69</v>
      </c>
      <c r="B371" t="s">
        <v>414</v>
      </c>
      <c r="C371">
        <v>9322889341</v>
      </c>
      <c r="D371" t="str">
        <f>_xlfn.IFNA(VLOOKUP(C371,CallLog_Latest!A:H,7,FALSE),"Not Called")</f>
        <v>Not Called</v>
      </c>
      <c r="E371" t="str">
        <f>IF(ISNA(VLOOKUP(C371,Registration!A:A,1,FALSE)),"Not Registered","Registered")</f>
        <v>Not Registered</v>
      </c>
      <c r="F371">
        <f>VLOOKUP(A371,Sheet1!A:B,2,FALSE)</f>
        <v>9968855475</v>
      </c>
      <c r="G371" t="str">
        <f>_xlfn.IFNA(VLOOKUP(C371,CallLog_Latest!A:H,8,FALSE),"")</f>
        <v/>
      </c>
      <c r="H371" t="str">
        <f>VLOOKUP(C371,[1]Sheet1!$F:$H,3,FALSE)</f>
        <v>Omkar Altamonte, Tower D, Flat No. 2802, Western Express Highway, Malad (East,</v>
      </c>
    </row>
    <row r="372" spans="1:8" x14ac:dyDescent="0.25">
      <c r="A372" t="s">
        <v>71</v>
      </c>
      <c r="B372" t="s">
        <v>415</v>
      </c>
      <c r="C372">
        <v>7738388091</v>
      </c>
      <c r="D372" t="str">
        <f>_xlfn.IFNA(VLOOKUP(C372,CallLog_Latest!A:H,7,FALSE),"Not Called")</f>
        <v>May be Attending</v>
      </c>
      <c r="E372" t="str">
        <f>IF(ISNA(VLOOKUP(C372,Registration!A:A,1,FALSE)),"Not Registered","Registered")</f>
        <v>Not Registered</v>
      </c>
      <c r="F372">
        <f>VLOOKUP(A372,Sheet1!A:B,2,FALSE)</f>
        <v>9405263833</v>
      </c>
      <c r="G372" t="str">
        <f>_xlfn.IFNA(VLOOKUP(C372,CallLog_Latest!A:H,8,FALSE),"")</f>
        <v>Will confirm soon</v>
      </c>
      <c r="H372" t="str">
        <f>VLOOKUP(C372,[1]Sheet1!$F:$H,3,FALSE)</f>
        <v>A/701  ABT Apartment  Rani Sati Marg  Near Navjivan High School  Malad (E</v>
      </c>
    </row>
    <row r="373" spans="1:8" x14ac:dyDescent="0.25">
      <c r="A373" t="s">
        <v>73</v>
      </c>
      <c r="B373" t="s">
        <v>416</v>
      </c>
      <c r="C373">
        <v>9324471438</v>
      </c>
      <c r="D373" t="str">
        <f>_xlfn.IFNA(VLOOKUP(C373,CallLog_Latest!A:H,7,FALSE),"Not Called")</f>
        <v>Not Reachable</v>
      </c>
      <c r="E373" t="str">
        <f>IF(ISNA(VLOOKUP(C373,Registration!A:A,1,FALSE)),"Not Registered","Registered")</f>
        <v>Not Registered</v>
      </c>
      <c r="F373">
        <f>VLOOKUP(A373,Sheet1!A:B,2,FALSE)</f>
        <v>8879433174</v>
      </c>
      <c r="G373">
        <f>_xlfn.IFNA(VLOOKUP(C373,CallLog_Latest!A:H,8,FALSE),"")</f>
        <v>0</v>
      </c>
      <c r="H373" t="str">
        <f>VLOOKUP(C373,[1]Sheet1!$F:$H,3,FALSE)</f>
        <v>3505-F-Residences, Raheja Complex   Near Times Of India Press  Off. W.E. Heighway Malad (E</v>
      </c>
    </row>
    <row r="374" spans="1:8" x14ac:dyDescent="0.25">
      <c r="A374" t="s">
        <v>75</v>
      </c>
      <c r="B374" t="s">
        <v>417</v>
      </c>
      <c r="C374">
        <v>9324724832</v>
      </c>
      <c r="D374" t="str">
        <f>_xlfn.IFNA(VLOOKUP(C374,CallLog_Latest!A:H,7,FALSE),"Not Called")</f>
        <v>Not Called</v>
      </c>
      <c r="E374" t="str">
        <f>IF(ISNA(VLOOKUP(C374,Registration!A:A,1,FALSE)),"Not Registered","Registered")</f>
        <v>Not Registered</v>
      </c>
      <c r="F374">
        <f>VLOOKUP(A374,Sheet1!A:B,2,FALSE)</f>
        <v>9993325021</v>
      </c>
      <c r="G374" t="str">
        <f>_xlfn.IFNA(VLOOKUP(C374,CallLog_Latest!A:H,8,FALSE),"")</f>
        <v/>
      </c>
      <c r="H374" t="str">
        <f>VLOOKUP(C374,[1]Sheet1!$F:$H,3,FALSE)</f>
        <v>C-3/26  Satsang Complex Upper Goving Nagar, Malad (E</v>
      </c>
    </row>
    <row r="375" spans="1:8" x14ac:dyDescent="0.25">
      <c r="A375" t="s">
        <v>12</v>
      </c>
      <c r="B375" t="s">
        <v>418</v>
      </c>
      <c r="C375">
        <v>9821084020</v>
      </c>
      <c r="D375" t="str">
        <f>_xlfn.IFNA(VLOOKUP(C375,CallLog_Latest!A:H,7,FALSE),"Not Called")</f>
        <v>Confirmed Presence</v>
      </c>
      <c r="E375" t="str">
        <f>IF(ISNA(VLOOKUP(C375,Registration!A:A,1,FALSE)),"Not Registered","Registered")</f>
        <v>Not Registered</v>
      </c>
      <c r="F375">
        <f>VLOOKUP(A375,Sheet1!A:B,2,FALSE)</f>
        <v>9820454734</v>
      </c>
      <c r="G375">
        <f>_xlfn.IFNA(VLOOKUP(C375,CallLog_Latest!A:H,8,FALSE),"")</f>
        <v>0</v>
      </c>
      <c r="H375" t="str">
        <f>VLOOKUP(C375,[1]Sheet1!$F:$H,3,FALSE)</f>
        <v>B-701  ABT APARTMETNS RANI SATI MARG, NEAR NAVJIVAN HIGH SCHOOL, MALAD EAST,</v>
      </c>
    </row>
    <row r="376" spans="1:8" x14ac:dyDescent="0.25">
      <c r="A376" t="s">
        <v>78</v>
      </c>
      <c r="B376" t="s">
        <v>419</v>
      </c>
      <c r="C376">
        <v>9920202022</v>
      </c>
      <c r="D376" t="str">
        <f>_xlfn.IFNA(VLOOKUP(C376,CallLog_Latest!A:H,7,FALSE),"Not Called")</f>
        <v>Not Coming</v>
      </c>
      <c r="E376" t="str">
        <f>IF(ISNA(VLOOKUP(C376,Registration!A:A,1,FALSE)),"Not Registered","Registered")</f>
        <v>Not Registered</v>
      </c>
      <c r="F376">
        <f>VLOOKUP(A376,Sheet1!A:B,2,FALSE)</f>
        <v>9029105124</v>
      </c>
      <c r="G376">
        <f>_xlfn.IFNA(VLOOKUP(C376,CallLog_Latest!A:H,8,FALSE),"")</f>
        <v>0</v>
      </c>
      <c r="H376" t="str">
        <f>VLOOKUP(C376,[1]Sheet1!$F:$H,3,FALSE)</f>
        <v>Satsang Complex, C-1/61  Upper Govind Nagar, Malad East</v>
      </c>
    </row>
    <row r="377" spans="1:8" x14ac:dyDescent="0.25">
      <c r="A377" t="s">
        <v>80</v>
      </c>
      <c r="B377" t="s">
        <v>420</v>
      </c>
      <c r="C377">
        <v>9867729331</v>
      </c>
      <c r="D377" t="str">
        <f>_xlfn.IFNA(VLOOKUP(C377,CallLog_Latest!A:H,7,FALSE),"Not Called")</f>
        <v>Not Called</v>
      </c>
      <c r="E377" t="str">
        <f>IF(ISNA(VLOOKUP(C377,Registration!A:A,1,FALSE)),"Not Registered","Registered")</f>
        <v>Not Registered</v>
      </c>
      <c r="F377">
        <f>VLOOKUP(A377,Sheet1!A:B,2,FALSE)</f>
        <v>9599704370</v>
      </c>
      <c r="G377" t="str">
        <f>_xlfn.IFNA(VLOOKUP(C377,CallLog_Latest!A:H,8,FALSE),"")</f>
        <v/>
      </c>
      <c r="H377" t="str">
        <f>VLOOKUP(C377,[1]Sheet1!$F:$H,3,FALSE)</f>
        <v>402 Shantivan 2 A Raheja Towasnp Malad (E Mumbai .</v>
      </c>
    </row>
    <row r="378" spans="1:8" x14ac:dyDescent="0.25">
      <c r="A378" t="s">
        <v>82</v>
      </c>
      <c r="B378" t="s">
        <v>421</v>
      </c>
      <c r="C378">
        <v>7045991852</v>
      </c>
      <c r="D378" t="str">
        <f>_xlfn.IFNA(VLOOKUP(C378,CallLog_Latest!A:H,7,FALSE),"Not Called")</f>
        <v>Maybe Attending 🤔</v>
      </c>
      <c r="E378" t="str">
        <f>IF(ISNA(VLOOKUP(C378,Registration!A:A,1,FALSE)),"Not Registered","Registered")</f>
        <v>Not Registered</v>
      </c>
      <c r="F378">
        <f>VLOOKUP(A378,Sheet1!A:B,2,FALSE)</f>
        <v>9824100412</v>
      </c>
      <c r="G378">
        <f>_xlfn.IFNA(VLOOKUP(C378,CallLog_Latest!A:H,8,FALSE),"")</f>
        <v>0</v>
      </c>
      <c r="H378" t="str">
        <f>VLOOKUP(C378,[1]Sheet1!$F:$H,3,FALSE)</f>
        <v>B-101  Prakash Apartment Navjeevan High School Road  Off Rani Sati Marg</v>
      </c>
    </row>
    <row r="379" spans="1:8" x14ac:dyDescent="0.25">
      <c r="A379" t="s">
        <v>84</v>
      </c>
      <c r="B379" t="s">
        <v>422</v>
      </c>
      <c r="C379">
        <v>9923332469</v>
      </c>
      <c r="D379" t="str">
        <f>_xlfn.IFNA(VLOOKUP(C379,CallLog_Latest!A:H,7,FALSE),"Not Called")</f>
        <v>Not Coming</v>
      </c>
      <c r="E379" t="str">
        <f>IF(ISNA(VLOOKUP(C379,Registration!A:A,1,FALSE)),"Not Registered","Registered")</f>
        <v>Not Registered</v>
      </c>
      <c r="F379">
        <f>VLOOKUP(A379,Sheet1!A:B,2,FALSE)</f>
        <v>9225211083</v>
      </c>
      <c r="G379" t="str">
        <f>_xlfn.IFNA(VLOOKUP(C379,CallLog_Latest!A:H,8,FALSE),"")</f>
        <v>Shifted to Pune</v>
      </c>
      <c r="H379" t="str">
        <f>VLOOKUP(C379,[1]Sheet1!$F:$H,3,FALSE)</f>
        <v>Flat No.7  Prateek Building Nivetia Road</v>
      </c>
    </row>
    <row r="380" spans="1:8" x14ac:dyDescent="0.25">
      <c r="A380" t="s">
        <v>86</v>
      </c>
      <c r="B380" t="s">
        <v>423</v>
      </c>
      <c r="C380">
        <v>9320848710</v>
      </c>
      <c r="D380" t="str">
        <f>_xlfn.IFNA(VLOOKUP(C380,CallLog_Latest!A:H,7,FALSE),"Not Called")</f>
        <v>Not Called</v>
      </c>
      <c r="E380" t="str">
        <f>IF(ISNA(VLOOKUP(C380,Registration!A:A,1,FALSE)),"Not Registered","Registered")</f>
        <v>Not Registered</v>
      </c>
      <c r="F380">
        <f>VLOOKUP(A380,Sheet1!A:B,2,FALSE)</f>
        <v>9930252076</v>
      </c>
      <c r="G380" t="str">
        <f>_xlfn.IFNA(VLOOKUP(C380,CallLog_Latest!A:H,8,FALSE),"")</f>
        <v/>
      </c>
      <c r="H380" t="str">
        <f>VLOOKUP(C380,[1]Sheet1!$F:$H,3,FALSE)</f>
        <v>2301/B Wing, Kanakia Levels, Rani Sati Marg, Opp. Passport Office, Malad (E,</v>
      </c>
    </row>
    <row r="381" spans="1:8" x14ac:dyDescent="0.25">
      <c r="A381" t="s">
        <v>88</v>
      </c>
      <c r="B381" t="s">
        <v>424</v>
      </c>
      <c r="C381">
        <v>9324842860</v>
      </c>
      <c r="D381" t="str">
        <f>_xlfn.IFNA(VLOOKUP(C381,CallLog_Latest!A:H,7,FALSE),"Not Called")</f>
        <v>Not Called</v>
      </c>
      <c r="E381" t="str">
        <f>IF(ISNA(VLOOKUP(C381,Registration!A:A,1,FALSE)),"Not Registered","Registered")</f>
        <v>Not Registered</v>
      </c>
      <c r="F381">
        <f>VLOOKUP(A381,Sheet1!A:B,2,FALSE)</f>
        <v>9661270782</v>
      </c>
      <c r="G381" t="str">
        <f>_xlfn.IFNA(VLOOKUP(C381,CallLog_Latest!A:H,8,FALSE),"")</f>
        <v/>
      </c>
      <c r="H381" t="str">
        <f>VLOOKUP(C381,[1]Sheet1!$F:$H,3,FALSE)</f>
        <v>Flat No.7.Prateek Bldg  Nivetia Road</v>
      </c>
    </row>
    <row r="382" spans="1:8" x14ac:dyDescent="0.25">
      <c r="A382" t="s">
        <v>90</v>
      </c>
      <c r="B382" t="s">
        <v>425</v>
      </c>
      <c r="C382">
        <v>9930070116</v>
      </c>
      <c r="D382" t="str">
        <f>_xlfn.IFNA(VLOOKUP(C382,CallLog_Latest!A:H,7,FALSE),"Not Called")</f>
        <v>Not Called</v>
      </c>
      <c r="E382" t="str">
        <f>IF(ISNA(VLOOKUP(C382,Registration!A:A,1,FALSE)),"Not Registered","Registered")</f>
        <v>Not Registered</v>
      </c>
      <c r="F382">
        <f>VLOOKUP(A382,Sheet1!A:B,2,FALSE)</f>
        <v>9819128389</v>
      </c>
      <c r="G382" t="str">
        <f>_xlfn.IFNA(VLOOKUP(C382,CallLog_Latest!A:H,8,FALSE),"")</f>
        <v/>
      </c>
      <c r="H382" t="str">
        <f>VLOOKUP(C382,[1]Sheet1!$F:$H,3,FALSE)</f>
        <v>Panchsheel 4 Chsl. Flat No. B/107 Raheja Township Malad (E</v>
      </c>
    </row>
    <row r="383" spans="1:8" x14ac:dyDescent="0.25">
      <c r="A383" t="s">
        <v>92</v>
      </c>
      <c r="B383" t="s">
        <v>426</v>
      </c>
      <c r="C383">
        <v>9867399567</v>
      </c>
      <c r="D383" t="str">
        <f>_xlfn.IFNA(VLOOKUP(C383,CallLog_Latest!A:H,7,FALSE),"Not Called")</f>
        <v>Not Called</v>
      </c>
      <c r="E383" t="str">
        <f>IF(ISNA(VLOOKUP(C383,Registration!A:A,1,FALSE)),"Not Registered","Registered")</f>
        <v>Not Registered</v>
      </c>
      <c r="F383">
        <f>VLOOKUP(A383,Sheet1!A:B,2,FALSE)</f>
        <v>8268665777</v>
      </c>
      <c r="G383" t="str">
        <f>_xlfn.IFNA(VLOOKUP(C383,CallLog_Latest!A:H,8,FALSE),"")</f>
        <v/>
      </c>
      <c r="H383" t="str">
        <f>VLOOKUP(C383,[1]Sheet1!$F:$H,3,FALSE)</f>
        <v>Vraj Nirmal Apartment, Flat No. 302, Rani Sati Marg, Near Navjeevan High School, Malad (E</v>
      </c>
    </row>
    <row r="384" spans="1:8" x14ac:dyDescent="0.25">
      <c r="A384" t="s">
        <v>94</v>
      </c>
      <c r="B384" t="s">
        <v>427</v>
      </c>
      <c r="C384">
        <v>9892320956</v>
      </c>
      <c r="D384" t="str">
        <f>_xlfn.IFNA(VLOOKUP(C384,CallLog_Latest!A:H,7,FALSE),"Not Called")</f>
        <v>Not Called</v>
      </c>
      <c r="E384" t="str">
        <f>IF(ISNA(VLOOKUP(C384,Registration!A:A,1,FALSE)),"Not Registered","Registered")</f>
        <v>Not Registered</v>
      </c>
      <c r="F384">
        <f>VLOOKUP(A384,Sheet1!A:B,2,FALSE)</f>
        <v>9920085455</v>
      </c>
      <c r="G384" t="str">
        <f>_xlfn.IFNA(VLOOKUP(C384,CallLog_Latest!A:H,8,FALSE),"")</f>
        <v/>
      </c>
      <c r="H384" t="str">
        <f>VLOOKUP(C384,[1]Sheet1!$F:$H,3,FALSE)</f>
        <v>Vraj Nirmal Apartment, Flat No. 301, Rani Sati Marg, Near Navjeevan High School, Malad (E</v>
      </c>
    </row>
    <row r="385" spans="1:8" x14ac:dyDescent="0.25">
      <c r="A385" t="s">
        <v>96</v>
      </c>
      <c r="B385" t="s">
        <v>428</v>
      </c>
      <c r="C385">
        <v>9322210725</v>
      </c>
      <c r="D385" t="str">
        <f>_xlfn.IFNA(VLOOKUP(C385,CallLog_Latest!A:H,7,FALSE),"Not Called")</f>
        <v>Not Coming</v>
      </c>
      <c r="E385" t="str">
        <f>IF(ISNA(VLOOKUP(C385,Registration!A:A,1,FALSE)),"Not Registered","Registered")</f>
        <v>Not Registered</v>
      </c>
      <c r="F385">
        <f>VLOOKUP(A385,Sheet1!A:B,2,FALSE)</f>
        <v>9424584007</v>
      </c>
      <c r="G385" t="str">
        <f>_xlfn.IFNA(VLOOKUP(C385,CallLog_Latest!A:H,8,FALSE),"")</f>
        <v>Death at home in last 5 days</v>
      </c>
      <c r="H385" t="str">
        <f>VLOOKUP(C385,[1]Sheet1!$F:$H,3,FALSE)</f>
        <v>F-Residence, Flat No. 908,9th Floor Raheja Complex Road, Malad (E</v>
      </c>
    </row>
    <row r="386" spans="1:8" x14ac:dyDescent="0.25">
      <c r="A386" t="s">
        <v>3</v>
      </c>
      <c r="B386" t="s">
        <v>429</v>
      </c>
      <c r="C386">
        <v>9819802848</v>
      </c>
      <c r="D386" t="str">
        <f>_xlfn.IFNA(VLOOKUP(C386,CallLog_Latest!A:H,7,FALSE),"Not Called")</f>
        <v>Not Called</v>
      </c>
      <c r="E386" t="str">
        <f>IF(ISNA(VLOOKUP(C386,Registration!A:A,1,FALSE)),"Not Registered","Registered")</f>
        <v>Not Registered</v>
      </c>
      <c r="F386">
        <f>VLOOKUP(A386,Sheet1!A:B,2,FALSE)</f>
        <v>9326379737</v>
      </c>
      <c r="G386" t="str">
        <f>_xlfn.IFNA(VLOOKUP(C386,CallLog_Latest!A:H,8,FALSE),"")</f>
        <v/>
      </c>
      <c r="H386" t="str">
        <f>VLOOKUP(C386,[1]Sheet1!$F:$H,3,FALSE)</f>
        <v>Flat No.1903  Tower No-4 Raheja Tipko Heights  Rani Sati Marg, Malad (E</v>
      </c>
    </row>
    <row r="387" spans="1:8" x14ac:dyDescent="0.25">
      <c r="A387" t="s">
        <v>5</v>
      </c>
      <c r="B387" t="s">
        <v>430</v>
      </c>
      <c r="C387">
        <v>9821384949</v>
      </c>
      <c r="D387" t="str">
        <f>_xlfn.IFNA(VLOOKUP(C387,CallLog_Latest!A:H,7,FALSE),"Not Called")</f>
        <v>Not Called</v>
      </c>
      <c r="E387" t="str">
        <f>IF(ISNA(VLOOKUP(C387,Registration!A:A,1,FALSE)),"Not Registered","Registered")</f>
        <v>Not Registered</v>
      </c>
      <c r="F387">
        <f>VLOOKUP(A387,Sheet1!A:B,2,FALSE)</f>
        <v>9323541634</v>
      </c>
      <c r="G387" t="str">
        <f>_xlfn.IFNA(VLOOKUP(C387,CallLog_Latest!A:H,8,FALSE),"")</f>
        <v/>
      </c>
      <c r="H387" t="str">
        <f>VLOOKUP(C387,[1]Sheet1!$F:$H,3,FALSE)</f>
        <v>Indraprastha bldg 1 C 109 Jitendra Road opp ashoka hospital Malad East</v>
      </c>
    </row>
    <row r="388" spans="1:8" x14ac:dyDescent="0.25">
      <c r="A388" t="s">
        <v>7</v>
      </c>
      <c r="B388" t="s">
        <v>431</v>
      </c>
      <c r="C388">
        <v>9324281631</v>
      </c>
      <c r="D388" t="str">
        <f>_xlfn.IFNA(VLOOKUP(C388,CallLog_Latest!A:H,7,FALSE),"Not Called")</f>
        <v>Not Called</v>
      </c>
      <c r="E388" t="str">
        <f>IF(ISNA(VLOOKUP(C388,Registration!A:A,1,FALSE)),"Not Registered","Registered")</f>
        <v>Not Registered</v>
      </c>
      <c r="F388">
        <f>VLOOKUP(A388,Sheet1!A:B,2,FALSE)</f>
        <v>9867015031</v>
      </c>
      <c r="G388" t="str">
        <f>_xlfn.IFNA(VLOOKUP(C388,CallLog_Latest!A:H,8,FALSE),"")</f>
        <v/>
      </c>
      <c r="H388" t="str">
        <f>VLOOKUP(C388,[1]Sheet1!$F:$H,3,FALSE)</f>
        <v>Ashok Madhwan Housing Society Malad (E</v>
      </c>
    </row>
    <row r="389" spans="1:8" x14ac:dyDescent="0.25">
      <c r="A389" t="s">
        <v>9</v>
      </c>
      <c r="B389" t="s">
        <v>432</v>
      </c>
      <c r="C389">
        <v>8286222999</v>
      </c>
      <c r="D389" t="str">
        <f>_xlfn.IFNA(VLOOKUP(C389,CallLog_Latest!A:H,7,FALSE),"Not Called")</f>
        <v>Not Called</v>
      </c>
      <c r="E389" t="str">
        <f>IF(ISNA(VLOOKUP(C389,Registration!A:A,1,FALSE)),"Not Registered","Registered")</f>
        <v>Not Registered</v>
      </c>
      <c r="F389">
        <f>VLOOKUP(A389,Sheet1!A:B,2,FALSE)</f>
        <v>9821268271</v>
      </c>
      <c r="G389" t="str">
        <f>_xlfn.IFNA(VLOOKUP(C389,CallLog_Latest!A:H,8,FALSE),"")</f>
        <v/>
      </c>
      <c r="H389" t="str">
        <f>VLOOKUP(C389,[1]Sheet1!$F:$H,3,FALSE)</f>
        <v>2101, Skyvilla Apartment,  Dindoshi, Malad</v>
      </c>
    </row>
    <row r="390" spans="1:8" x14ac:dyDescent="0.25">
      <c r="A390" t="s">
        <v>11</v>
      </c>
      <c r="B390" t="s">
        <v>433</v>
      </c>
      <c r="C390">
        <v>9987753824</v>
      </c>
      <c r="D390" t="str">
        <f>_xlfn.IFNA(VLOOKUP(C390,CallLog_Latest!A:H,7,FALSE),"Not Called")</f>
        <v>Not Called</v>
      </c>
      <c r="E390" t="str">
        <f>IF(ISNA(VLOOKUP(C390,Registration!A:A,1,FALSE)),"Not Registered","Registered")</f>
        <v>Not Registered</v>
      </c>
      <c r="F390">
        <f>VLOOKUP(A390,Sheet1!A:B,2,FALSE)</f>
        <v>9322598681</v>
      </c>
      <c r="G390" t="str">
        <f>_xlfn.IFNA(VLOOKUP(C390,CallLog_Latest!A:H,8,FALSE),"")</f>
        <v/>
      </c>
      <c r="H390" t="str">
        <f>VLOOKUP(C390,[1]Sheet1!$F:$H,3,FALSE)</f>
        <v>A-1302  Rizvi Oak  Raheja Complex Nr. Times of India, Malad East</v>
      </c>
    </row>
    <row r="391" spans="1:8" x14ac:dyDescent="0.25">
      <c r="A391" t="s">
        <v>13</v>
      </c>
      <c r="B391" t="s">
        <v>434</v>
      </c>
      <c r="C391">
        <v>9819069016</v>
      </c>
      <c r="D391" t="str">
        <f>_xlfn.IFNA(VLOOKUP(C391,CallLog_Latest!A:H,7,FALSE),"Not Called")</f>
        <v>Not Called</v>
      </c>
      <c r="E391" t="str">
        <f>IF(ISNA(VLOOKUP(C391,Registration!A:A,1,FALSE)),"Not Registered","Registered")</f>
        <v>Not Registered</v>
      </c>
      <c r="F391">
        <f>VLOOKUP(A391,Sheet1!A:B,2,FALSE)</f>
        <v>9969403870</v>
      </c>
      <c r="G391" t="str">
        <f>_xlfn.IFNA(VLOOKUP(C391,CallLog_Latest!A:H,8,FALSE),"")</f>
        <v/>
      </c>
      <c r="H391" t="str">
        <f>VLOOKUP(C391,[1]Sheet1!$F:$H,3,FALSE)</f>
        <v>305 Ajay Apartment Bachani Nagar Malad (East Mumbai .</v>
      </c>
    </row>
    <row r="392" spans="1:8" x14ac:dyDescent="0.25">
      <c r="A392" t="s">
        <v>15</v>
      </c>
      <c r="B392" t="s">
        <v>435</v>
      </c>
      <c r="C392">
        <v>9323483204</v>
      </c>
      <c r="D392" t="str">
        <f>_xlfn.IFNA(VLOOKUP(C392,CallLog_Latest!A:H,7,FALSE),"Not Called")</f>
        <v>Not Called</v>
      </c>
      <c r="E392" t="str">
        <f>IF(ISNA(VLOOKUP(C392,Registration!A:A,1,FALSE)),"Not Registered","Registered")</f>
        <v>Not Registered</v>
      </c>
      <c r="F392">
        <f>VLOOKUP(A392,Sheet1!A:B,2,FALSE)</f>
        <v>9892726278</v>
      </c>
      <c r="G392" t="str">
        <f>_xlfn.IFNA(VLOOKUP(C392,CallLog_Latest!A:H,8,FALSE),"")</f>
        <v/>
      </c>
      <c r="H392" t="str">
        <f>VLOOKUP(C392,[1]Sheet1!$F:$H,3,FALSE)</f>
        <v>405 Sumit Pramukh Enclave CHS LTD Bachani nagar road off daftary road Malad East</v>
      </c>
    </row>
    <row r="393" spans="1:8" x14ac:dyDescent="0.25">
      <c r="A393" t="s">
        <v>17</v>
      </c>
      <c r="B393" t="s">
        <v>436</v>
      </c>
      <c r="C393">
        <v>9370518000</v>
      </c>
      <c r="D393" t="str">
        <f>_xlfn.IFNA(VLOOKUP(C393,CallLog_Latest!A:H,7,FALSE),"Not Called")</f>
        <v>Confirmed Presence ✅</v>
      </c>
      <c r="E393" t="str">
        <f>IF(ISNA(VLOOKUP(C393,Registration!A:A,1,FALSE)),"Not Registered","Registered")</f>
        <v>Not Registered</v>
      </c>
      <c r="F393">
        <f>VLOOKUP(A393,Sheet1!A:B,2,FALSE)</f>
        <v>9869798705</v>
      </c>
      <c r="G393" t="str">
        <f>_xlfn.IFNA(VLOOKUP(C393,CallLog_Latest!A:H,8,FALSE),"")</f>
        <v>Yugalji mobile no. Changed</v>
      </c>
      <c r="H393" t="str">
        <f>VLOOKUP(C393,[1]Sheet1!$F:$H,3,FALSE)</f>
        <v>B-1403  SHAHARCADE-II  RANI SATI MARG  NEAR WESTERN EXPRESS HIGHWAY</v>
      </c>
    </row>
    <row r="394" spans="1:8" x14ac:dyDescent="0.25">
      <c r="A394" t="s">
        <v>19</v>
      </c>
      <c r="B394" t="s">
        <v>437</v>
      </c>
      <c r="C394">
        <v>9870190991</v>
      </c>
      <c r="D394" t="str">
        <f>_xlfn.IFNA(VLOOKUP(C394,CallLog_Latest!A:H,7,FALSE),"Not Called")</f>
        <v>Not Called</v>
      </c>
      <c r="E394" t="str">
        <f>IF(ISNA(VLOOKUP(C394,Registration!A:A,1,FALSE)),"Not Registered","Registered")</f>
        <v>Not Registered</v>
      </c>
      <c r="F394">
        <f>VLOOKUP(A394,Sheet1!A:B,2,FALSE)</f>
        <v>9820265640</v>
      </c>
      <c r="G394" t="str">
        <f>_xlfn.IFNA(VLOOKUP(C394,CallLog_Latest!A:H,8,FALSE),"")</f>
        <v/>
      </c>
      <c r="H394" t="str">
        <f>VLOOKUP(C394,[1]Sheet1!$F:$H,3,FALSE)</f>
        <v>Flat no. 1404  A-Wing  Shikhar Kunj Upper Govind Nagar</v>
      </c>
    </row>
    <row r="395" spans="1:8" x14ac:dyDescent="0.25">
      <c r="A395" t="s">
        <v>21</v>
      </c>
      <c r="B395" t="s">
        <v>438</v>
      </c>
      <c r="C395">
        <v>9322329791</v>
      </c>
      <c r="D395" t="str">
        <f>_xlfn.IFNA(VLOOKUP(C395,CallLog_Latest!A:H,7,FALSE),"Not Called")</f>
        <v>Not Called</v>
      </c>
      <c r="E395" t="str">
        <f>IF(ISNA(VLOOKUP(C395,Registration!A:A,1,FALSE)),"Not Registered","Registered")</f>
        <v>Not Registered</v>
      </c>
      <c r="F395">
        <f>VLOOKUP(A395,Sheet1!A:B,2,FALSE)</f>
        <v>9820636392</v>
      </c>
      <c r="G395" t="str">
        <f>_xlfn.IFNA(VLOOKUP(C395,CallLog_Latest!A:H,8,FALSE),"")</f>
        <v/>
      </c>
      <c r="H395" t="str">
        <f>VLOOKUP(C395,[1]Sheet1!$F:$H,3,FALSE)</f>
        <v>Td/1512 Upvan Tower Upper Govind Nagar</v>
      </c>
    </row>
    <row r="396" spans="1:8" x14ac:dyDescent="0.25">
      <c r="A396" t="s">
        <v>23</v>
      </c>
      <c r="B396" t="s">
        <v>7</v>
      </c>
      <c r="C396">
        <v>9867015031</v>
      </c>
      <c r="D396" t="str">
        <f>_xlfn.IFNA(VLOOKUP(C396,CallLog_Latest!A:H,7,FALSE),"Not Called")</f>
        <v>Not Called</v>
      </c>
      <c r="E396" t="str">
        <f>IF(ISNA(VLOOKUP(C396,Registration!A:A,1,FALSE)),"Not Registered","Registered")</f>
        <v>Not Registered</v>
      </c>
      <c r="F396">
        <f>VLOOKUP(A396,Sheet1!A:B,2,FALSE)</f>
        <v>7977439717</v>
      </c>
      <c r="G396" t="str">
        <f>_xlfn.IFNA(VLOOKUP(C396,CallLog_Latest!A:H,8,FALSE),"")</f>
        <v/>
      </c>
      <c r="H396" t="str">
        <f>VLOOKUP(C396,[1]Sheet1!$F:$H,3,FALSE)</f>
        <v>C -1507  Omkar Altamonte  Kurar Village   Malad (E</v>
      </c>
    </row>
    <row r="397" spans="1:8" x14ac:dyDescent="0.25">
      <c r="A397" t="s">
        <v>25</v>
      </c>
      <c r="B397" t="s">
        <v>439</v>
      </c>
      <c r="C397">
        <v>9819235555</v>
      </c>
      <c r="D397" t="str">
        <f>_xlfn.IFNA(VLOOKUP(C397,CallLog_Latest!A:H,7,FALSE),"Not Called")</f>
        <v>Not Called</v>
      </c>
      <c r="E397" t="str">
        <f>IF(ISNA(VLOOKUP(C397,Registration!A:A,1,FALSE)),"Not Registered","Registered")</f>
        <v>Not Registered</v>
      </c>
      <c r="F397">
        <f>VLOOKUP(A397,Sheet1!A:B,2,FALSE)</f>
        <v>9967045520</v>
      </c>
      <c r="G397" t="str">
        <f>_xlfn.IFNA(VLOOKUP(C397,CallLog_Latest!A:H,8,FALSE),"")</f>
        <v/>
      </c>
      <c r="H397" t="str">
        <f>VLOOKUP(C397,[1]Sheet1!$F:$H,3,FALSE)</f>
        <v>1404 Satsang Tower Upper Govind Nagar</v>
      </c>
    </row>
    <row r="398" spans="1:8" x14ac:dyDescent="0.25">
      <c r="A398" t="s">
        <v>27</v>
      </c>
      <c r="B398" t="s">
        <v>440</v>
      </c>
      <c r="C398">
        <v>9870403322</v>
      </c>
      <c r="D398" t="str">
        <f>_xlfn.IFNA(VLOOKUP(C398,CallLog_Latest!A:H,7,FALSE),"Not Called")</f>
        <v>Not Called</v>
      </c>
      <c r="E398" t="str">
        <f>IF(ISNA(VLOOKUP(C398,Registration!A:A,1,FALSE)),"Not Registered","Registered")</f>
        <v>Not Registered</v>
      </c>
      <c r="F398">
        <f>VLOOKUP(A398,Sheet1!A:B,2,FALSE)</f>
        <v>9820075931</v>
      </c>
      <c r="G398" t="str">
        <f>_xlfn.IFNA(VLOOKUP(C398,CallLog_Latest!A:H,8,FALSE),"")</f>
        <v/>
      </c>
      <c r="H398" t="str">
        <f>VLOOKUP(C398,[1]Sheet1!$F:$H,3,FALSE)</f>
        <v>1404  Satsang Tower Upper Govind Nagar</v>
      </c>
    </row>
    <row r="399" spans="1:8" x14ac:dyDescent="0.25">
      <c r="A399" t="s">
        <v>29</v>
      </c>
      <c r="B399" t="s">
        <v>441</v>
      </c>
      <c r="C399">
        <v>9867319071</v>
      </c>
      <c r="D399" t="str">
        <f>_xlfn.IFNA(VLOOKUP(C399,CallLog_Latest!A:H,7,FALSE),"Not Called")</f>
        <v>Not Coming</v>
      </c>
      <c r="E399" t="str">
        <f>IF(ISNA(VLOOKUP(C399,Registration!A:A,1,FALSE)),"Not Registered","Registered")</f>
        <v>Not Registered</v>
      </c>
      <c r="F399">
        <f>VLOOKUP(A399,Sheet1!A:B,2,FALSE)</f>
        <v>9819364345</v>
      </c>
      <c r="G399" t="str">
        <f>_xlfn.IFNA(VLOOKUP(C399,CallLog_Latest!A:H,8,FALSE),"")</f>
        <v>Wrong number</v>
      </c>
      <c r="H399" t="str">
        <f>VLOOKUP(C399,[1]Sheet1!$F:$H,3,FALSE)</f>
        <v>Aram Bunglow  Govind Nagar Behind Ambe Mata Temple, Malad (E</v>
      </c>
    </row>
    <row r="400" spans="1:8" x14ac:dyDescent="0.25">
      <c r="A400" t="s">
        <v>31</v>
      </c>
      <c r="B400" t="s">
        <v>442</v>
      </c>
      <c r="C400">
        <v>9892879893</v>
      </c>
      <c r="D400" t="str">
        <f>_xlfn.IFNA(VLOOKUP(C400,CallLog_Latest!A:H,7,FALSE),"Not Called")</f>
        <v>Not Reachable</v>
      </c>
      <c r="E400" t="str">
        <f>IF(ISNA(VLOOKUP(C400,Registration!A:A,1,FALSE)),"Not Registered","Registered")</f>
        <v>Not Registered</v>
      </c>
      <c r="F400">
        <f>VLOOKUP(A400,Sheet1!A:B,2,FALSE)</f>
        <v>9869064553</v>
      </c>
      <c r="G400">
        <f>_xlfn.IFNA(VLOOKUP(C400,CallLog_Latest!A:H,8,FALSE),"")</f>
        <v>0</v>
      </c>
      <c r="H400" t="str">
        <f>VLOOKUP(C400,[1]Sheet1!$F:$H,3,FALSE)</f>
        <v>Aram Bunglow  Govind Nagar Behind Ambe Mata Temple</v>
      </c>
    </row>
    <row r="401" spans="1:8" x14ac:dyDescent="0.25">
      <c r="A401" t="s">
        <v>33</v>
      </c>
      <c r="B401" t="s">
        <v>443</v>
      </c>
      <c r="C401">
        <v>9819578232</v>
      </c>
      <c r="D401" t="str">
        <f>_xlfn.IFNA(VLOOKUP(C401,CallLog_Latest!A:H,7,FALSE),"Not Called")</f>
        <v>Confirmed Presence</v>
      </c>
      <c r="E401" t="str">
        <f>IF(ISNA(VLOOKUP(C401,Registration!A:A,1,FALSE)),"Not Registered","Registered")</f>
        <v>Not Registered</v>
      </c>
      <c r="F401">
        <f>VLOOKUP(A401,Sheet1!A:B,2,FALSE)</f>
        <v>9930070116</v>
      </c>
      <c r="G401" t="str">
        <f>_xlfn.IFNA(VLOOKUP(C401,CallLog_Latest!A:H,8,FALSE),"")</f>
        <v>3 member ll join</v>
      </c>
      <c r="H401" t="str">
        <f>VLOOKUP(C401,[1]Sheet1!$F:$H,3,FALSE)</f>
        <v>Aram Bunglow  Govind Nagar Behind Ambe Mata Temple  Ground Floor, Opp. Vishwa Bldg, Malad (E</v>
      </c>
    </row>
    <row r="402" spans="1:8" x14ac:dyDescent="0.25">
      <c r="A402" t="s">
        <v>35</v>
      </c>
      <c r="B402" t="s">
        <v>444</v>
      </c>
      <c r="C402">
        <v>9820149837</v>
      </c>
      <c r="D402" t="str">
        <f>_xlfn.IFNA(VLOOKUP(C402,CallLog_Latest!A:H,7,FALSE),"Not Called")</f>
        <v>Not Coming 🚫</v>
      </c>
      <c r="E402" t="str">
        <f>IF(ISNA(VLOOKUP(C402,Registration!A:A,1,FALSE)),"Not Registered","Registered")</f>
        <v>Not Registered</v>
      </c>
      <c r="F402">
        <f>VLOOKUP(A402,Sheet1!A:B,2,FALSE)</f>
        <v>9833705425</v>
      </c>
      <c r="G402" t="str">
        <f>_xlfn.IFNA(VLOOKUP(C402,CallLog_Latest!A:H,8,FALSE),"")</f>
        <v>Travelling</v>
      </c>
      <c r="H402" t="str">
        <f>VLOOKUP(C402,[1]Sheet1!$F:$H,3,FALSE)</f>
        <v>A/1503  Rizvi Oak CHS. Behind Times of India  Western Highway</v>
      </c>
    </row>
    <row r="403" spans="1:8" x14ac:dyDescent="0.25">
      <c r="A403" t="s">
        <v>37</v>
      </c>
      <c r="B403" t="s">
        <v>445</v>
      </c>
      <c r="C403">
        <v>9987558005</v>
      </c>
      <c r="D403" t="str">
        <f>_xlfn.IFNA(VLOOKUP(C403,CallLog_Latest!A:H,7,FALSE),"Not Called")</f>
        <v>Not Called</v>
      </c>
      <c r="E403" t="str">
        <f>IF(ISNA(VLOOKUP(C403,Registration!A:A,1,FALSE)),"Not Registered","Registered")</f>
        <v>Not Registered</v>
      </c>
      <c r="F403">
        <f>VLOOKUP(A403,Sheet1!A:B,2,FALSE)</f>
        <v>9167390835</v>
      </c>
      <c r="G403" t="str">
        <f>_xlfn.IFNA(VLOOKUP(C403,CallLog_Latest!A:H,8,FALSE),"")</f>
        <v/>
      </c>
      <c r="H403" t="str">
        <f>VLOOKUP(C403,[1]Sheet1!$F:$H,3,FALSE)</f>
        <v>B/1801  Rizvi Oak Behind Times of India  Western Highway</v>
      </c>
    </row>
    <row r="404" spans="1:8" x14ac:dyDescent="0.25">
      <c r="A404" t="s">
        <v>39</v>
      </c>
      <c r="B404" t="s">
        <v>446</v>
      </c>
      <c r="C404">
        <v>8879542525</v>
      </c>
      <c r="D404" t="str">
        <f>_xlfn.IFNA(VLOOKUP(C404,CallLog_Latest!A:H,7,FALSE),"Not Called")</f>
        <v>Not Called</v>
      </c>
      <c r="E404" t="str">
        <f>IF(ISNA(VLOOKUP(C404,Registration!A:A,1,FALSE)),"Not Registered","Registered")</f>
        <v>Not Registered</v>
      </c>
      <c r="F404">
        <f>VLOOKUP(A404,Sheet1!A:B,2,FALSE)</f>
        <v>9820505363</v>
      </c>
      <c r="G404" t="str">
        <f>_xlfn.IFNA(VLOOKUP(C404,CallLog_Latest!A:H,8,FALSE),"")</f>
        <v/>
      </c>
      <c r="H404" t="str">
        <f>VLOOKUP(C404,[1]Sheet1!$F:$H,3,FALSE)</f>
        <v>Kalsaria Apartment, 501 Upper Govind Nagar, Opp. Shikhar Kunj, Malad (E</v>
      </c>
    </row>
    <row r="405" spans="1:8" x14ac:dyDescent="0.25">
      <c r="A405" t="s">
        <v>41</v>
      </c>
      <c r="B405" t="s">
        <v>447</v>
      </c>
      <c r="C405">
        <v>9820230357</v>
      </c>
      <c r="D405" t="str">
        <f>_xlfn.IFNA(VLOOKUP(C405,CallLog_Latest!A:H,7,FALSE),"Not Called")</f>
        <v>Not Reachable</v>
      </c>
      <c r="E405" t="str">
        <f>IF(ISNA(VLOOKUP(C405,Registration!A:A,1,FALSE)),"Not Registered","Registered")</f>
        <v>Not Registered</v>
      </c>
      <c r="F405">
        <f>VLOOKUP(A405,Sheet1!A:B,2,FALSE)</f>
        <v>8058973809</v>
      </c>
      <c r="G405">
        <f>_xlfn.IFNA(VLOOKUP(C405,CallLog_Latest!A:H,8,FALSE),"")</f>
        <v>0</v>
      </c>
      <c r="H405" t="str">
        <f>VLOOKUP(C405,[1]Sheet1!$F:$H,3,FALSE)</f>
        <v>Kalsaria Apartment, 501 Upper Govind Nagar, Opp. Shikhar Kunj, Malad (E</v>
      </c>
    </row>
    <row r="406" spans="1:8" x14ac:dyDescent="0.25">
      <c r="A406" t="s">
        <v>43</v>
      </c>
      <c r="B406" t="s">
        <v>448</v>
      </c>
      <c r="C406">
        <v>9892312822</v>
      </c>
      <c r="D406" t="str">
        <f>_xlfn.IFNA(VLOOKUP(C406,CallLog_Latest!A:H,7,FALSE),"Not Called")</f>
        <v>Not Called</v>
      </c>
      <c r="E406" t="str">
        <f>IF(ISNA(VLOOKUP(C406,Registration!A:A,1,FALSE)),"Not Registered","Registered")</f>
        <v>Not Registered</v>
      </c>
      <c r="F406">
        <f>VLOOKUP(A406,Sheet1!A:B,2,FALSE)</f>
        <v>9320683201</v>
      </c>
      <c r="G406" t="str">
        <f>_xlfn.IFNA(VLOOKUP(C406,CallLog_Latest!A:H,8,FALSE),"")</f>
        <v/>
      </c>
      <c r="H406" t="str">
        <f>VLOOKUP(C406,[1]Sheet1!$F:$H,3,FALSE)</f>
        <v>Kalsaria Apartment, 501 Upper Govind Nagar, Opp. Shikhar Kunj, Malad (E</v>
      </c>
    </row>
    <row r="407" spans="1:8" x14ac:dyDescent="0.25">
      <c r="A407" t="s">
        <v>45</v>
      </c>
      <c r="B407" t="s">
        <v>449</v>
      </c>
      <c r="C407">
        <v>9820351436</v>
      </c>
      <c r="D407" t="str">
        <f>_xlfn.IFNA(VLOOKUP(C407,CallLog_Latest!A:H,7,FALSE),"Not Called")</f>
        <v>Confirmed Presence ✅</v>
      </c>
      <c r="E407" t="str">
        <f>IF(ISNA(VLOOKUP(C407,Registration!A:A,1,FALSE)),"Not Registered","Registered")</f>
        <v>Not Registered</v>
      </c>
      <c r="F407">
        <f>VLOOKUP(A407,Sheet1!A:B,2,FALSE)</f>
        <v>9967235652</v>
      </c>
      <c r="G407">
        <f>_xlfn.IFNA(VLOOKUP(C407,CallLog_Latest!A:H,8,FALSE),"")</f>
        <v>0</v>
      </c>
      <c r="H407" t="str">
        <f>VLOOKUP(C407,[1]Sheet1!$F:$H,3,FALSE)</f>
        <v>Kalsaria Apartment, 501 Upper Govind Nagar, Opp. Shikhar Kunj, Malad (E</v>
      </c>
    </row>
    <row r="408" spans="1:8" x14ac:dyDescent="0.25">
      <c r="A408" t="s">
        <v>47</v>
      </c>
      <c r="B408" t="s">
        <v>450</v>
      </c>
      <c r="C408">
        <v>9820048419</v>
      </c>
      <c r="D408" t="str">
        <f>_xlfn.IFNA(VLOOKUP(C408,CallLog_Latest!A:H,7,FALSE),"Not Called")</f>
        <v>Confirmed Presence ✅</v>
      </c>
      <c r="E408" t="str">
        <f>IF(ISNA(VLOOKUP(C408,Registration!A:A,1,FALSE)),"Not Registered","Registered")</f>
        <v>Not Registered</v>
      </c>
      <c r="F408">
        <f>VLOOKUP(A408,Sheet1!A:B,2,FALSE)</f>
        <v>8108711149</v>
      </c>
      <c r="G408">
        <f>_xlfn.IFNA(VLOOKUP(C408,CallLog_Latest!A:H,8,FALSE),"")</f>
        <v>0</v>
      </c>
      <c r="H408" t="str">
        <f>VLOOKUP(C408,[1]Sheet1!$F:$H,3,FALSE)</f>
        <v>Kalsaria Apartment, 501 Upper Govind Nagar, Opp. Shikhar Kunj, Malad (E</v>
      </c>
    </row>
    <row r="409" spans="1:8" x14ac:dyDescent="0.25">
      <c r="A409" t="s">
        <v>49</v>
      </c>
      <c r="B409" t="s">
        <v>451</v>
      </c>
      <c r="C409">
        <v>9920115155</v>
      </c>
      <c r="D409" t="str">
        <f>_xlfn.IFNA(VLOOKUP(C409,CallLog_Latest!A:H,7,FALSE),"Not Called")</f>
        <v>Confirmed Presence ✅</v>
      </c>
      <c r="E409" t="str">
        <f>IF(ISNA(VLOOKUP(C409,Registration!A:A,1,FALSE)),"Not Registered","Registered")</f>
        <v>Not Registered</v>
      </c>
      <c r="F409">
        <f>VLOOKUP(A409,Sheet1!A:B,2,FALSE)</f>
        <v>9322206108</v>
      </c>
      <c r="G409">
        <f>_xlfn.IFNA(VLOOKUP(C409,CallLog_Latest!A:H,8,FALSE),"")</f>
        <v>0</v>
      </c>
      <c r="H409" t="str">
        <f>VLOOKUP(C409,[1]Sheet1!$F:$H,3,FALSE)</f>
        <v>Kalsaria Apartment, 501 Upper Govind Nagar, Opp. Shikhar Kunj, Malad (E</v>
      </c>
    </row>
    <row r="410" spans="1:8" x14ac:dyDescent="0.25">
      <c r="A410" t="s">
        <v>51</v>
      </c>
      <c r="B410" t="s">
        <v>452</v>
      </c>
      <c r="C410">
        <v>9820453152</v>
      </c>
      <c r="D410" t="str">
        <f>_xlfn.IFNA(VLOOKUP(C410,CallLog_Latest!A:H,7,FALSE),"Not Called")</f>
        <v>Not Called</v>
      </c>
      <c r="E410" t="str">
        <f>IF(ISNA(VLOOKUP(C410,Registration!A:A,1,FALSE)),"Not Registered","Registered")</f>
        <v>Not Registered</v>
      </c>
      <c r="F410">
        <f>VLOOKUP(A410,Sheet1!A:B,2,FALSE)</f>
        <v>9967015641</v>
      </c>
      <c r="G410" t="str">
        <f>_xlfn.IFNA(VLOOKUP(C410,CallLog_Latest!A:H,8,FALSE),"")</f>
        <v/>
      </c>
      <c r="H410" t="str">
        <f>VLOOKUP(C410,[1]Sheet1!$F:$H,3,FALSE)</f>
        <v>Kalsaria Apartment, 501 Upper Govind Nagar, Opp. Shikhar Kunj, Malad (E</v>
      </c>
    </row>
    <row r="411" spans="1:8" x14ac:dyDescent="0.25">
      <c r="A411" t="s">
        <v>53</v>
      </c>
      <c r="B411" t="s">
        <v>453</v>
      </c>
      <c r="C411">
        <v>9920467020</v>
      </c>
      <c r="D411" t="str">
        <f>_xlfn.IFNA(VLOOKUP(C411,CallLog_Latest!A:H,7,FALSE),"Not Called")</f>
        <v>Not Called</v>
      </c>
      <c r="E411" t="str">
        <f>IF(ISNA(VLOOKUP(C411,Registration!A:A,1,FALSE)),"Not Registered","Registered")</f>
        <v>Not Registered</v>
      </c>
      <c r="F411">
        <f>VLOOKUP(A411,Sheet1!A:B,2,FALSE)</f>
        <v>9820216355</v>
      </c>
      <c r="G411" t="str">
        <f>_xlfn.IFNA(VLOOKUP(C411,CallLog_Latest!A:H,8,FALSE),"")</f>
        <v/>
      </c>
      <c r="H411" t="str">
        <f>VLOOKUP(C411,[1]Sheet1!$F:$H,3,FALSE)</f>
        <v>Flat No.801  B-wing  Shah Arcade  Wadari Pada Layout   Rani Sati Marg</v>
      </c>
    </row>
    <row r="412" spans="1:8" x14ac:dyDescent="0.25">
      <c r="A412" t="s">
        <v>55</v>
      </c>
      <c r="B412" t="s">
        <v>454</v>
      </c>
      <c r="C412">
        <v>9322598681</v>
      </c>
      <c r="D412" t="str">
        <f>_xlfn.IFNA(VLOOKUP(C412,CallLog_Latest!A:H,7,FALSE),"Not Called")</f>
        <v>Not Reachable</v>
      </c>
      <c r="E412" t="str">
        <f>IF(ISNA(VLOOKUP(C412,Registration!A:A,1,FALSE)),"Not Registered","Registered")</f>
        <v>Not Registered</v>
      </c>
      <c r="F412">
        <f>VLOOKUP(A412,Sheet1!A:B,2,FALSE)</f>
        <v>9819083540</v>
      </c>
      <c r="G412" t="str">
        <f>_xlfn.IFNA(VLOOKUP(C412,CallLog_Latest!A:H,8,FALSE),"")</f>
        <v>phone not picking</v>
      </c>
      <c r="H412" t="str">
        <f>VLOOKUP(C412,[1]Sheet1!$F:$H,3,FALSE)</f>
        <v>Swapanalok Tower, C-Wing, 804, 8th Floor Off Film City Road, Pimpripada, Malad (E</v>
      </c>
    </row>
    <row r="413" spans="1:8" x14ac:dyDescent="0.25">
      <c r="A413" t="s">
        <v>57</v>
      </c>
      <c r="B413" t="s">
        <v>455</v>
      </c>
      <c r="C413">
        <v>9967235652</v>
      </c>
      <c r="D413" t="str">
        <f>_xlfn.IFNA(VLOOKUP(C413,CallLog_Latest!A:H,7,FALSE),"Not Called")</f>
        <v>Confirmed Presence</v>
      </c>
      <c r="E413" t="str">
        <f>IF(ISNA(VLOOKUP(C413,Registration!A:A,1,FALSE)),"Not Registered","Registered")</f>
        <v>Not Registered</v>
      </c>
      <c r="F413">
        <f>VLOOKUP(A413,Sheet1!A:B,2,FALSE)</f>
        <v>9101910341</v>
      </c>
      <c r="G413" t="str">
        <f>_xlfn.IFNA(VLOOKUP(C413,CallLog_Latest!A:H,8,FALSE),"")</f>
        <v>Issue in submitting Marksheet</v>
      </c>
      <c r="H413" t="str">
        <f>VLOOKUP(C413,[1]Sheet1!$F:$H,3,FALSE)</f>
        <v>Upper East 97, E -Wing, 1901, Kailashpuri Road Upper Govind Nagar, Near Poddar School, Malad (E</v>
      </c>
    </row>
    <row r="414" spans="1:8" x14ac:dyDescent="0.25">
      <c r="A414" t="s">
        <v>59</v>
      </c>
      <c r="B414" t="s">
        <v>456</v>
      </c>
      <c r="C414">
        <v>9324386761</v>
      </c>
      <c r="D414" t="str">
        <f>_xlfn.IFNA(VLOOKUP(C414,CallLog_Latest!A:H,7,FALSE),"Not Called")</f>
        <v>Not Called</v>
      </c>
      <c r="E414" t="str">
        <f>IF(ISNA(VLOOKUP(C414,Registration!A:A,1,FALSE)),"Not Registered","Registered")</f>
        <v>Not Registered</v>
      </c>
      <c r="F414">
        <f>VLOOKUP(A414,Sheet1!A:B,2,FALSE)</f>
        <v>9920121726</v>
      </c>
      <c r="G414" t="str">
        <f>_xlfn.IFNA(VLOOKUP(C414,CallLog_Latest!A:H,8,FALSE),"")</f>
        <v/>
      </c>
      <c r="H414" t="str">
        <f>VLOOKUP(C414,[1]Sheet1!$F:$H,3,FALSE)</f>
        <v>A/4 Meghdoot, Raheja Township, Malad (E</v>
      </c>
    </row>
    <row r="415" spans="1:8" x14ac:dyDescent="0.25">
      <c r="A415" t="s">
        <v>61</v>
      </c>
      <c r="B415" t="s">
        <v>457</v>
      </c>
      <c r="C415">
        <v>9820075931</v>
      </c>
      <c r="D415" t="str">
        <f>_xlfn.IFNA(VLOOKUP(C415,CallLog_Latest!A:H,7,FALSE),"Not Called")</f>
        <v>Not Coming</v>
      </c>
      <c r="E415" t="str">
        <f>IF(ISNA(VLOOKUP(C415,Registration!A:A,1,FALSE)),"Not Registered","Registered")</f>
        <v>Registered</v>
      </c>
      <c r="F415">
        <f>VLOOKUP(A415,Sheet1!A:B,2,FALSE)</f>
        <v>9820779873</v>
      </c>
      <c r="G415" t="str">
        <f>_xlfn.IFNA(VLOOKUP(C415,CallLog_Latest!A:H,8,FALSE),"")</f>
        <v>Not available</v>
      </c>
      <c r="H415" t="str">
        <f>VLOOKUP(C415,[1]Sheet1!$F:$H,3,FALSE)</f>
        <v>IVY Towers A-1301 Vasant Valley Society K. V. Marg, Near Dindoshi Bus Depot, Malad (E</v>
      </c>
    </row>
    <row r="416" spans="1:8" x14ac:dyDescent="0.25">
      <c r="A416" t="s">
        <v>63</v>
      </c>
      <c r="B416" t="s">
        <v>458</v>
      </c>
      <c r="C416">
        <v>9821379508</v>
      </c>
      <c r="D416" t="str">
        <f>_xlfn.IFNA(VLOOKUP(C416,CallLog_Latest!A:H,7,FALSE),"Not Called")</f>
        <v>Not Called</v>
      </c>
      <c r="E416" t="str">
        <f>IF(ISNA(VLOOKUP(C416,Registration!A:A,1,FALSE)),"Not Registered","Registered")</f>
        <v>Not Registered</v>
      </c>
      <c r="F416">
        <f>VLOOKUP(A416,Sheet1!A:B,2,FALSE)</f>
        <v>9930396709</v>
      </c>
      <c r="G416" t="str">
        <f>_xlfn.IFNA(VLOOKUP(C416,CallLog_Latest!A:H,8,FALSE),"")</f>
        <v/>
      </c>
      <c r="H416" t="str">
        <f>VLOOKUP(C416,[1]Sheet1!$F:$H,3,FALSE)</f>
        <v>604  Meghdoot Bldg Raheja Township</v>
      </c>
    </row>
    <row r="417" spans="1:8" x14ac:dyDescent="0.25">
      <c r="A417" t="s">
        <v>65</v>
      </c>
      <c r="B417" t="s">
        <v>459</v>
      </c>
      <c r="C417">
        <v>9820028050</v>
      </c>
      <c r="D417" t="str">
        <f>_xlfn.IFNA(VLOOKUP(C417,CallLog_Latest!A:H,7,FALSE),"Not Called")</f>
        <v>Not Called</v>
      </c>
      <c r="E417" t="str">
        <f>IF(ISNA(VLOOKUP(C417,Registration!A:A,1,FALSE)),"Not Registered","Registered")</f>
        <v>Not Registered</v>
      </c>
      <c r="F417">
        <f>VLOOKUP(A417,Sheet1!A:B,2,FALSE)</f>
        <v>7738892551</v>
      </c>
      <c r="G417" t="str">
        <f>_xlfn.IFNA(VLOOKUP(C417,CallLog_Latest!A:H,8,FALSE),"")</f>
        <v/>
      </c>
      <c r="H417" t="str">
        <f>VLOOKUP(C417,[1]Sheet1!$F:$H,3,FALSE)</f>
        <v>503  Orchid  Vasant Valley  Complex  Film City Road</v>
      </c>
    </row>
    <row r="418" spans="1:8" x14ac:dyDescent="0.25">
      <c r="A418" t="s">
        <v>67</v>
      </c>
      <c r="B418" t="s">
        <v>460</v>
      </c>
      <c r="C418">
        <v>9819029244</v>
      </c>
      <c r="D418" t="str">
        <f>_xlfn.IFNA(VLOOKUP(C418,CallLog_Latest!A:H,7,FALSE),"Not Called")</f>
        <v>Not Called</v>
      </c>
      <c r="E418" t="str">
        <f>IF(ISNA(VLOOKUP(C418,Registration!A:A,1,FALSE)),"Not Registered","Registered")</f>
        <v>Not Registered</v>
      </c>
      <c r="F418">
        <f>VLOOKUP(A418,Sheet1!A:B,2,FALSE)</f>
        <v>9820251565</v>
      </c>
      <c r="G418" t="str">
        <f>_xlfn.IFNA(VLOOKUP(C418,CallLog_Latest!A:H,8,FALSE),"")</f>
        <v/>
      </c>
      <c r="H418" t="str">
        <f>VLOOKUP(C418,[1]Sheet1!$F:$H,3,FALSE)</f>
        <v>Flat No. 501  Bldg No. 4  Riddhi Tower CHS Ltd. Riddhi Garden  Film City Road</v>
      </c>
    </row>
    <row r="419" spans="1:8" x14ac:dyDescent="0.25">
      <c r="A419" t="s">
        <v>69</v>
      </c>
      <c r="B419" t="s">
        <v>461</v>
      </c>
      <c r="C419">
        <v>9769249313</v>
      </c>
      <c r="D419" t="str">
        <f>_xlfn.IFNA(VLOOKUP(C419,CallLog_Latest!A:H,7,FALSE),"Not Called")</f>
        <v>Not Called</v>
      </c>
      <c r="E419" t="str">
        <f>IF(ISNA(VLOOKUP(C419,Registration!A:A,1,FALSE)),"Not Registered","Registered")</f>
        <v>Not Registered</v>
      </c>
      <c r="F419">
        <f>VLOOKUP(A419,Sheet1!A:B,2,FALSE)</f>
        <v>9968855475</v>
      </c>
      <c r="G419" t="str">
        <f>_xlfn.IFNA(VLOOKUP(C419,CallLog_Latest!A:H,8,FALSE),"")</f>
        <v/>
      </c>
      <c r="H419" t="str">
        <f>VLOOKUP(C419,[1]Sheet1!$F:$H,3,FALSE)</f>
        <v>A/2014  Krishna Heights  Upper Govind Nagar</v>
      </c>
    </row>
    <row r="420" spans="1:8" x14ac:dyDescent="0.25">
      <c r="A420" t="s">
        <v>71</v>
      </c>
      <c r="B420" t="s">
        <v>462</v>
      </c>
      <c r="C420">
        <v>9833261236</v>
      </c>
      <c r="D420" t="str">
        <f>_xlfn.IFNA(VLOOKUP(C420,CallLog_Latest!A:H,7,FALSE),"Not Called")</f>
        <v>Not Called</v>
      </c>
      <c r="E420" t="str">
        <f>IF(ISNA(VLOOKUP(C420,Registration!A:A,1,FALSE)),"Not Registered","Registered")</f>
        <v>Not Registered</v>
      </c>
      <c r="F420">
        <f>VLOOKUP(A420,Sheet1!A:B,2,FALSE)</f>
        <v>9405263833</v>
      </c>
      <c r="G420" t="str">
        <f>_xlfn.IFNA(VLOOKUP(C420,CallLog_Latest!A:H,8,FALSE),"")</f>
        <v/>
      </c>
      <c r="H420" t="str">
        <f>VLOOKUP(C420,[1]Sheet1!$F:$H,3,FALSE)</f>
        <v>204-A-Wing  Krishna Heights  Upper Govind Nagar</v>
      </c>
    </row>
    <row r="421" spans="1:8" x14ac:dyDescent="0.25">
      <c r="A421" t="s">
        <v>73</v>
      </c>
      <c r="B421" t="s">
        <v>463</v>
      </c>
      <c r="C421">
        <v>9820660071</v>
      </c>
      <c r="D421" t="str">
        <f>_xlfn.IFNA(VLOOKUP(C421,CallLog_Latest!A:H,7,FALSE),"Not Called")</f>
        <v>Confirmed Presence ✅</v>
      </c>
      <c r="E421" t="str">
        <f>IF(ISNA(VLOOKUP(C421,Registration!A:A,1,FALSE)),"Not Registered","Registered")</f>
        <v>Not Registered</v>
      </c>
      <c r="F421">
        <f>VLOOKUP(A421,Sheet1!A:B,2,FALSE)</f>
        <v>8879433174</v>
      </c>
      <c r="G421">
        <f>_xlfn.IFNA(VLOOKUP(C421,CallLog_Latest!A:H,8,FALSE),"")</f>
        <v>0</v>
      </c>
      <c r="H421" t="str">
        <f>VLOOKUP(C421,[1]Sheet1!$F:$H,3,FALSE)</f>
        <v>604  Meghdoot Bldg Raheja Township</v>
      </c>
    </row>
    <row r="422" spans="1:8" x14ac:dyDescent="0.25">
      <c r="A422" t="s">
        <v>75</v>
      </c>
      <c r="B422" t="s">
        <v>464</v>
      </c>
      <c r="C422">
        <v>9322117911</v>
      </c>
      <c r="D422" t="str">
        <f>_xlfn.IFNA(VLOOKUP(C422,CallLog_Latest!A:H,7,FALSE),"Not Called")</f>
        <v>Not Called</v>
      </c>
      <c r="E422" t="str">
        <f>IF(ISNA(VLOOKUP(C422,Registration!A:A,1,FALSE)),"Not Registered","Registered")</f>
        <v>Not Registered</v>
      </c>
      <c r="F422">
        <f>VLOOKUP(A422,Sheet1!A:B,2,FALSE)</f>
        <v>9993325021</v>
      </c>
      <c r="G422" t="str">
        <f>_xlfn.IFNA(VLOOKUP(C422,CallLog_Latest!A:H,8,FALSE),"")</f>
        <v/>
      </c>
      <c r="H422" t="str">
        <f>VLOOKUP(C422,[1]Sheet1!$F:$H,3,FALSE)</f>
        <v>410, Indraprastha, 2/C Jitendra Road, Malad (E</v>
      </c>
    </row>
    <row r="423" spans="1:8" x14ac:dyDescent="0.25">
      <c r="A423" t="s">
        <v>12</v>
      </c>
      <c r="B423" t="s">
        <v>465</v>
      </c>
      <c r="C423">
        <v>9324403905</v>
      </c>
      <c r="D423" t="str">
        <f>_xlfn.IFNA(VLOOKUP(C423,CallLog_Latest!A:H,7,FALSE),"Not Called")</f>
        <v>Not Coming</v>
      </c>
      <c r="E423" t="str">
        <f>IF(ISNA(VLOOKUP(C423,Registration!A:A,1,FALSE)),"Not Registered","Registered")</f>
        <v>Not Registered</v>
      </c>
      <c r="F423">
        <f>VLOOKUP(A423,Sheet1!A:B,2,FALSE)</f>
        <v>9820454734</v>
      </c>
      <c r="G423" t="str">
        <f>_xlfn.IFNA(VLOOKUP(C423,CallLog_Latest!A:H,8,FALSE),"")</f>
        <v>Wrong number</v>
      </c>
      <c r="H423" t="str">
        <f>VLOOKUP(C423,[1]Sheet1!$F:$H,3,FALSE)</f>
        <v>B401-402  B1 Velentine Apts -3 A K V Marg  Gokuldham</v>
      </c>
    </row>
    <row r="424" spans="1:8" x14ac:dyDescent="0.25">
      <c r="A424" t="s">
        <v>78</v>
      </c>
      <c r="B424" t="s">
        <v>466</v>
      </c>
      <c r="C424">
        <v>9029889349</v>
      </c>
      <c r="D424" t="str">
        <f>_xlfn.IFNA(VLOOKUP(C424,CallLog_Latest!A:H,7,FALSE),"Not Called")</f>
        <v>Phone Busy</v>
      </c>
      <c r="E424" t="str">
        <f>IF(ISNA(VLOOKUP(C424,Registration!A:A,1,FALSE)),"Not Registered","Registered")</f>
        <v>Not Registered</v>
      </c>
      <c r="F424">
        <f>VLOOKUP(A424,Sheet1!A:B,2,FALSE)</f>
        <v>9029105124</v>
      </c>
      <c r="G424">
        <f>_xlfn.IFNA(VLOOKUP(C424,CallLog_Latest!A:H,8,FALSE),"")</f>
        <v>0</v>
      </c>
      <c r="H424" t="str">
        <f>VLOOKUP(C424,[1]Sheet1!$F:$H,3,FALSE)</f>
        <v>2/21  Malad Co.Housing Soc.Ltd Poddar Park</v>
      </c>
    </row>
    <row r="425" spans="1:8" x14ac:dyDescent="0.25">
      <c r="A425" t="s">
        <v>80</v>
      </c>
      <c r="B425" t="s">
        <v>467</v>
      </c>
      <c r="C425">
        <v>9324217894</v>
      </c>
      <c r="D425" t="str">
        <f>_xlfn.IFNA(VLOOKUP(C425,CallLog_Latest!A:H,7,FALSE),"Not Called")</f>
        <v>Not Called</v>
      </c>
      <c r="E425" t="str">
        <f>IF(ISNA(VLOOKUP(C425,Registration!A:A,1,FALSE)),"Not Registered","Registered")</f>
        <v>Not Registered</v>
      </c>
      <c r="F425">
        <f>VLOOKUP(A425,Sheet1!A:B,2,FALSE)</f>
        <v>9599704370</v>
      </c>
      <c r="G425" t="str">
        <f>_xlfn.IFNA(VLOOKUP(C425,CallLog_Latest!A:H,8,FALSE),"")</f>
        <v/>
      </c>
      <c r="H425" t="str">
        <f>VLOOKUP(C425,[1]Sheet1!$F:$H,3,FALSE)</f>
        <v>410, Indraprastha, 2/C Jitendra Road, Malad (E</v>
      </c>
    </row>
    <row r="426" spans="1:8" x14ac:dyDescent="0.25">
      <c r="A426" t="s">
        <v>82</v>
      </c>
      <c r="B426" t="s">
        <v>468</v>
      </c>
      <c r="C426">
        <v>9892535646</v>
      </c>
      <c r="D426" t="str">
        <f>_xlfn.IFNA(VLOOKUP(C426,CallLog_Latest!A:H,7,FALSE),"Not Called")</f>
        <v>Confirmed Presence ✅</v>
      </c>
      <c r="E426" t="str">
        <f>IF(ISNA(VLOOKUP(C426,Registration!A:A,1,FALSE)),"Not Registered","Registered")</f>
        <v>Not Registered</v>
      </c>
      <c r="F426">
        <f>VLOOKUP(A426,Sheet1!A:B,2,FALSE)</f>
        <v>9824100412</v>
      </c>
      <c r="G426">
        <f>_xlfn.IFNA(VLOOKUP(C426,CallLog_Latest!A:H,8,FALSE),"")</f>
        <v>0</v>
      </c>
      <c r="H426" t="str">
        <f>VLOOKUP(C426,[1]Sheet1!$F:$H,3,FALSE)</f>
        <v>301-B-Wing, IVY CHSL. Vasant Valley Off Gen. A.K.Vaidya Marg, Dindoshi, Malad (E</v>
      </c>
    </row>
    <row r="427" spans="1:8" x14ac:dyDescent="0.25">
      <c r="A427" t="s">
        <v>84</v>
      </c>
      <c r="B427" t="s">
        <v>469</v>
      </c>
      <c r="C427">
        <v>9619136378</v>
      </c>
      <c r="D427" t="str">
        <f>_xlfn.IFNA(VLOOKUP(C427,CallLog_Latest!A:H,7,FALSE),"Not Called")</f>
        <v>Not Reachable</v>
      </c>
      <c r="E427" t="str">
        <f>IF(ISNA(VLOOKUP(C427,Registration!A:A,1,FALSE)),"Not Registered","Registered")</f>
        <v>Not Registered</v>
      </c>
      <c r="F427">
        <f>VLOOKUP(A427,Sheet1!A:B,2,FALSE)</f>
        <v>9225211083</v>
      </c>
      <c r="G427" t="str">
        <f>_xlfn.IFNA(VLOOKUP(C427,CallLog_Latest!A:H,8,FALSE),"")</f>
        <v>Not answering call</v>
      </c>
      <c r="H427" t="str">
        <f>VLOOKUP(C427,[1]Sheet1!$F:$H,3,FALSE)</f>
        <v>A -601 ABT  Apartment  Rani Sati Marg Near Navjivan School  Malad (E</v>
      </c>
    </row>
    <row r="428" spans="1:8" x14ac:dyDescent="0.25">
      <c r="A428" t="s">
        <v>86</v>
      </c>
      <c r="B428" t="s">
        <v>470</v>
      </c>
      <c r="C428">
        <v>7506014965</v>
      </c>
      <c r="D428" t="str">
        <f>_xlfn.IFNA(VLOOKUP(C428,CallLog_Latest!A:H,7,FALSE),"Not Called")</f>
        <v>Not Called</v>
      </c>
      <c r="E428" t="str">
        <f>IF(ISNA(VLOOKUP(C428,Registration!A:A,1,FALSE)),"Not Registered","Registered")</f>
        <v>Not Registered</v>
      </c>
      <c r="F428">
        <f>VLOOKUP(A428,Sheet1!A:B,2,FALSE)</f>
        <v>9930252076</v>
      </c>
      <c r="G428" t="str">
        <f>_xlfn.IFNA(VLOOKUP(C428,CallLog_Latest!A:H,8,FALSE),"")</f>
        <v/>
      </c>
      <c r="H428" t="str">
        <f>VLOOKUP(C428,[1]Sheet1!$F:$H,3,FALSE)</f>
        <v>5/23, Elephanta Bldg, Daftary Road, Malad (E</v>
      </c>
    </row>
    <row r="429" spans="1:8" x14ac:dyDescent="0.25">
      <c r="A429" t="s">
        <v>88</v>
      </c>
      <c r="B429" t="s">
        <v>471</v>
      </c>
      <c r="C429">
        <v>9820081145</v>
      </c>
      <c r="D429" t="str">
        <f>_xlfn.IFNA(VLOOKUP(C429,CallLog_Latest!A:H,7,FALSE),"Not Called")</f>
        <v>Not Called</v>
      </c>
      <c r="E429" t="str">
        <f>IF(ISNA(VLOOKUP(C429,Registration!A:A,1,FALSE)),"Not Registered","Registered")</f>
        <v>Not Registered</v>
      </c>
      <c r="F429">
        <f>VLOOKUP(A429,Sheet1!A:B,2,FALSE)</f>
        <v>9661270782</v>
      </c>
      <c r="G429" t="str">
        <f>_xlfn.IFNA(VLOOKUP(C429,CallLog_Latest!A:H,8,FALSE),"")</f>
        <v/>
      </c>
      <c r="H429" t="str">
        <f>VLOOKUP(C429,[1]Sheet1!$F:$H,3,FALSE)</f>
        <v>A-507  Harish Chandra Raheja Township</v>
      </c>
    </row>
    <row r="430" spans="1:8" x14ac:dyDescent="0.25">
      <c r="A430" t="s">
        <v>90</v>
      </c>
      <c r="B430" t="s">
        <v>472</v>
      </c>
      <c r="C430">
        <v>9920926203</v>
      </c>
      <c r="D430" t="str">
        <f>_xlfn.IFNA(VLOOKUP(C430,CallLog_Latest!A:H,7,FALSE),"Not Called")</f>
        <v>Not Called</v>
      </c>
      <c r="E430" t="str">
        <f>IF(ISNA(VLOOKUP(C430,Registration!A:A,1,FALSE)),"Not Registered","Registered")</f>
        <v>Not Registered</v>
      </c>
      <c r="F430">
        <f>VLOOKUP(A430,Sheet1!A:B,2,FALSE)</f>
        <v>9819128389</v>
      </c>
      <c r="G430" t="str">
        <f>_xlfn.IFNA(VLOOKUP(C430,CallLog_Latest!A:H,8,FALSE),"")</f>
        <v/>
      </c>
      <c r="H430" t="str">
        <f>VLOOKUP(C430,[1]Sheet1!$F:$H,3,FALSE)</f>
        <v>Arkade Aspire, IB Patel Road, Goregaon East Mumbai 400063</v>
      </c>
    </row>
    <row r="431" spans="1:8" x14ac:dyDescent="0.25">
      <c r="A431" t="s">
        <v>92</v>
      </c>
      <c r="B431" t="s">
        <v>473</v>
      </c>
      <c r="C431">
        <v>9821073387</v>
      </c>
      <c r="D431" t="str">
        <f>_xlfn.IFNA(VLOOKUP(C431,CallLog_Latest!A:H,7,FALSE),"Not Called")</f>
        <v>Not Called</v>
      </c>
      <c r="E431" t="str">
        <f>IF(ISNA(VLOOKUP(C431,Registration!A:A,1,FALSE)),"Not Registered","Registered")</f>
        <v>Not Registered</v>
      </c>
      <c r="F431">
        <f>VLOOKUP(A431,Sheet1!A:B,2,FALSE)</f>
        <v>8268665777</v>
      </c>
      <c r="G431" t="str">
        <f>_xlfn.IFNA(VLOOKUP(C431,CallLog_Latest!A:H,8,FALSE),"")</f>
        <v/>
      </c>
      <c r="H431" t="str">
        <f>VLOOKUP(C431,[1]Sheet1!$F:$H,3,FALSE)</f>
        <v>A- 3303 Omkar Alta Monte, Off Wstern Express Highway, Malad (E</v>
      </c>
    </row>
    <row r="432" spans="1:8" x14ac:dyDescent="0.25">
      <c r="A432" t="s">
        <v>94</v>
      </c>
      <c r="B432" t="s">
        <v>474</v>
      </c>
      <c r="C432">
        <v>9870587538</v>
      </c>
      <c r="D432" t="str">
        <f>_xlfn.IFNA(VLOOKUP(C432,CallLog_Latest!A:H,7,FALSE),"Not Called")</f>
        <v>Not Called</v>
      </c>
      <c r="E432" t="str">
        <f>IF(ISNA(VLOOKUP(C432,Registration!A:A,1,FALSE)),"Not Registered","Registered")</f>
        <v>Not Registered</v>
      </c>
      <c r="F432">
        <f>VLOOKUP(A432,Sheet1!A:B,2,FALSE)</f>
        <v>9920085455</v>
      </c>
      <c r="G432" t="str">
        <f>_xlfn.IFNA(VLOOKUP(C432,CallLog_Latest!A:H,8,FALSE),"")</f>
        <v/>
      </c>
      <c r="H432" t="str">
        <f>VLOOKUP(C432,[1]Sheet1!$F:$H,3,FALSE)</f>
        <v>A-3303, Omkar Omkar Alta Monte, Off Western Express Highway, Malad (E</v>
      </c>
    </row>
    <row r="433" spans="1:8" x14ac:dyDescent="0.25">
      <c r="A433" t="s">
        <v>96</v>
      </c>
      <c r="B433" t="s">
        <v>475</v>
      </c>
      <c r="C433">
        <v>9768532064</v>
      </c>
      <c r="D433" t="str">
        <f>_xlfn.IFNA(VLOOKUP(C433,CallLog_Latest!A:H,7,FALSE),"Not Called")</f>
        <v>Not Coming</v>
      </c>
      <c r="E433" t="str">
        <f>IF(ISNA(VLOOKUP(C433,Registration!A:A,1,FALSE)),"Not Registered","Registered")</f>
        <v>Not Registered</v>
      </c>
      <c r="F433">
        <f>VLOOKUP(A433,Sheet1!A:B,2,FALSE)</f>
        <v>9424584007</v>
      </c>
      <c r="G433" t="str">
        <f>_xlfn.IFNA(VLOOKUP(C433,CallLog_Latest!A:H,8,FALSE),"")</f>
        <v>Busy with some other RSS event.</v>
      </c>
      <c r="H433" t="str">
        <f>VLOOKUP(C433,[1]Sheet1!$F:$H,3,FALSE)</f>
        <v>Panchsheel-3 CHSL, F/522 Raheja Township, Malad (E</v>
      </c>
    </row>
    <row r="434" spans="1:8" x14ac:dyDescent="0.25">
      <c r="A434" t="s">
        <v>3</v>
      </c>
      <c r="B434" t="s">
        <v>476</v>
      </c>
      <c r="C434">
        <v>9867608083</v>
      </c>
      <c r="D434" t="str">
        <f>_xlfn.IFNA(VLOOKUP(C434,CallLog_Latest!A:H,7,FALSE),"Not Called")</f>
        <v>Not Called</v>
      </c>
      <c r="E434" t="str">
        <f>IF(ISNA(VLOOKUP(C434,Registration!A:A,1,FALSE)),"Not Registered","Registered")</f>
        <v>Not Registered</v>
      </c>
      <c r="F434">
        <f>VLOOKUP(A434,Sheet1!A:B,2,FALSE)</f>
        <v>9326379737</v>
      </c>
      <c r="G434" t="str">
        <f>_xlfn.IFNA(VLOOKUP(C434,CallLog_Latest!A:H,8,FALSE),"")</f>
        <v/>
      </c>
      <c r="H434" t="str">
        <f>VLOOKUP(C434,[1]Sheet1!$F:$H,3,FALSE)</f>
        <v>D-704, Omkar Altamonte  Malad Western Express Highway</v>
      </c>
    </row>
    <row r="435" spans="1:8" x14ac:dyDescent="0.25">
      <c r="A435" t="s">
        <v>5</v>
      </c>
      <c r="B435" t="s">
        <v>477</v>
      </c>
      <c r="C435">
        <v>9820902886</v>
      </c>
      <c r="D435" t="str">
        <f>_xlfn.IFNA(VLOOKUP(C435,CallLog_Latest!A:H,7,FALSE),"Not Called")</f>
        <v>Not Called</v>
      </c>
      <c r="E435" t="str">
        <f>IF(ISNA(VLOOKUP(C435,Registration!A:A,1,FALSE)),"Not Registered","Registered")</f>
        <v>Not Registered</v>
      </c>
      <c r="F435">
        <f>VLOOKUP(A435,Sheet1!A:B,2,FALSE)</f>
        <v>9323541634</v>
      </c>
      <c r="G435" t="str">
        <f>_xlfn.IFNA(VLOOKUP(C435,CallLog_Latest!A:H,8,FALSE),"")</f>
        <v/>
      </c>
      <c r="H435" t="str">
        <f>VLOOKUP(C435,[1]Sheet1!$F:$H,3,FALSE)</f>
        <v>403  C-Wing  Omkar Alta Monte Pathanwadi</v>
      </c>
    </row>
    <row r="436" spans="1:8" x14ac:dyDescent="0.25">
      <c r="A436" t="s">
        <v>7</v>
      </c>
      <c r="B436" t="s">
        <v>478</v>
      </c>
      <c r="C436">
        <v>7666685857</v>
      </c>
      <c r="D436" t="str">
        <f>_xlfn.IFNA(VLOOKUP(C436,CallLog_Latest!A:H,7,FALSE),"Not Called")</f>
        <v>Not Called</v>
      </c>
      <c r="E436" t="str">
        <f>IF(ISNA(VLOOKUP(C436,Registration!A:A,1,FALSE)),"Not Registered","Registered")</f>
        <v>Not Registered</v>
      </c>
      <c r="F436">
        <f>VLOOKUP(A436,Sheet1!A:B,2,FALSE)</f>
        <v>9867015031</v>
      </c>
      <c r="G436" t="str">
        <f>_xlfn.IFNA(VLOOKUP(C436,CallLog_Latest!A:H,8,FALSE),"")</f>
        <v/>
      </c>
      <c r="H436" t="str">
        <f>VLOOKUP(C436,[1]Sheet1!$F:$H,3,FALSE)</f>
        <v>Keshav Shiv Heights 1101  Pandit Solicitor Road Malad (E</v>
      </c>
    </row>
    <row r="437" spans="1:8" x14ac:dyDescent="0.25">
      <c r="A437" t="s">
        <v>9</v>
      </c>
      <c r="B437" t="s">
        <v>479</v>
      </c>
      <c r="C437">
        <v>9363101659</v>
      </c>
      <c r="D437" t="str">
        <f>_xlfn.IFNA(VLOOKUP(C437,CallLog_Latest!A:H,7,FALSE),"Not Called")</f>
        <v>Not Called</v>
      </c>
      <c r="E437" t="str">
        <f>IF(ISNA(VLOOKUP(C437,Registration!A:A,1,FALSE)),"Not Registered","Registered")</f>
        <v>Not Registered</v>
      </c>
      <c r="F437">
        <f>VLOOKUP(A437,Sheet1!A:B,2,FALSE)</f>
        <v>9821268271</v>
      </c>
      <c r="G437" t="str">
        <f>_xlfn.IFNA(VLOOKUP(C437,CallLog_Latest!A:H,8,FALSE),"")</f>
        <v/>
      </c>
      <c r="H437" t="str">
        <f>VLOOKUP(C437,[1]Sheet1!$F:$H,3,FALSE)</f>
        <v>Keshav Shiv Heights 1101  Pandit Solicitor Road Malad (E</v>
      </c>
    </row>
    <row r="438" spans="1:8" x14ac:dyDescent="0.25">
      <c r="A438" t="s">
        <v>11</v>
      </c>
      <c r="B438" t="s">
        <v>480</v>
      </c>
      <c r="C438">
        <v>9323541634</v>
      </c>
      <c r="D438" t="str">
        <f>_xlfn.IFNA(VLOOKUP(C438,CallLog_Latest!A:H,7,FALSE),"Not Called")</f>
        <v>Not Called</v>
      </c>
      <c r="E438" t="str">
        <f>IF(ISNA(VLOOKUP(C438,Registration!A:A,1,FALSE)),"Not Registered","Registered")</f>
        <v>Not Registered</v>
      </c>
      <c r="F438">
        <f>VLOOKUP(A438,Sheet1!A:B,2,FALSE)</f>
        <v>9322598681</v>
      </c>
      <c r="G438" t="str">
        <f>_xlfn.IFNA(VLOOKUP(C438,CallLog_Latest!A:H,8,FALSE),"")</f>
        <v/>
      </c>
      <c r="H438" t="str">
        <f>VLOOKUP(C438,[1]Sheet1!$F:$H,3,FALSE)</f>
        <v>Keshav Shiv Heights 1101  Pandit Solicitor Road Malad (E</v>
      </c>
    </row>
    <row r="439" spans="1:8" x14ac:dyDescent="0.25">
      <c r="A439" t="s">
        <v>13</v>
      </c>
      <c r="B439" t="s">
        <v>481</v>
      </c>
      <c r="C439">
        <v>9224425529</v>
      </c>
      <c r="D439" t="str">
        <f>_xlfn.IFNA(VLOOKUP(C439,CallLog_Latest!A:H,7,FALSE),"Not Called")</f>
        <v>Not Called</v>
      </c>
      <c r="E439" t="str">
        <f>IF(ISNA(VLOOKUP(C439,Registration!A:A,1,FALSE)),"Not Registered","Registered")</f>
        <v>Not Registered</v>
      </c>
      <c r="F439">
        <f>VLOOKUP(A439,Sheet1!A:B,2,FALSE)</f>
        <v>9969403870</v>
      </c>
      <c r="G439" t="str">
        <f>_xlfn.IFNA(VLOOKUP(C439,CallLog_Latest!A:H,8,FALSE),"")</f>
        <v/>
      </c>
      <c r="H439" t="str">
        <f>VLOOKUP(C439,[1]Sheet1!$F:$H,3,FALSE)</f>
        <v>6 Bhupendra Niwas  Jitendra Road, Malad (E</v>
      </c>
    </row>
    <row r="440" spans="1:8" x14ac:dyDescent="0.25">
      <c r="A440" t="s">
        <v>15</v>
      </c>
      <c r="B440" t="s">
        <v>482</v>
      </c>
      <c r="C440">
        <v>8767780888</v>
      </c>
      <c r="D440" t="str">
        <f>_xlfn.IFNA(VLOOKUP(C440,CallLog_Latest!A:H,7,FALSE),"Not Called")</f>
        <v>Not Called</v>
      </c>
      <c r="E440" t="str">
        <f>IF(ISNA(VLOOKUP(C440,Registration!A:A,1,FALSE)),"Not Registered","Registered")</f>
        <v>Not Registered</v>
      </c>
      <c r="F440">
        <f>VLOOKUP(A440,Sheet1!A:B,2,FALSE)</f>
        <v>9892726278</v>
      </c>
      <c r="G440" t="str">
        <f>_xlfn.IFNA(VLOOKUP(C440,CallLog_Latest!A:H,8,FALSE),"")</f>
        <v/>
      </c>
      <c r="H440" t="str">
        <f>VLOOKUP(C440,[1]Sheet1!$F:$H,3,FALSE)</f>
        <v>2006  20th Floor  Rashmi Heights  Nr. Mahindra Nagar  Dayabhai Road</v>
      </c>
    </row>
    <row r="441" spans="1:8" x14ac:dyDescent="0.25">
      <c r="A441" t="s">
        <v>17</v>
      </c>
      <c r="B441" t="s">
        <v>483</v>
      </c>
      <c r="C441">
        <v>8600106060</v>
      </c>
      <c r="D441" t="str">
        <f>_xlfn.IFNA(VLOOKUP(C441,CallLog_Latest!A:H,7,FALSE),"Not Called")</f>
        <v>Confirmed Presence ✅</v>
      </c>
      <c r="E441" t="str">
        <f>IF(ISNA(VLOOKUP(C441,Registration!A:A,1,FALSE)),"Not Registered","Registered")</f>
        <v>Not Registered</v>
      </c>
      <c r="F441">
        <f>VLOOKUP(A441,Sheet1!A:B,2,FALSE)</f>
        <v>9869798705</v>
      </c>
      <c r="G441">
        <f>_xlfn.IFNA(VLOOKUP(C441,CallLog_Latest!A:H,8,FALSE),"")</f>
        <v>0</v>
      </c>
      <c r="H441" t="str">
        <f>VLOOKUP(C441,[1]Sheet1!$F:$H,3,FALSE)</f>
        <v>Keshav Shiv Heights 1101  Pandit Solicitor Road Malad (E</v>
      </c>
    </row>
    <row r="442" spans="1:8" x14ac:dyDescent="0.25">
      <c r="A442" t="s">
        <v>19</v>
      </c>
      <c r="B442" t="s">
        <v>484</v>
      </c>
      <c r="C442">
        <v>9819812707</v>
      </c>
      <c r="D442" t="str">
        <f>_xlfn.IFNA(VLOOKUP(C442,CallLog_Latest!A:H,7,FALSE),"Not Called")</f>
        <v>Not Called</v>
      </c>
      <c r="E442" t="str">
        <f>IF(ISNA(VLOOKUP(C442,Registration!A:A,1,FALSE)),"Not Registered","Registered")</f>
        <v>Not Registered</v>
      </c>
      <c r="F442">
        <f>VLOOKUP(A442,Sheet1!A:B,2,FALSE)</f>
        <v>9820265640</v>
      </c>
      <c r="G442" t="str">
        <f>_xlfn.IFNA(VLOOKUP(C442,CallLog_Latest!A:H,8,FALSE),"")</f>
        <v/>
      </c>
      <c r="H442" t="str">
        <f>VLOOKUP(C442,[1]Sheet1!$F:$H,3,FALSE)</f>
        <v>B - 1302  Shah Arcade Rani Sati Marg</v>
      </c>
    </row>
    <row r="443" spans="1:8" x14ac:dyDescent="0.25">
      <c r="A443" t="s">
        <v>21</v>
      </c>
      <c r="B443" t="s">
        <v>485</v>
      </c>
      <c r="C443">
        <v>9987683568</v>
      </c>
      <c r="D443" t="str">
        <f>_xlfn.IFNA(VLOOKUP(C443,CallLog_Latest!A:H,7,FALSE),"Not Called")</f>
        <v>Not Called</v>
      </c>
      <c r="E443" t="str">
        <f>IF(ISNA(VLOOKUP(C443,Registration!A:A,1,FALSE)),"Not Registered","Registered")</f>
        <v>Not Registered</v>
      </c>
      <c r="F443">
        <f>VLOOKUP(A443,Sheet1!A:B,2,FALSE)</f>
        <v>9820636392</v>
      </c>
      <c r="G443" t="str">
        <f>_xlfn.IFNA(VLOOKUP(C443,CallLog_Latest!A:H,8,FALSE),"")</f>
        <v/>
      </c>
      <c r="H443" t="str">
        <f>VLOOKUP(C443,[1]Sheet1!$F:$H,3,FALSE)</f>
        <v>F - 2001  Raheja Heights  General A.K. Vaidya Marg Near Infinity  I.T. Park  Malad (E</v>
      </c>
    </row>
    <row r="444" spans="1:8" x14ac:dyDescent="0.25">
      <c r="A444" t="s">
        <v>23</v>
      </c>
      <c r="B444" t="s">
        <v>41</v>
      </c>
      <c r="C444">
        <v>8058973809</v>
      </c>
      <c r="D444" t="str">
        <f>_xlfn.IFNA(VLOOKUP(C444,CallLog_Latest!A:H,7,FALSE),"Not Called")</f>
        <v>Not Called</v>
      </c>
      <c r="E444" t="str">
        <f>IF(ISNA(VLOOKUP(C444,Registration!A:A,1,FALSE)),"Not Registered","Registered")</f>
        <v>Not Registered</v>
      </c>
      <c r="F444">
        <f>VLOOKUP(A444,Sheet1!A:B,2,FALSE)</f>
        <v>7977439717</v>
      </c>
      <c r="G444" t="str">
        <f>_xlfn.IFNA(VLOOKUP(C444,CallLog_Latest!A:H,8,FALSE),"")</f>
        <v/>
      </c>
      <c r="H444" t="str">
        <f>VLOOKUP(C444,[1]Sheet1!$F:$H,3,FALSE)</f>
        <v>C-112, Bhoomi Gokul, Behind Dindoshi Bus Depot, Near Vasant Valley, Malad (E</v>
      </c>
    </row>
    <row r="445" spans="1:8" x14ac:dyDescent="0.25">
      <c r="A445" t="s">
        <v>25</v>
      </c>
      <c r="B445" t="s">
        <v>486</v>
      </c>
      <c r="C445">
        <v>9819890800</v>
      </c>
      <c r="D445" t="str">
        <f>_xlfn.IFNA(VLOOKUP(C445,CallLog_Latest!A:H,7,FALSE),"Not Called")</f>
        <v>Not Called</v>
      </c>
      <c r="E445" t="str">
        <f>IF(ISNA(VLOOKUP(C445,Registration!A:A,1,FALSE)),"Not Registered","Registered")</f>
        <v>Not Registered</v>
      </c>
      <c r="F445">
        <f>VLOOKUP(A445,Sheet1!A:B,2,FALSE)</f>
        <v>9967045520</v>
      </c>
      <c r="G445" t="str">
        <f>_xlfn.IFNA(VLOOKUP(C445,CallLog_Latest!A:H,8,FALSE),"")</f>
        <v/>
      </c>
      <c r="H445" t="str">
        <f>VLOOKUP(C445,[1]Sheet1!$F:$H,3,FALSE)</f>
        <v>402  Gini Appartment  Rani Sati Marg Nr. Poddar Park</v>
      </c>
    </row>
    <row r="446" spans="1:8" x14ac:dyDescent="0.25">
      <c r="A446" t="s">
        <v>27</v>
      </c>
      <c r="B446" t="s">
        <v>487</v>
      </c>
      <c r="C446">
        <v>9930879774</v>
      </c>
      <c r="D446" t="str">
        <f>_xlfn.IFNA(VLOOKUP(C446,CallLog_Latest!A:H,7,FALSE),"Not Called")</f>
        <v>Not Called</v>
      </c>
      <c r="E446" t="str">
        <f>IF(ISNA(VLOOKUP(C446,Registration!A:A,1,FALSE)),"Not Registered","Registered")</f>
        <v>Not Registered</v>
      </c>
      <c r="F446">
        <f>VLOOKUP(A446,Sheet1!A:B,2,FALSE)</f>
        <v>9820075931</v>
      </c>
      <c r="G446" t="str">
        <f>_xlfn.IFNA(VLOOKUP(C446,CallLog_Latest!A:H,8,FALSE),"")</f>
        <v/>
      </c>
      <c r="H446" t="str">
        <f>VLOOKUP(C446,[1]Sheet1!$F:$H,3,FALSE)</f>
        <v>Saraf Apts  Flat No. 501/502  5th Floor  Rani Sati Marg</v>
      </c>
    </row>
    <row r="447" spans="1:8" x14ac:dyDescent="0.25">
      <c r="A447" t="s">
        <v>29</v>
      </c>
      <c r="B447" t="s">
        <v>488</v>
      </c>
      <c r="C447">
        <v>9820022487</v>
      </c>
      <c r="D447" t="str">
        <f>_xlfn.IFNA(VLOOKUP(C447,CallLog_Latest!A:H,7,FALSE),"Not Called")</f>
        <v>Not Called</v>
      </c>
      <c r="E447" t="str">
        <f>IF(ISNA(VLOOKUP(C447,Registration!A:A,1,FALSE)),"Not Registered","Registered")</f>
        <v>Not Registered</v>
      </c>
      <c r="F447">
        <f>VLOOKUP(A447,Sheet1!A:B,2,FALSE)</f>
        <v>9819364345</v>
      </c>
      <c r="G447" t="str">
        <f>_xlfn.IFNA(VLOOKUP(C447,CallLog_Latest!A:H,8,FALSE),"")</f>
        <v/>
      </c>
      <c r="H447" t="str">
        <f>VLOOKUP(C447,[1]Sheet1!$F:$H,3,FALSE)</f>
        <v>1003, A Wing Shikhar Kunj Bldg   Upper Govind Nagar Malad (E</v>
      </c>
    </row>
    <row r="448" spans="1:8" x14ac:dyDescent="0.25">
      <c r="A448" t="s">
        <v>31</v>
      </c>
      <c r="B448" t="s">
        <v>489</v>
      </c>
      <c r="C448">
        <v>9820081263</v>
      </c>
      <c r="D448" t="str">
        <f>_xlfn.IFNA(VLOOKUP(C448,CallLog_Latest!A:H,7,FALSE),"Not Called")</f>
        <v>Not Called</v>
      </c>
      <c r="E448" t="str">
        <f>IF(ISNA(VLOOKUP(C448,Registration!A:A,1,FALSE)),"Not Registered","Registered")</f>
        <v>Not Registered</v>
      </c>
      <c r="F448">
        <f>VLOOKUP(A448,Sheet1!A:B,2,FALSE)</f>
        <v>9869064553</v>
      </c>
      <c r="G448" t="str">
        <f>_xlfn.IFNA(VLOOKUP(C448,CallLog_Latest!A:H,8,FALSE),"")</f>
        <v/>
      </c>
      <c r="H448" t="str">
        <f>VLOOKUP(C448,[1]Sheet1!$F:$H,3,FALSE)</f>
        <v>Saraf Apts  50/502  5th Floor  Rani Sati Marg</v>
      </c>
    </row>
    <row r="449" spans="1:8" x14ac:dyDescent="0.25">
      <c r="A449" t="s">
        <v>33</v>
      </c>
      <c r="B449" t="s">
        <v>490</v>
      </c>
      <c r="C449">
        <v>9820524522</v>
      </c>
      <c r="D449" t="str">
        <f>_xlfn.IFNA(VLOOKUP(C449,CallLog_Latest!A:H,7,FALSE),"Not Called")</f>
        <v>Confirmed Presence</v>
      </c>
      <c r="E449" t="str">
        <f>IF(ISNA(VLOOKUP(C449,Registration!A:A,1,FALSE)),"Not Registered","Registered")</f>
        <v>Not Registered</v>
      </c>
      <c r="F449">
        <f>VLOOKUP(A449,Sheet1!A:B,2,FALSE)</f>
        <v>9930070116</v>
      </c>
      <c r="G449">
        <f>_xlfn.IFNA(VLOOKUP(C449,CallLog_Latest!A:H,8,FALSE),"")</f>
        <v>0</v>
      </c>
      <c r="H449" t="str">
        <f>VLOOKUP(C449,[1]Sheet1!$F:$H,3,FALSE)</f>
        <v>Tower II, 2002, Raheja Tipco Heights Rani Sati Marg, Malad (E</v>
      </c>
    </row>
    <row r="450" spans="1:8" x14ac:dyDescent="0.25">
      <c r="A450" t="s">
        <v>35</v>
      </c>
      <c r="B450" t="s">
        <v>491</v>
      </c>
      <c r="C450">
        <v>9820828575</v>
      </c>
      <c r="D450" t="str">
        <f>_xlfn.IFNA(VLOOKUP(C450,CallLog_Latest!A:H,7,FALSE),"Not Called")</f>
        <v>Phone Busy</v>
      </c>
      <c r="E450" t="str">
        <f>IF(ISNA(VLOOKUP(C450,Registration!A:A,1,FALSE)),"Not Registered","Registered")</f>
        <v>Not Registered</v>
      </c>
      <c r="F450">
        <f>VLOOKUP(A450,Sheet1!A:B,2,FALSE)</f>
        <v>9833705425</v>
      </c>
      <c r="G450" t="str">
        <f>_xlfn.IFNA(VLOOKUP(C450,CallLog_Latest!A:H,8,FALSE),"")</f>
        <v>Didn’t pickup</v>
      </c>
      <c r="H450" t="str">
        <f>VLOOKUP(C450,[1]Sheet1!$F:$H,3,FALSE)</f>
        <v>D/101  Panchvati -1  Raheja Township</v>
      </c>
    </row>
    <row r="451" spans="1:8" x14ac:dyDescent="0.25">
      <c r="A451" t="s">
        <v>37</v>
      </c>
      <c r="B451" t="s">
        <v>492</v>
      </c>
      <c r="C451">
        <v>9820140410</v>
      </c>
      <c r="D451" t="str">
        <f>_xlfn.IFNA(VLOOKUP(C451,CallLog_Latest!A:H,7,FALSE),"Not Called")</f>
        <v>Not Called</v>
      </c>
      <c r="E451" t="str">
        <f>IF(ISNA(VLOOKUP(C451,Registration!A:A,1,FALSE)),"Not Registered","Registered")</f>
        <v>Not Registered</v>
      </c>
      <c r="F451">
        <f>VLOOKUP(A451,Sheet1!A:B,2,FALSE)</f>
        <v>9167390835</v>
      </c>
      <c r="G451" t="str">
        <f>_xlfn.IFNA(VLOOKUP(C451,CallLog_Latest!A:H,8,FALSE),"")</f>
        <v/>
      </c>
      <c r="H451" t="str">
        <f>VLOOKUP(C451,[1]Sheet1!$F:$H,3,FALSE)</f>
        <v>Flat No. 201, 111 Hyde Park Upper Govind Nagar, Next to Sahyadari Tower, Malad (E</v>
      </c>
    </row>
    <row r="452" spans="1:8" x14ac:dyDescent="0.25">
      <c r="A452" t="s">
        <v>39</v>
      </c>
      <c r="B452" t="s">
        <v>493</v>
      </c>
      <c r="C452">
        <v>9892340588</v>
      </c>
      <c r="D452" t="str">
        <f>_xlfn.IFNA(VLOOKUP(C452,CallLog_Latest!A:H,7,FALSE),"Not Called")</f>
        <v>Confirmed Presence</v>
      </c>
      <c r="E452" t="str">
        <f>IF(ISNA(VLOOKUP(C452,Registration!A:A,1,FALSE)),"Not Registered","Registered")</f>
        <v>Not Registered</v>
      </c>
      <c r="F452">
        <f>VLOOKUP(A452,Sheet1!A:B,2,FALSE)</f>
        <v>9820505363</v>
      </c>
      <c r="G452" t="str">
        <f>_xlfn.IFNA(VLOOKUP(C452,CallLog_Latest!A:H,8,FALSE),"")</f>
        <v>Will register</v>
      </c>
      <c r="H452" t="str">
        <f>VLOOKUP(C452,[1]Sheet1!$F:$H,3,FALSE)</f>
        <v>202-d-wing  Saraswati CHS. Ltd Suchidham  Film City Road</v>
      </c>
    </row>
    <row r="453" spans="1:8" x14ac:dyDescent="0.25">
      <c r="A453" t="s">
        <v>41</v>
      </c>
      <c r="B453" t="s">
        <v>494</v>
      </c>
      <c r="C453">
        <v>7506809269</v>
      </c>
      <c r="D453" t="str">
        <f>_xlfn.IFNA(VLOOKUP(C453,CallLog_Latest!A:H,7,FALSE),"Not Called")</f>
        <v>Confirmed Presence</v>
      </c>
      <c r="E453" t="str">
        <f>IF(ISNA(VLOOKUP(C453,Registration!A:A,1,FALSE)),"Not Registered","Registered")</f>
        <v>Not Registered</v>
      </c>
      <c r="F453">
        <f>VLOOKUP(A453,Sheet1!A:B,2,FALSE)</f>
        <v>8058973809</v>
      </c>
      <c r="G453">
        <f>_xlfn.IFNA(VLOOKUP(C453,CallLog_Latest!A:H,8,FALSE),"")</f>
        <v>0</v>
      </c>
      <c r="H453" t="str">
        <f>VLOOKUP(C453,[1]Sheet1!$F:$H,3,FALSE)</f>
        <v>IVY Towers A-1301 Vasant Valley Society K. V. Marg, Near Dindoshi Bus Depot, Malad (E</v>
      </c>
    </row>
    <row r="454" spans="1:8" x14ac:dyDescent="0.25">
      <c r="A454" t="s">
        <v>43</v>
      </c>
      <c r="B454" t="s">
        <v>495</v>
      </c>
      <c r="C454">
        <v>9821138010</v>
      </c>
      <c r="D454" t="str">
        <f>_xlfn.IFNA(VLOOKUP(C454,CallLog_Latest!A:H,7,FALSE),"Not Called")</f>
        <v>Maybe Attending 🤔</v>
      </c>
      <c r="E454" t="str">
        <f>IF(ISNA(VLOOKUP(C454,Registration!A:A,1,FALSE)),"Not Registered","Registered")</f>
        <v>Not Registered</v>
      </c>
      <c r="F454">
        <f>VLOOKUP(A454,Sheet1!A:B,2,FALSE)</f>
        <v>9320683201</v>
      </c>
      <c r="G454">
        <f>_xlfn.IFNA(VLOOKUP(C454,CallLog_Latest!A:H,8,FALSE),"")</f>
        <v>0</v>
      </c>
      <c r="H454" t="str">
        <f>VLOOKUP(C454,[1]Sheet1!$F:$H,3,FALSE)</f>
        <v>1803-B  IVY Towers  Vasant Valley Complex Behind Dindoshi Bus Depot  Film City Road</v>
      </c>
    </row>
    <row r="455" spans="1:8" x14ac:dyDescent="0.25">
      <c r="A455" t="s">
        <v>45</v>
      </c>
      <c r="B455" t="s">
        <v>496</v>
      </c>
      <c r="C455">
        <v>9930298981</v>
      </c>
      <c r="D455" t="str">
        <f>_xlfn.IFNA(VLOOKUP(C455,CallLog_Latest!A:H,7,FALSE),"Not Called")</f>
        <v>Confirmed Presence ✅</v>
      </c>
      <c r="E455" t="str">
        <f>IF(ISNA(VLOOKUP(C455,Registration!A:A,1,FALSE)),"Not Registered","Registered")</f>
        <v>Not Registered</v>
      </c>
      <c r="F455">
        <f>VLOOKUP(A455,Sheet1!A:B,2,FALSE)</f>
        <v>9967235652</v>
      </c>
      <c r="G455">
        <f>_xlfn.IFNA(VLOOKUP(C455,CallLog_Latest!A:H,8,FALSE),"")</f>
        <v>0</v>
      </c>
      <c r="H455" t="str">
        <f>VLOOKUP(C455,[1]Sheet1!$F:$H,3,FALSE)</f>
        <v>E-1603  Raheja Heights Off Film City Road</v>
      </c>
    </row>
    <row r="456" spans="1:8" x14ac:dyDescent="0.25">
      <c r="A456" t="s">
        <v>47</v>
      </c>
      <c r="B456" t="s">
        <v>497</v>
      </c>
      <c r="C456">
        <v>9223464075</v>
      </c>
      <c r="D456" t="str">
        <f>_xlfn.IFNA(VLOOKUP(C456,CallLog_Latest!A:H,7,FALSE),"Not Called")</f>
        <v>Maybe Attending 🤔</v>
      </c>
      <c r="E456" t="str">
        <f>IF(ISNA(VLOOKUP(C456,Registration!A:A,1,FALSE)),"Not Registered","Registered")</f>
        <v>Not Registered</v>
      </c>
      <c r="F456">
        <f>VLOOKUP(A456,Sheet1!A:B,2,FALSE)</f>
        <v>8108711149</v>
      </c>
      <c r="G456">
        <f>_xlfn.IFNA(VLOOKUP(C456,CallLog_Latest!A:H,8,FALSE),"")</f>
        <v>0</v>
      </c>
      <c r="H456" t="str">
        <f>VLOOKUP(C456,[1]Sheet1!$F:$H,3,FALSE)</f>
        <v>C/501 Shah Aracade Ranisati Marg Opp Shahtraders Malad (E</v>
      </c>
    </row>
    <row r="457" spans="1:8" x14ac:dyDescent="0.25">
      <c r="A457" t="s">
        <v>49</v>
      </c>
      <c r="B457" t="s">
        <v>498</v>
      </c>
      <c r="C457">
        <v>9320035084</v>
      </c>
      <c r="D457" t="str">
        <f>_xlfn.IFNA(VLOOKUP(C457,CallLog_Latest!A:H,7,FALSE),"Not Called")</f>
        <v>Confirmed Presence ✅</v>
      </c>
      <c r="E457" t="str">
        <f>IF(ISNA(VLOOKUP(C457,Registration!A:A,1,FALSE)),"Not Registered","Registered")</f>
        <v>Not Registered</v>
      </c>
      <c r="F457">
        <f>VLOOKUP(A457,Sheet1!A:B,2,FALSE)</f>
        <v>9322206108</v>
      </c>
      <c r="G457">
        <f>_xlfn.IFNA(VLOOKUP(C457,CallLog_Latest!A:H,8,FALSE),"")</f>
        <v>0</v>
      </c>
      <c r="H457" t="str">
        <f>VLOOKUP(C457,[1]Sheet1!$F:$H,3,FALSE)</f>
        <v>A/2103-04  Alta Monte Omkar Near Shantaram Talaw  Kurar Village</v>
      </c>
    </row>
    <row r="458" spans="1:8" x14ac:dyDescent="0.25">
      <c r="A458" t="s">
        <v>51</v>
      </c>
      <c r="B458" t="s">
        <v>499</v>
      </c>
      <c r="C458">
        <v>9819873380</v>
      </c>
      <c r="D458" t="str">
        <f>_xlfn.IFNA(VLOOKUP(C458,CallLog_Latest!A:H,7,FALSE),"Not Called")</f>
        <v>Not Called</v>
      </c>
      <c r="E458" t="str">
        <f>IF(ISNA(VLOOKUP(C458,Registration!A:A,1,FALSE)),"Not Registered","Registered")</f>
        <v>Not Registered</v>
      </c>
      <c r="F458">
        <f>VLOOKUP(A458,Sheet1!A:B,2,FALSE)</f>
        <v>9967015641</v>
      </c>
      <c r="G458" t="str">
        <f>_xlfn.IFNA(VLOOKUP(C458,CallLog_Latest!A:H,8,FALSE),"")</f>
        <v/>
      </c>
      <c r="H458" t="str">
        <f>VLOOKUP(C458,[1]Sheet1!$F:$H,3,FALSE)</f>
        <v>C-2105, Kankia Levels, Rani Sati Marg, Opp. Passport Office, Malad (E</v>
      </c>
    </row>
    <row r="459" spans="1:8" x14ac:dyDescent="0.25">
      <c r="A459" t="s">
        <v>53</v>
      </c>
      <c r="B459" t="s">
        <v>500</v>
      </c>
      <c r="C459">
        <v>9820989371</v>
      </c>
      <c r="D459" t="str">
        <f>_xlfn.IFNA(VLOOKUP(C459,CallLog_Latest!A:H,7,FALSE),"Not Called")</f>
        <v>Not Called</v>
      </c>
      <c r="E459" t="str">
        <f>IF(ISNA(VLOOKUP(C459,Registration!A:A,1,FALSE)),"Not Registered","Registered")</f>
        <v>Not Registered</v>
      </c>
      <c r="F459">
        <f>VLOOKUP(A459,Sheet1!A:B,2,FALSE)</f>
        <v>9820216355</v>
      </c>
      <c r="G459" t="str">
        <f>_xlfn.IFNA(VLOOKUP(C459,CallLog_Latest!A:H,8,FALSE),"")</f>
        <v/>
      </c>
      <c r="H459" t="str">
        <f>VLOOKUP(C459,[1]Sheet1!$F:$H,3,FALSE)</f>
        <v>III Hydepark Bldg., Flat No. 701 Nr. HDFC Bank, Upper Govind Nagar, Malad (E</v>
      </c>
    </row>
    <row r="460" spans="1:8" x14ac:dyDescent="0.25">
      <c r="A460" t="s">
        <v>55</v>
      </c>
      <c r="B460" t="s">
        <v>501</v>
      </c>
      <c r="C460">
        <v>9819424430</v>
      </c>
      <c r="D460" t="str">
        <f>_xlfn.IFNA(VLOOKUP(C460,CallLog_Latest!A:H,7,FALSE),"Not Called")</f>
        <v>Confirmed Presence</v>
      </c>
      <c r="E460" t="str">
        <f>IF(ISNA(VLOOKUP(C460,Registration!A:A,1,FALSE)),"Not Registered","Registered")</f>
        <v>Registered</v>
      </c>
      <c r="F460">
        <f>VLOOKUP(A460,Sheet1!A:B,2,FALSE)</f>
        <v>9819083540</v>
      </c>
      <c r="G460">
        <f>_xlfn.IFNA(VLOOKUP(C460,CallLog_Latest!A:H,8,FALSE),"")</f>
        <v>0</v>
      </c>
      <c r="H460" t="str">
        <f>VLOOKUP(C460,[1]Sheet1!$F:$H,3,FALSE)</f>
        <v>A -205, Panchsheel -2, Raheja Township, Malad (E</v>
      </c>
    </row>
    <row r="461" spans="1:8" x14ac:dyDescent="0.25">
      <c r="A461" t="s">
        <v>57</v>
      </c>
      <c r="B461" t="s">
        <v>502</v>
      </c>
      <c r="C461">
        <v>9321489104</v>
      </c>
      <c r="D461" t="str">
        <f>_xlfn.IFNA(VLOOKUP(C461,CallLog_Latest!A:H,7,FALSE),"Not Called")</f>
        <v>Phone Busy</v>
      </c>
      <c r="E461" t="str">
        <f>IF(ISNA(VLOOKUP(C461,Registration!A:A,1,FALSE)),"Not Registered","Registered")</f>
        <v>Not Registered</v>
      </c>
      <c r="F461">
        <f>VLOOKUP(A461,Sheet1!A:B,2,FALSE)</f>
        <v>9101910341</v>
      </c>
      <c r="G461">
        <f>_xlfn.IFNA(VLOOKUP(C461,CallLog_Latest!A:H,8,FALSE),"")</f>
        <v>0</v>
      </c>
      <c r="H461" t="str">
        <f>VLOOKUP(C461,[1]Sheet1!$F:$H,3,FALSE)</f>
        <v>1102  Park Residence  Behind Poddar School Upper Govind Nagar</v>
      </c>
    </row>
    <row r="462" spans="1:8" x14ac:dyDescent="0.25">
      <c r="A462" t="s">
        <v>59</v>
      </c>
      <c r="B462" t="s">
        <v>503</v>
      </c>
      <c r="C462">
        <v>9619499944</v>
      </c>
      <c r="D462" t="str">
        <f>_xlfn.IFNA(VLOOKUP(C462,CallLog_Latest!A:H,7,FALSE),"Not Called")</f>
        <v>Not Called</v>
      </c>
      <c r="E462" t="str">
        <f>IF(ISNA(VLOOKUP(C462,Registration!A:A,1,FALSE)),"Not Registered","Registered")</f>
        <v>Not Registered</v>
      </c>
      <c r="F462">
        <f>VLOOKUP(A462,Sheet1!A:B,2,FALSE)</f>
        <v>9920121726</v>
      </c>
      <c r="G462" t="str">
        <f>_xlfn.IFNA(VLOOKUP(C462,CallLog_Latest!A:H,8,FALSE),"")</f>
        <v/>
      </c>
      <c r="H462" t="str">
        <f>VLOOKUP(C462,[1]Sheet1!$F:$H,3,FALSE)</f>
        <v>Shree Sadan, Plot No. 142 Upper Govind Nagar, Malad (E</v>
      </c>
    </row>
    <row r="463" spans="1:8" x14ac:dyDescent="0.25">
      <c r="A463" t="s">
        <v>61</v>
      </c>
      <c r="B463" t="s">
        <v>504</v>
      </c>
      <c r="C463">
        <v>9820284712</v>
      </c>
      <c r="D463" t="str">
        <f>_xlfn.IFNA(VLOOKUP(C463,CallLog_Latest!A:H,7,FALSE),"Not Called")</f>
        <v>Not Reachable</v>
      </c>
      <c r="E463" t="str">
        <f>IF(ISNA(VLOOKUP(C463,Registration!A:A,1,FALSE)),"Not Registered","Registered")</f>
        <v>Not Registered</v>
      </c>
      <c r="F463">
        <f>VLOOKUP(A463,Sheet1!A:B,2,FALSE)</f>
        <v>9820779873</v>
      </c>
      <c r="G463" t="str">
        <f>_xlfn.IFNA(VLOOKUP(C463,CallLog_Latest!A:H,8,FALSE),"")</f>
        <v>Didnt attend call. Have dropped a message</v>
      </c>
      <c r="H463" t="str">
        <f>VLOOKUP(C463,[1]Sheet1!$F:$H,3,FALSE)</f>
        <v>C-401  Millenium Gardens Upper Govind Nagar</v>
      </c>
    </row>
    <row r="464" spans="1:8" x14ac:dyDescent="0.25">
      <c r="A464" t="s">
        <v>63</v>
      </c>
      <c r="B464" t="s">
        <v>505</v>
      </c>
      <c r="C464">
        <v>9323978558</v>
      </c>
      <c r="D464" t="str">
        <f>_xlfn.IFNA(VLOOKUP(C464,CallLog_Latest!A:H,7,FALSE),"Not Called")</f>
        <v>Not Called</v>
      </c>
      <c r="E464" t="str">
        <f>IF(ISNA(VLOOKUP(C464,Registration!A:A,1,FALSE)),"Not Registered","Registered")</f>
        <v>Not Registered</v>
      </c>
      <c r="F464">
        <f>VLOOKUP(A464,Sheet1!A:B,2,FALSE)</f>
        <v>9930396709</v>
      </c>
      <c r="G464" t="str">
        <f>_xlfn.IFNA(VLOOKUP(C464,CallLog_Latest!A:H,8,FALSE),"")</f>
        <v/>
      </c>
      <c r="H464" t="str">
        <f>VLOOKUP(C464,[1]Sheet1!$F:$H,3,FALSE)</f>
        <v>Divya Apartment  504/A Wing Opp.Triveni Nagar  Kurar Village Malad (E</v>
      </c>
    </row>
    <row r="465" spans="1:8" x14ac:dyDescent="0.25">
      <c r="A465" t="s">
        <v>65</v>
      </c>
      <c r="B465" t="s">
        <v>506</v>
      </c>
      <c r="C465">
        <v>9323994860</v>
      </c>
      <c r="D465" t="str">
        <f>_xlfn.IFNA(VLOOKUP(C465,CallLog_Latest!A:H,7,FALSE),"Not Called")</f>
        <v>Not Called</v>
      </c>
      <c r="E465" t="str">
        <f>IF(ISNA(VLOOKUP(C465,Registration!A:A,1,FALSE)),"Not Registered","Registered")</f>
        <v>Not Registered</v>
      </c>
      <c r="F465">
        <f>VLOOKUP(A465,Sheet1!A:B,2,FALSE)</f>
        <v>7738892551</v>
      </c>
      <c r="G465" t="str">
        <f>_xlfn.IFNA(VLOOKUP(C465,CallLog_Latest!A:H,8,FALSE),"")</f>
        <v/>
      </c>
      <c r="H465" t="str">
        <f>VLOOKUP(C465,[1]Sheet1!$F:$H,3,FALSE)</f>
        <v>B- 6  Ashiyana Apartment Upper Govind Nagar</v>
      </c>
    </row>
    <row r="466" spans="1:8" x14ac:dyDescent="0.25">
      <c r="A466" t="s">
        <v>67</v>
      </c>
      <c r="B466" t="s">
        <v>507</v>
      </c>
      <c r="C466">
        <v>9869070123</v>
      </c>
      <c r="D466" t="str">
        <f>_xlfn.IFNA(VLOOKUP(C466,CallLog_Latest!A:H,7,FALSE),"Not Called")</f>
        <v>Not Called</v>
      </c>
      <c r="E466" t="str">
        <f>IF(ISNA(VLOOKUP(C466,Registration!A:A,1,FALSE)),"Not Registered","Registered")</f>
        <v>Not Registered</v>
      </c>
      <c r="F466">
        <f>VLOOKUP(A466,Sheet1!A:B,2,FALSE)</f>
        <v>9820251565</v>
      </c>
      <c r="G466" t="str">
        <f>_xlfn.IFNA(VLOOKUP(C466,CallLog_Latest!A:H,8,FALSE),"")</f>
        <v/>
      </c>
      <c r="H466" t="str">
        <f>VLOOKUP(C466,[1]Sheet1!$F:$H,3,FALSE)</f>
        <v>Omkar Alta Monte  Tower -A  5th floor  507 Western express Highway  Nr. Shantarao Talav</v>
      </c>
    </row>
    <row r="467" spans="1:8" x14ac:dyDescent="0.25">
      <c r="A467" t="s">
        <v>69</v>
      </c>
      <c r="B467" t="s">
        <v>508</v>
      </c>
      <c r="C467">
        <v>9599704370</v>
      </c>
      <c r="D467" t="str">
        <f>_xlfn.IFNA(VLOOKUP(C467,CallLog_Latest!A:H,7,FALSE),"Not Called")</f>
        <v>Not Called</v>
      </c>
      <c r="E467" t="str">
        <f>IF(ISNA(VLOOKUP(C467,Registration!A:A,1,FALSE)),"Not Registered","Registered")</f>
        <v>Not Registered</v>
      </c>
      <c r="F467">
        <f>VLOOKUP(A467,Sheet1!A:B,2,FALSE)</f>
        <v>9968855475</v>
      </c>
      <c r="G467" t="str">
        <f>_xlfn.IFNA(VLOOKUP(C467,CallLog_Latest!A:H,8,FALSE),"")</f>
        <v/>
      </c>
      <c r="H467" t="str">
        <f>VLOOKUP(C467,[1]Sheet1!$F:$H,3,FALSE)</f>
        <v>A-804, Shikhar Kunj Upper Govind Nagar, Malad (E</v>
      </c>
    </row>
    <row r="468" spans="1:8" x14ac:dyDescent="0.25">
      <c r="A468" t="s">
        <v>71</v>
      </c>
      <c r="B468" t="s">
        <v>509</v>
      </c>
      <c r="C468">
        <v>9819143782</v>
      </c>
      <c r="D468" t="str">
        <f>_xlfn.IFNA(VLOOKUP(C468,CallLog_Latest!A:H,7,FALSE),"Not Called")</f>
        <v>Not Called</v>
      </c>
      <c r="E468" t="str">
        <f>IF(ISNA(VLOOKUP(C468,Registration!A:A,1,FALSE)),"Not Registered","Registered")</f>
        <v>Not Registered</v>
      </c>
      <c r="F468">
        <f>VLOOKUP(A468,Sheet1!A:B,2,FALSE)</f>
        <v>9405263833</v>
      </c>
      <c r="G468" t="str">
        <f>_xlfn.IFNA(VLOOKUP(C468,CallLog_Latest!A:H,8,FALSE),"")</f>
        <v/>
      </c>
      <c r="H468" t="str">
        <f>VLOOKUP(C468,[1]Sheet1!$F:$H,3,FALSE)</f>
        <v>Ratna Rupal CHSL., 408 B  Shivaji X Road, Near Kalpana Nursingh Hospital, Daftary Road, Malad (E</v>
      </c>
    </row>
    <row r="469" spans="1:8" x14ac:dyDescent="0.25">
      <c r="A469" t="s">
        <v>73</v>
      </c>
      <c r="B469" t="s">
        <v>510</v>
      </c>
      <c r="C469">
        <v>9331290465</v>
      </c>
      <c r="D469" t="str">
        <f>_xlfn.IFNA(VLOOKUP(C469,CallLog_Latest!A:H,7,FALSE),"Not Called")</f>
        <v>Confirmed Presence ✅</v>
      </c>
      <c r="E469" t="str">
        <f>IF(ISNA(VLOOKUP(C469,Registration!A:A,1,FALSE)),"Not Registered","Registered")</f>
        <v>Not Registered</v>
      </c>
      <c r="F469">
        <f>VLOOKUP(A469,Sheet1!A:B,2,FALSE)</f>
        <v>8879433174</v>
      </c>
      <c r="G469">
        <f>_xlfn.IFNA(VLOOKUP(C469,CallLog_Latest!A:H,8,FALSE),"")</f>
        <v>0</v>
      </c>
      <c r="H469" t="str">
        <f>VLOOKUP(C469,[1]Sheet1!$F:$H,3,FALSE)</f>
        <v>Plot 827a/1c  Flat 1101 11 Floor  G-wing  Raheja Heights  Raheja Ht. Complx.  Khadakpada Rd.  Nr. Nagari Niwara Parish</v>
      </c>
    </row>
    <row r="470" spans="1:8" x14ac:dyDescent="0.25">
      <c r="A470" t="s">
        <v>75</v>
      </c>
      <c r="B470" t="s">
        <v>511</v>
      </c>
      <c r="C470">
        <v>9324635055</v>
      </c>
      <c r="D470" t="str">
        <f>_xlfn.IFNA(VLOOKUP(C470,CallLog_Latest!A:H,7,FALSE),"Not Called")</f>
        <v>Not Called</v>
      </c>
      <c r="E470" t="str">
        <f>IF(ISNA(VLOOKUP(C470,Registration!A:A,1,FALSE)),"Not Registered","Registered")</f>
        <v>Not Registered</v>
      </c>
      <c r="F470">
        <f>VLOOKUP(A470,Sheet1!A:B,2,FALSE)</f>
        <v>9993325021</v>
      </c>
      <c r="G470" t="str">
        <f>_xlfn.IFNA(VLOOKUP(C470,CallLog_Latest!A:H,8,FALSE),"")</f>
        <v/>
      </c>
      <c r="H470" t="str">
        <f>VLOOKUP(C470,[1]Sheet1!$F:$H,3,FALSE)</f>
        <v>A-804  Shikhar Kunj Upper Govind Nagar Malad (E</v>
      </c>
    </row>
    <row r="471" spans="1:8" x14ac:dyDescent="0.25">
      <c r="A471" t="s">
        <v>12</v>
      </c>
      <c r="B471" t="s">
        <v>512</v>
      </c>
      <c r="C471">
        <v>9833705425</v>
      </c>
      <c r="D471" t="str">
        <f>_xlfn.IFNA(VLOOKUP(C471,CallLog_Latest!A:H,7,FALSE),"Not Called")</f>
        <v>Confirmed Presence ✅</v>
      </c>
      <c r="E471" t="str">
        <f>IF(ISNA(VLOOKUP(C471,Registration!A:A,1,FALSE)),"Not Registered","Registered")</f>
        <v>Registered</v>
      </c>
      <c r="F471">
        <f>VLOOKUP(A471,Sheet1!A:B,2,FALSE)</f>
        <v>9820454734</v>
      </c>
      <c r="G471">
        <f>_xlfn.IFNA(VLOOKUP(C471,CallLog_Latest!A:H,8,FALSE),"")</f>
        <v>0</v>
      </c>
      <c r="H471" t="str">
        <f>VLOOKUP(C471,[1]Sheet1!$F:$H,3,FALSE)</f>
        <v>204  A-Wing  Panchsheel 1 CHSL Raheja Township</v>
      </c>
    </row>
    <row r="472" spans="1:8" x14ac:dyDescent="0.25">
      <c r="A472" t="s">
        <v>78</v>
      </c>
      <c r="B472" t="s">
        <v>513</v>
      </c>
      <c r="C472">
        <v>9821775817</v>
      </c>
      <c r="D472" t="str">
        <f>_xlfn.IFNA(VLOOKUP(C472,CallLog_Latest!A:H,7,FALSE),"Not Called")</f>
        <v>Phone Busy</v>
      </c>
      <c r="E472" t="str">
        <f>IF(ISNA(VLOOKUP(C472,Registration!A:A,1,FALSE)),"Not Registered","Registered")</f>
        <v>Not Registered</v>
      </c>
      <c r="F472">
        <f>VLOOKUP(A472,Sheet1!A:B,2,FALSE)</f>
        <v>9029105124</v>
      </c>
      <c r="G472">
        <f>_xlfn.IFNA(VLOOKUP(C472,CallLog_Latest!A:H,8,FALSE),"")</f>
        <v>0</v>
      </c>
      <c r="H472" t="str">
        <f>VLOOKUP(C472,[1]Sheet1!$F:$H,3,FALSE)</f>
        <v>C/003  Panchawati 1 Raheja Township</v>
      </c>
    </row>
    <row r="473" spans="1:8" x14ac:dyDescent="0.25">
      <c r="A473" t="s">
        <v>80</v>
      </c>
      <c r="B473" t="s">
        <v>514</v>
      </c>
      <c r="C473">
        <v>9321240925</v>
      </c>
      <c r="D473" t="str">
        <f>_xlfn.IFNA(VLOOKUP(C473,CallLog_Latest!A:H,7,FALSE),"Not Called")</f>
        <v>Not Called</v>
      </c>
      <c r="E473" t="str">
        <f>IF(ISNA(VLOOKUP(C473,Registration!A:A,1,FALSE)),"Not Registered","Registered")</f>
        <v>Not Registered</v>
      </c>
      <c r="F473">
        <f>VLOOKUP(A473,Sheet1!A:B,2,FALSE)</f>
        <v>9599704370</v>
      </c>
      <c r="G473" t="str">
        <f>_xlfn.IFNA(VLOOKUP(C473,CallLog_Latest!A:H,8,FALSE),"")</f>
        <v/>
      </c>
      <c r="H473" t="str">
        <f>VLOOKUP(C473,[1]Sheet1!$F:$H,3,FALSE)</f>
        <v>Triveni Apartment, Flat No. 503  Suchidham, Film City Road, Near Dindoshi, Malad (E</v>
      </c>
    </row>
    <row r="474" spans="1:8" x14ac:dyDescent="0.25">
      <c r="A474" t="s">
        <v>82</v>
      </c>
      <c r="B474" t="s">
        <v>515</v>
      </c>
      <c r="C474">
        <v>8879380701</v>
      </c>
      <c r="D474" t="str">
        <f>_xlfn.IFNA(VLOOKUP(C474,CallLog_Latest!A:H,7,FALSE),"Not Called")</f>
        <v>Confirmed Presence ✅</v>
      </c>
      <c r="E474" t="str">
        <f>IF(ISNA(VLOOKUP(C474,Registration!A:A,1,FALSE)),"Not Registered","Registered")</f>
        <v>Not Registered</v>
      </c>
      <c r="F474">
        <f>VLOOKUP(A474,Sheet1!A:B,2,FALSE)</f>
        <v>9824100412</v>
      </c>
      <c r="G474">
        <f>_xlfn.IFNA(VLOOKUP(C474,CallLog_Latest!A:H,8,FALSE),"")</f>
        <v>0</v>
      </c>
      <c r="H474" t="str">
        <f>VLOOKUP(C474,[1]Sheet1!$F:$H,3,FALSE)</f>
        <v>B-1401, Lalani Grandeur CHSL., Velentine Complex Near Riddhi Garden, Malad (E</v>
      </c>
    </row>
    <row r="475" spans="1:8" x14ac:dyDescent="0.25">
      <c r="A475" t="s">
        <v>84</v>
      </c>
      <c r="B475" t="s">
        <v>516</v>
      </c>
      <c r="C475">
        <v>9702733311</v>
      </c>
      <c r="D475" t="str">
        <f>_xlfn.IFNA(VLOOKUP(C475,CallLog_Latest!A:H,7,FALSE),"Not Called")</f>
        <v>Not Coming</v>
      </c>
      <c r="E475" t="str">
        <f>IF(ISNA(VLOOKUP(C475,Registration!A:A,1,FALSE)),"Not Registered","Registered")</f>
        <v>Not Registered</v>
      </c>
      <c r="F475">
        <f>VLOOKUP(A475,Sheet1!A:B,2,FALSE)</f>
        <v>9225211083</v>
      </c>
      <c r="G475">
        <f>_xlfn.IFNA(VLOOKUP(C475,CallLog_Latest!A:H,8,FALSE),"")</f>
        <v>0</v>
      </c>
      <c r="H475" t="str">
        <f>VLOOKUP(C475,[1]Sheet1!$F:$H,3,FALSE)</f>
        <v>B-403  RAHEJA HEIGHTS GEN AK VAIDYA MARG</v>
      </c>
    </row>
    <row r="476" spans="1:8" x14ac:dyDescent="0.25">
      <c r="A476" t="s">
        <v>86</v>
      </c>
      <c r="B476" t="s">
        <v>517</v>
      </c>
      <c r="C476">
        <v>9323542296</v>
      </c>
      <c r="D476" t="str">
        <f>_xlfn.IFNA(VLOOKUP(C476,CallLog_Latest!A:H,7,FALSE),"Not Called")</f>
        <v>Not Called</v>
      </c>
      <c r="E476" t="str">
        <f>IF(ISNA(VLOOKUP(C476,Registration!A:A,1,FALSE)),"Not Registered","Registered")</f>
        <v>Not Registered</v>
      </c>
      <c r="F476">
        <f>VLOOKUP(A476,Sheet1!A:B,2,FALSE)</f>
        <v>9930252076</v>
      </c>
      <c r="G476" t="str">
        <f>_xlfn.IFNA(VLOOKUP(C476,CallLog_Latest!A:H,8,FALSE),"")</f>
        <v/>
      </c>
      <c r="H476" t="str">
        <f>VLOOKUP(C476,[1]Sheet1!$F:$H,3,FALSE)</f>
        <v>B-502  Shivam I  W.E.Highway Raheja Complex</v>
      </c>
    </row>
    <row r="477" spans="1:8" x14ac:dyDescent="0.25">
      <c r="A477" t="s">
        <v>88</v>
      </c>
      <c r="B477" t="s">
        <v>518</v>
      </c>
      <c r="C477">
        <v>9819890390</v>
      </c>
      <c r="D477" t="str">
        <f>_xlfn.IFNA(VLOOKUP(C477,CallLog_Latest!A:H,7,FALSE),"Not Called")</f>
        <v>Not Called</v>
      </c>
      <c r="E477" t="str">
        <f>IF(ISNA(VLOOKUP(C477,Registration!A:A,1,FALSE)),"Not Registered","Registered")</f>
        <v>Not Registered</v>
      </c>
      <c r="F477">
        <f>VLOOKUP(A477,Sheet1!A:B,2,FALSE)</f>
        <v>9661270782</v>
      </c>
      <c r="G477" t="str">
        <f>_xlfn.IFNA(VLOOKUP(C477,CallLog_Latest!A:H,8,FALSE),"")</f>
        <v/>
      </c>
      <c r="H477" t="str">
        <f>VLOOKUP(C477,[1]Sheet1!$F:$H,3,FALSE)</f>
        <v>701, Shivam-1/B, Raheja Complex, W. E. Highway, Malad (E</v>
      </c>
    </row>
    <row r="478" spans="1:8" x14ac:dyDescent="0.25">
      <c r="A478" t="s">
        <v>90</v>
      </c>
      <c r="B478" t="s">
        <v>519</v>
      </c>
      <c r="C478">
        <v>9088014904</v>
      </c>
      <c r="D478" t="str">
        <f>_xlfn.IFNA(VLOOKUP(C478,CallLog_Latest!A:H,7,FALSE),"Not Called")</f>
        <v>Not Called</v>
      </c>
      <c r="E478" t="str">
        <f>IF(ISNA(VLOOKUP(C478,Registration!A:A,1,FALSE)),"Not Registered","Registered")</f>
        <v>Registered</v>
      </c>
      <c r="F478">
        <f>VLOOKUP(A478,Sheet1!A:B,2,FALSE)</f>
        <v>9819128389</v>
      </c>
      <c r="G478" t="str">
        <f>_xlfn.IFNA(VLOOKUP(C478,CallLog_Latest!A:H,8,FALSE),"")</f>
        <v/>
      </c>
      <c r="H478" t="str">
        <f>VLOOKUP(C478,[1]Sheet1!$F:$H,3,FALSE)</f>
        <v>Omkar Altamonte, C-303, Near Western Express Highway, Shantaram Talav, Malad (E</v>
      </c>
    </row>
    <row r="479" spans="1:8" x14ac:dyDescent="0.25">
      <c r="A479" t="s">
        <v>92</v>
      </c>
      <c r="B479" t="s">
        <v>520</v>
      </c>
      <c r="C479">
        <v>9322608350</v>
      </c>
      <c r="D479" t="str">
        <f>_xlfn.IFNA(VLOOKUP(C479,CallLog_Latest!A:H,7,FALSE),"Not Called")</f>
        <v>Not Called</v>
      </c>
      <c r="E479" t="str">
        <f>IF(ISNA(VLOOKUP(C479,Registration!A:A,1,FALSE)),"Not Registered","Registered")</f>
        <v>Not Registered</v>
      </c>
      <c r="F479">
        <f>VLOOKUP(A479,Sheet1!A:B,2,FALSE)</f>
        <v>8268665777</v>
      </c>
      <c r="G479" t="str">
        <f>_xlfn.IFNA(VLOOKUP(C479,CallLog_Latest!A:H,8,FALSE),"")</f>
        <v/>
      </c>
      <c r="H479" t="str">
        <f>VLOOKUP(C479,[1]Sheet1!$F:$H,3,FALSE)</f>
        <v>A 43 New Prakash Apts Navjivan Vidyalaya Marg</v>
      </c>
    </row>
    <row r="480" spans="1:8" x14ac:dyDescent="0.25">
      <c r="A480" t="s">
        <v>94</v>
      </c>
      <c r="B480" t="s">
        <v>521</v>
      </c>
      <c r="C480">
        <v>9324473435</v>
      </c>
      <c r="D480" t="str">
        <f>_xlfn.IFNA(VLOOKUP(C480,CallLog_Latest!A:H,7,FALSE),"Not Called")</f>
        <v>Not Called</v>
      </c>
      <c r="E480" t="str">
        <f>IF(ISNA(VLOOKUP(C480,Registration!A:A,1,FALSE)),"Not Registered","Registered")</f>
        <v>Not Registered</v>
      </c>
      <c r="F480">
        <f>VLOOKUP(A480,Sheet1!A:B,2,FALSE)</f>
        <v>9920085455</v>
      </c>
      <c r="G480" t="str">
        <f>_xlfn.IFNA(VLOOKUP(C480,CallLog_Latest!A:H,8,FALSE),"")</f>
        <v/>
      </c>
      <c r="H480" t="str">
        <f>VLOOKUP(C480,[1]Sheet1!$F:$H,3,FALSE)</f>
        <v>502-B  Panchsheel No.2 Raheja Township, Malad (E</v>
      </c>
    </row>
    <row r="481" spans="1:8" x14ac:dyDescent="0.25">
      <c r="A481" t="s">
        <v>96</v>
      </c>
      <c r="B481" t="s">
        <v>522</v>
      </c>
      <c r="C481">
        <v>9322232683</v>
      </c>
      <c r="D481" t="str">
        <f>_xlfn.IFNA(VLOOKUP(C481,CallLog_Latest!A:H,7,FALSE),"Not Called")</f>
        <v>May be Attending</v>
      </c>
      <c r="E481" t="str">
        <f>IF(ISNA(VLOOKUP(C481,Registration!A:A,1,FALSE)),"Not Registered","Registered")</f>
        <v>Not Registered</v>
      </c>
      <c r="F481">
        <f>VLOOKUP(A481,Sheet1!A:B,2,FALSE)</f>
        <v>9424584007</v>
      </c>
      <c r="G481" t="str">
        <f>_xlfn.IFNA(VLOOKUP(C481,CallLog_Latest!A:H,8,FALSE),"")</f>
        <v>He is out of town, wife might attend.</v>
      </c>
      <c r="H481" t="str">
        <f>VLOOKUP(C481,[1]Sheet1!$F:$H,3,FALSE)</f>
        <v>1201  Triveni CHS. Shuchi Dham Filmcity Road</v>
      </c>
    </row>
    <row r="482" spans="1:8" x14ac:dyDescent="0.25">
      <c r="A482" t="s">
        <v>3</v>
      </c>
      <c r="B482" t="s">
        <v>523</v>
      </c>
      <c r="C482">
        <v>7738042645</v>
      </c>
      <c r="D482" t="str">
        <f>_xlfn.IFNA(VLOOKUP(C482,CallLog_Latest!A:H,7,FALSE),"Not Called")</f>
        <v>Not Called</v>
      </c>
      <c r="E482" t="str">
        <f>IF(ISNA(VLOOKUP(C482,Registration!A:A,1,FALSE)),"Not Registered","Registered")</f>
        <v>Not Registered</v>
      </c>
      <c r="F482">
        <f>VLOOKUP(A482,Sheet1!A:B,2,FALSE)</f>
        <v>9326379737</v>
      </c>
      <c r="G482" t="str">
        <f>_xlfn.IFNA(VLOOKUP(C482,CallLog_Latest!A:H,8,FALSE),"")</f>
        <v/>
      </c>
      <c r="H482" t="str">
        <f>VLOOKUP(C482,[1]Sheet1!$F:$H,3,FALSE)</f>
        <v>Upvan Tower, B-1104 Upper Govind Nagar, Malad (E</v>
      </c>
    </row>
    <row r="483" spans="1:8" x14ac:dyDescent="0.25">
      <c r="A483" t="s">
        <v>5</v>
      </c>
      <c r="B483" t="s">
        <v>524</v>
      </c>
      <c r="C483">
        <v>9322231538</v>
      </c>
      <c r="D483" t="str">
        <f>_xlfn.IFNA(VLOOKUP(C483,CallLog_Latest!A:H,7,FALSE),"Not Called")</f>
        <v>Not Called</v>
      </c>
      <c r="E483" t="str">
        <f>IF(ISNA(VLOOKUP(C483,Registration!A:A,1,FALSE)),"Not Registered","Registered")</f>
        <v>Not Registered</v>
      </c>
      <c r="F483">
        <f>VLOOKUP(A483,Sheet1!A:B,2,FALSE)</f>
        <v>9323541634</v>
      </c>
      <c r="G483" t="str">
        <f>_xlfn.IFNA(VLOOKUP(C483,CallLog_Latest!A:H,8,FALSE),"")</f>
        <v/>
      </c>
      <c r="H483" t="str">
        <f>VLOOKUP(C483,[1]Sheet1!$F:$H,3,FALSE)</f>
        <v>B/302 Brijwadi Appt  55-Dattaram Road B-Wing</v>
      </c>
    </row>
    <row r="484" spans="1:8" x14ac:dyDescent="0.25">
      <c r="A484" t="s">
        <v>7</v>
      </c>
      <c r="B484" t="s">
        <v>525</v>
      </c>
      <c r="C484">
        <v>9769313925</v>
      </c>
      <c r="D484" t="str">
        <f>_xlfn.IFNA(VLOOKUP(C484,CallLog_Latest!A:H,7,FALSE),"Not Called")</f>
        <v>Not Called</v>
      </c>
      <c r="E484" t="str">
        <f>IF(ISNA(VLOOKUP(C484,Registration!A:A,1,FALSE)),"Not Registered","Registered")</f>
        <v>Not Registered</v>
      </c>
      <c r="F484">
        <f>VLOOKUP(A484,Sheet1!A:B,2,FALSE)</f>
        <v>9867015031</v>
      </c>
      <c r="G484" t="str">
        <f>_xlfn.IFNA(VLOOKUP(C484,CallLog_Latest!A:H,8,FALSE),"")</f>
        <v/>
      </c>
      <c r="H484" t="str">
        <f>VLOOKUP(C484,[1]Sheet1!$F:$H,3,FALSE)</f>
        <v>403 Blue Mountain Apartment  Upper Govind Nagar</v>
      </c>
    </row>
    <row r="485" spans="1:8" x14ac:dyDescent="0.25">
      <c r="A485" t="s">
        <v>9</v>
      </c>
      <c r="B485" t="s">
        <v>526</v>
      </c>
      <c r="C485">
        <v>9833380315</v>
      </c>
      <c r="D485" t="str">
        <f>_xlfn.IFNA(VLOOKUP(C485,CallLog_Latest!A:H,7,FALSE),"Not Called")</f>
        <v>Not Called</v>
      </c>
      <c r="E485" t="str">
        <f>IF(ISNA(VLOOKUP(C485,Registration!A:A,1,FALSE)),"Not Registered","Registered")</f>
        <v>Not Registered</v>
      </c>
      <c r="F485">
        <f>VLOOKUP(A485,Sheet1!A:B,2,FALSE)</f>
        <v>9821268271</v>
      </c>
      <c r="G485" t="str">
        <f>_xlfn.IFNA(VLOOKUP(C485,CallLog_Latest!A:H,8,FALSE),"")</f>
        <v/>
      </c>
      <c r="H485" t="str">
        <f>VLOOKUP(C485,[1]Sheet1!$F:$H,3,FALSE)</f>
        <v>2a/302  Omkar CHS. New Mhada Colony</v>
      </c>
    </row>
    <row r="486" spans="1:8" x14ac:dyDescent="0.25">
      <c r="A486" t="s">
        <v>11</v>
      </c>
      <c r="B486" t="s">
        <v>527</v>
      </c>
      <c r="C486">
        <v>7977105715</v>
      </c>
      <c r="D486" t="str">
        <f>_xlfn.IFNA(VLOOKUP(C486,CallLog_Latest!A:H,7,FALSE),"Not Called")</f>
        <v>Not Called</v>
      </c>
      <c r="E486" t="str">
        <f>IF(ISNA(VLOOKUP(C486,Registration!A:A,1,FALSE)),"Not Registered","Registered")</f>
        <v>Not Registered</v>
      </c>
      <c r="F486">
        <f>VLOOKUP(A486,Sheet1!A:B,2,FALSE)</f>
        <v>9322598681</v>
      </c>
      <c r="G486" t="str">
        <f>_xlfn.IFNA(VLOOKUP(C486,CallLog_Latest!A:H,8,FALSE),"")</f>
        <v/>
      </c>
      <c r="H486" t="str">
        <f>VLOOKUP(C486,[1]Sheet1!$F:$H,3,FALSE)</f>
        <v>Upvan Tower, B-1104 &amp; B-804 Upper Govind Nagar, Malad (E</v>
      </c>
    </row>
    <row r="487" spans="1:8" x14ac:dyDescent="0.25">
      <c r="A487" t="s">
        <v>13</v>
      </c>
      <c r="B487" t="s">
        <v>528</v>
      </c>
      <c r="C487">
        <v>9920085200</v>
      </c>
      <c r="D487" t="str">
        <f>_xlfn.IFNA(VLOOKUP(C487,CallLog_Latest!A:H,7,FALSE),"Not Called")</f>
        <v>Not Called</v>
      </c>
      <c r="E487" t="str">
        <f>IF(ISNA(VLOOKUP(C487,Registration!A:A,1,FALSE)),"Not Registered","Registered")</f>
        <v>Not Registered</v>
      </c>
      <c r="F487">
        <f>VLOOKUP(A487,Sheet1!A:B,2,FALSE)</f>
        <v>9969403870</v>
      </c>
      <c r="G487" t="str">
        <f>_xlfn.IFNA(VLOOKUP(C487,CallLog_Latest!A:H,8,FALSE),"")</f>
        <v/>
      </c>
      <c r="H487" t="str">
        <f>VLOOKUP(C487,[1]Sheet1!$F:$H,3,FALSE)</f>
        <v>Raheja Heights, G-1801 Off. General A. K. Vaidya Marg, Dindoshi, Malad (E</v>
      </c>
    </row>
    <row r="488" spans="1:8" x14ac:dyDescent="0.25">
      <c r="A488" t="s">
        <v>15</v>
      </c>
      <c r="B488" t="s">
        <v>529</v>
      </c>
      <c r="C488">
        <v>9322224551</v>
      </c>
      <c r="D488" t="str">
        <f>_xlfn.IFNA(VLOOKUP(C488,CallLog_Latest!A:H,7,FALSE),"Not Called")</f>
        <v>Not Called</v>
      </c>
      <c r="E488" t="str">
        <f>IF(ISNA(VLOOKUP(C488,Registration!A:A,1,FALSE)),"Not Registered","Registered")</f>
        <v>Not Registered</v>
      </c>
      <c r="F488">
        <f>VLOOKUP(A488,Sheet1!A:B,2,FALSE)</f>
        <v>9892726278</v>
      </c>
      <c r="G488" t="str">
        <f>_xlfn.IFNA(VLOOKUP(C488,CallLog_Latest!A:H,8,FALSE),"")</f>
        <v/>
      </c>
      <c r="H488" t="str">
        <f>VLOOKUP(C488,[1]Sheet1!$F:$H,3,FALSE)</f>
        <v>602,Satsang tower Upper govind nagar ,Malad east</v>
      </c>
    </row>
    <row r="489" spans="1:8" x14ac:dyDescent="0.25">
      <c r="A489" t="s">
        <v>17</v>
      </c>
      <c r="B489" t="s">
        <v>530</v>
      </c>
      <c r="C489">
        <v>9324940513</v>
      </c>
      <c r="D489" t="str">
        <f>_xlfn.IFNA(VLOOKUP(C489,CallLog_Latest!A:H,7,FALSE),"Not Called")</f>
        <v>Not Called</v>
      </c>
      <c r="E489" t="str">
        <f>IF(ISNA(VLOOKUP(C489,Registration!A:A,1,FALSE)),"Not Registered","Registered")</f>
        <v>Not Registered</v>
      </c>
      <c r="F489">
        <f>VLOOKUP(A489,Sheet1!A:B,2,FALSE)</f>
        <v>9869798705</v>
      </c>
      <c r="G489" t="str">
        <f>_xlfn.IFNA(VLOOKUP(C489,CallLog_Latest!A:H,8,FALSE),"")</f>
        <v/>
      </c>
      <c r="H489" t="str">
        <f>VLOOKUP(C489,[1]Sheet1!$F:$H,3,FALSE)</f>
        <v>A 43 New Prakash Apts Navjivan Vidyalaya Marg</v>
      </c>
    </row>
    <row r="490" spans="1:8" x14ac:dyDescent="0.25">
      <c r="A490" t="s">
        <v>19</v>
      </c>
      <c r="B490" t="s">
        <v>531</v>
      </c>
      <c r="C490">
        <v>9987591749</v>
      </c>
      <c r="D490" t="str">
        <f>_xlfn.IFNA(VLOOKUP(C490,CallLog_Latest!A:H,7,FALSE),"Not Called")</f>
        <v>Not Called</v>
      </c>
      <c r="E490" t="str">
        <f>IF(ISNA(VLOOKUP(C490,Registration!A:A,1,FALSE)),"Not Registered","Registered")</f>
        <v>Not Registered</v>
      </c>
      <c r="F490">
        <f>VLOOKUP(A490,Sheet1!A:B,2,FALSE)</f>
        <v>9820265640</v>
      </c>
      <c r="G490" t="str">
        <f>_xlfn.IFNA(VLOOKUP(C490,CallLog_Latest!A:H,8,FALSE),"")</f>
        <v/>
      </c>
      <c r="H490" t="str">
        <f>VLOOKUP(C490,[1]Sheet1!$F:$H,3,FALSE)</f>
        <v>A:1002,  A  Wing, Lalani  Grandeur CHSL General A K Vaidya Marg, Malad East</v>
      </c>
    </row>
    <row r="491" spans="1:8" x14ac:dyDescent="0.25">
      <c r="A491" t="s">
        <v>21</v>
      </c>
      <c r="B491" t="s">
        <v>532</v>
      </c>
      <c r="C491">
        <v>9820870115</v>
      </c>
      <c r="D491" t="str">
        <f>_xlfn.IFNA(VLOOKUP(C491,CallLog_Latest!A:H,7,FALSE),"Not Called")</f>
        <v>Not Called</v>
      </c>
      <c r="E491" t="str">
        <f>IF(ISNA(VLOOKUP(C491,Registration!A:A,1,FALSE)),"Not Registered","Registered")</f>
        <v>Not Registered</v>
      </c>
      <c r="F491">
        <f>VLOOKUP(A491,Sheet1!A:B,2,FALSE)</f>
        <v>9820636392</v>
      </c>
      <c r="G491" t="str">
        <f>_xlfn.IFNA(VLOOKUP(C491,CallLog_Latest!A:H,8,FALSE),"")</f>
        <v/>
      </c>
      <c r="H491" t="str">
        <f>VLOOKUP(C491,[1]Sheet1!$F:$H,3,FALSE)</f>
        <v>A-43  New Prakash Apartment  Navjeevan Vidhyalay Marg  Rani Sati Road</v>
      </c>
    </row>
    <row r="492" spans="1:8" x14ac:dyDescent="0.25">
      <c r="A492" t="s">
        <v>23</v>
      </c>
      <c r="B492" t="s">
        <v>533</v>
      </c>
      <c r="C492">
        <v>9833936221</v>
      </c>
      <c r="D492" t="str">
        <f>_xlfn.IFNA(VLOOKUP(C492,CallLog_Latest!A:H,7,FALSE),"Not Called")</f>
        <v>Not Called</v>
      </c>
      <c r="E492" t="str">
        <f>IF(ISNA(VLOOKUP(C492,Registration!A:A,1,FALSE)),"Not Registered","Registered")</f>
        <v>Not Registered</v>
      </c>
      <c r="F492">
        <f>VLOOKUP(A492,Sheet1!A:B,2,FALSE)</f>
        <v>7977439717</v>
      </c>
      <c r="G492" t="str">
        <f>_xlfn.IFNA(VLOOKUP(C492,CallLog_Latest!A:H,8,FALSE),"")</f>
        <v/>
      </c>
      <c r="H492" t="str">
        <f>VLOOKUP(C492,[1]Sheet1!$F:$H,3,FALSE)</f>
        <v>B-1104  Upvan Tower  Upper Govind Nagar Opp. Poddar School</v>
      </c>
    </row>
    <row r="493" spans="1:8" x14ac:dyDescent="0.25">
      <c r="A493" t="s">
        <v>25</v>
      </c>
      <c r="B493" t="s">
        <v>534</v>
      </c>
      <c r="C493">
        <v>9322260986</v>
      </c>
      <c r="D493" t="str">
        <f>_xlfn.IFNA(VLOOKUP(C493,CallLog_Latest!A:H,7,FALSE),"Not Called")</f>
        <v>Not Called</v>
      </c>
      <c r="E493" t="str">
        <f>IF(ISNA(VLOOKUP(C493,Registration!A:A,1,FALSE)),"Not Registered","Registered")</f>
        <v>Not Registered</v>
      </c>
      <c r="F493">
        <f>VLOOKUP(A493,Sheet1!A:B,2,FALSE)</f>
        <v>9967045520</v>
      </c>
      <c r="G493" t="str">
        <f>_xlfn.IFNA(VLOOKUP(C493,CallLog_Latest!A:H,8,FALSE),"")</f>
        <v/>
      </c>
      <c r="H493" t="str">
        <f>VLOOKUP(C493,[1]Sheet1!$F:$H,3,FALSE)</f>
        <v>2/A.Ganga Vihar Bldg Raheja Township Malad (E Mumbai .</v>
      </c>
    </row>
    <row r="494" spans="1:8" x14ac:dyDescent="0.25">
      <c r="A494" t="s">
        <v>27</v>
      </c>
      <c r="B494" t="s">
        <v>535</v>
      </c>
      <c r="C494">
        <v>9320683201</v>
      </c>
      <c r="D494" t="str">
        <f>_xlfn.IFNA(VLOOKUP(C494,CallLog_Latest!A:H,7,FALSE),"Not Called")</f>
        <v>Maybe Attending 🤔</v>
      </c>
      <c r="E494" t="str">
        <f>IF(ISNA(VLOOKUP(C494,Registration!A:A,1,FALSE)),"Not Registered","Registered")</f>
        <v>Not Registered</v>
      </c>
      <c r="F494">
        <f>VLOOKUP(A494,Sheet1!A:B,2,FALSE)</f>
        <v>9820075931</v>
      </c>
      <c r="G494" t="str">
        <f>_xlfn.IFNA(VLOOKUP(C494,CallLog_Latest!A:H,8,FALSE),"")</f>
        <v>Out of station delhi</v>
      </c>
      <c r="H494" t="str">
        <f>VLOOKUP(C494,[1]Sheet1!$F:$H,3,FALSE)</f>
        <v>Upper East 97, D-1003 Upper Govind Nagar, Behind Poddar School, Malad (E</v>
      </c>
    </row>
    <row r="495" spans="1:8" x14ac:dyDescent="0.25">
      <c r="A495" t="s">
        <v>29</v>
      </c>
      <c r="B495" t="s">
        <v>536</v>
      </c>
      <c r="C495">
        <v>9892300157</v>
      </c>
      <c r="D495" t="str">
        <f>_xlfn.IFNA(VLOOKUP(C495,CallLog_Latest!A:H,7,FALSE),"Not Called")</f>
        <v>Not Called</v>
      </c>
      <c r="E495" t="str">
        <f>IF(ISNA(VLOOKUP(C495,Registration!A:A,1,FALSE)),"Not Registered","Registered")</f>
        <v>Not Registered</v>
      </c>
      <c r="F495">
        <f>VLOOKUP(A495,Sheet1!A:B,2,FALSE)</f>
        <v>9819364345</v>
      </c>
      <c r="G495" t="str">
        <f>_xlfn.IFNA(VLOOKUP(C495,CallLog_Latest!A:H,8,FALSE),"")</f>
        <v/>
      </c>
      <c r="H495" t="str">
        <f>VLOOKUP(C495,[1]Sheet1!$F:$H,3,FALSE)</f>
        <v>Upper East 97, D wing, 1103 Kailashpuri road, Upper Govind Nagar</v>
      </c>
    </row>
    <row r="496" spans="1:8" x14ac:dyDescent="0.25">
      <c r="A496" t="s">
        <v>31</v>
      </c>
      <c r="B496" t="s">
        <v>537</v>
      </c>
      <c r="C496">
        <v>9322275160</v>
      </c>
      <c r="D496" t="str">
        <f>_xlfn.IFNA(VLOOKUP(C496,CallLog_Latest!A:H,7,FALSE),"Not Called")</f>
        <v>Phone Busy</v>
      </c>
      <c r="E496" t="str">
        <f>IF(ISNA(VLOOKUP(C496,Registration!A:A,1,FALSE)),"Not Registered","Registered")</f>
        <v>Not Registered</v>
      </c>
      <c r="F496">
        <f>VLOOKUP(A496,Sheet1!A:B,2,FALSE)</f>
        <v>9869064553</v>
      </c>
      <c r="G496">
        <f>_xlfn.IFNA(VLOOKUP(C496,CallLog_Latest!A:H,8,FALSE),"")</f>
        <v>0</v>
      </c>
      <c r="H496" t="str">
        <f>VLOOKUP(C496,[1]Sheet1!$F:$H,3,FALSE)</f>
        <v>1401/1402  A-Wing Shikhar Kunj  Upper Goving Nagar, Malad (E</v>
      </c>
    </row>
    <row r="497" spans="1:8" x14ac:dyDescent="0.25">
      <c r="A497" t="s">
        <v>33</v>
      </c>
      <c r="B497" t="s">
        <v>538</v>
      </c>
      <c r="C497">
        <v>9324811111</v>
      </c>
      <c r="D497" t="str">
        <f>_xlfn.IFNA(VLOOKUP(C497,CallLog_Latest!A:H,7,FALSE),"Not Called")</f>
        <v>Confirmed Presence</v>
      </c>
      <c r="E497" t="str">
        <f>IF(ISNA(VLOOKUP(C497,Registration!A:A,1,FALSE)),"Not Registered","Registered")</f>
        <v>Not Registered</v>
      </c>
      <c r="F497">
        <f>VLOOKUP(A497,Sheet1!A:B,2,FALSE)</f>
        <v>9930070116</v>
      </c>
      <c r="G497" t="str">
        <f>_xlfn.IFNA(VLOOKUP(C497,CallLog_Latest!A:H,8,FALSE),"")</f>
        <v>2 member ll join</v>
      </c>
      <c r="H497" t="str">
        <f>VLOOKUP(C497,[1]Sheet1!$F:$H,3,FALSE)</f>
        <v>302-b  Gardenia  Vasant Vally Complex Filmcity Road</v>
      </c>
    </row>
    <row r="498" spans="1:8" x14ac:dyDescent="0.25">
      <c r="A498" t="s">
        <v>35</v>
      </c>
      <c r="B498" t="s">
        <v>539</v>
      </c>
      <c r="C498">
        <v>9920242371</v>
      </c>
      <c r="D498" t="str">
        <f>_xlfn.IFNA(VLOOKUP(C498,CallLog_Latest!A:H,7,FALSE),"Not Called")</f>
        <v>Maybe Attending 🤔</v>
      </c>
      <c r="E498" t="str">
        <f>IF(ISNA(VLOOKUP(C498,Registration!A:A,1,FALSE)),"Not Registered","Registered")</f>
        <v>Not Registered</v>
      </c>
      <c r="F498">
        <f>VLOOKUP(A498,Sheet1!A:B,2,FALSE)</f>
        <v>9833705425</v>
      </c>
      <c r="G498">
        <f>_xlfn.IFNA(VLOOKUP(C498,CallLog_Latest!A:H,8,FALSE),"")</f>
        <v>0</v>
      </c>
      <c r="H498" t="str">
        <f>VLOOKUP(C498,[1]Sheet1!$F:$H,3,FALSE)</f>
        <v>209/210  Meghdoot Bldg  Raheja Township  Near Sai Baba Mandir</v>
      </c>
    </row>
    <row r="499" spans="1:8" x14ac:dyDescent="0.25">
      <c r="A499" t="s">
        <v>37</v>
      </c>
      <c r="B499" t="s">
        <v>540</v>
      </c>
      <c r="C499">
        <v>9820779873</v>
      </c>
      <c r="D499" t="str">
        <f>_xlfn.IFNA(VLOOKUP(C499,CallLog_Latest!A:H,7,FALSE),"Not Called")</f>
        <v>Not Called</v>
      </c>
      <c r="E499" t="str">
        <f>IF(ISNA(VLOOKUP(C499,Registration!A:A,1,FALSE)),"Not Registered","Registered")</f>
        <v>Not Registered</v>
      </c>
      <c r="F499">
        <f>VLOOKUP(A499,Sheet1!A:B,2,FALSE)</f>
        <v>9167390835</v>
      </c>
      <c r="G499" t="str">
        <f>_xlfn.IFNA(VLOOKUP(C499,CallLog_Latest!A:H,8,FALSE),"")</f>
        <v/>
      </c>
      <c r="H499" t="str">
        <f>VLOOKUP(C499,[1]Sheet1!$F:$H,3,FALSE)</f>
        <v>B/6  Hira Kutir  Shivaji Chowk Daftery Road</v>
      </c>
    </row>
    <row r="500" spans="1:8" x14ac:dyDescent="0.25">
      <c r="A500" t="s">
        <v>39</v>
      </c>
      <c r="B500" t="s">
        <v>541</v>
      </c>
      <c r="C500">
        <v>9320916175</v>
      </c>
      <c r="D500" t="str">
        <f>_xlfn.IFNA(VLOOKUP(C500,CallLog_Latest!A:H,7,FALSE),"Not Called")</f>
        <v>Confirmed Presence</v>
      </c>
      <c r="E500" t="str">
        <f>IF(ISNA(VLOOKUP(C500,Registration!A:A,1,FALSE)),"Not Registered","Registered")</f>
        <v>Not Registered</v>
      </c>
      <c r="F500">
        <f>VLOOKUP(A500,Sheet1!A:B,2,FALSE)</f>
        <v>9820505363</v>
      </c>
      <c r="G500" t="str">
        <f>_xlfn.IFNA(VLOOKUP(C500,CallLog_Latest!A:H,8,FALSE),"")</f>
        <v>Will register</v>
      </c>
      <c r="H500" t="str">
        <f>VLOOKUP(C500,[1]Sheet1!$F:$H,3,FALSE)</f>
        <v>Panchsheel-3 CHSL., F/522 5th Floor, Raheja Township, Malad (E</v>
      </c>
    </row>
    <row r="501" spans="1:8" x14ac:dyDescent="0.25">
      <c r="A501" t="s">
        <v>41</v>
      </c>
      <c r="B501" t="s">
        <v>542</v>
      </c>
      <c r="C501">
        <v>9322397174</v>
      </c>
      <c r="D501" t="str">
        <f>_xlfn.IFNA(VLOOKUP(C501,CallLog_Latest!A:H,7,FALSE),"Not Called")</f>
        <v>Confirmed Presence</v>
      </c>
      <c r="E501" t="str">
        <f>IF(ISNA(VLOOKUP(C501,Registration!A:A,1,FALSE)),"Not Registered","Registered")</f>
        <v>Not Registered</v>
      </c>
      <c r="F501">
        <f>VLOOKUP(A501,Sheet1!A:B,2,FALSE)</f>
        <v>8058973809</v>
      </c>
      <c r="G501">
        <f>_xlfn.IFNA(VLOOKUP(C501,CallLog_Latest!A:H,8,FALSE),"")</f>
        <v>0</v>
      </c>
      <c r="H501" t="str">
        <f>VLOOKUP(C501,[1]Sheet1!$F:$H,3,FALSE)</f>
        <v>B-601  Sarnath  Upper Govind Nagar</v>
      </c>
    </row>
    <row r="502" spans="1:8" x14ac:dyDescent="0.25">
      <c r="A502" t="s">
        <v>43</v>
      </c>
      <c r="B502" t="s">
        <v>543</v>
      </c>
      <c r="C502">
        <v>9004547878</v>
      </c>
      <c r="D502" t="str">
        <f>_xlfn.IFNA(VLOOKUP(C502,CallLog_Latest!A:H,7,FALSE),"Not Called")</f>
        <v>Confirmed Presence ✅</v>
      </c>
      <c r="E502" t="str">
        <f>IF(ISNA(VLOOKUP(C502,Registration!A:A,1,FALSE)),"Not Registered","Registered")</f>
        <v>Not Registered</v>
      </c>
      <c r="F502">
        <f>VLOOKUP(A502,Sheet1!A:B,2,FALSE)</f>
        <v>9320683201</v>
      </c>
      <c r="G502" t="str">
        <f>_xlfn.IFNA(VLOOKUP(C502,CallLog_Latest!A:H,8,FALSE),"")</f>
        <v>3 member</v>
      </c>
      <c r="H502" t="str">
        <f>VLOOKUP(C502,[1]Sheet1!$F:$H,3,FALSE)</f>
        <v>D/501, Upper East 97, Roha Reality,  Upper Govind Nagar, Near G.D. Jalan College, Malad (E</v>
      </c>
    </row>
    <row r="503" spans="1:8" x14ac:dyDescent="0.25">
      <c r="A503" t="s">
        <v>45</v>
      </c>
      <c r="B503" t="s">
        <v>544</v>
      </c>
      <c r="C503">
        <v>9819199907</v>
      </c>
      <c r="D503" t="str">
        <f>_xlfn.IFNA(VLOOKUP(C503,CallLog_Latest!A:H,7,FALSE),"Not Called")</f>
        <v>Not Reachable</v>
      </c>
      <c r="E503" t="str">
        <f>IF(ISNA(VLOOKUP(C503,Registration!A:A,1,FALSE)),"Not Registered","Registered")</f>
        <v>Not Registered</v>
      </c>
      <c r="F503">
        <f>VLOOKUP(A503,Sheet1!A:B,2,FALSE)</f>
        <v>9967235652</v>
      </c>
      <c r="G503">
        <f>_xlfn.IFNA(VLOOKUP(C503,CallLog_Latest!A:H,8,FALSE),"")</f>
        <v>0</v>
      </c>
      <c r="H503" t="str">
        <f>VLOOKUP(C503,[1]Sheet1!$F:$H,3,FALSE)</f>
        <v>202  Boulevard 15 Upper Govind Nagar, Malad East</v>
      </c>
    </row>
    <row r="504" spans="1:8" x14ac:dyDescent="0.25">
      <c r="A504" t="s">
        <v>47</v>
      </c>
      <c r="B504" t="s">
        <v>545</v>
      </c>
      <c r="C504">
        <v>9322874559</v>
      </c>
      <c r="D504" t="str">
        <f>_xlfn.IFNA(VLOOKUP(C504,CallLog_Latest!A:H,7,FALSE),"Not Called")</f>
        <v>Not Reachable</v>
      </c>
      <c r="E504" t="str">
        <f>IF(ISNA(VLOOKUP(C504,Registration!A:A,1,FALSE)),"Not Registered","Registered")</f>
        <v>Not Registered</v>
      </c>
      <c r="F504">
        <f>VLOOKUP(A504,Sheet1!A:B,2,FALSE)</f>
        <v>8108711149</v>
      </c>
      <c r="G504">
        <f>_xlfn.IFNA(VLOOKUP(C504,CallLog_Latest!A:H,8,FALSE),"")</f>
        <v>0</v>
      </c>
      <c r="H504" t="str">
        <f>VLOOKUP(C504,[1]Sheet1!$F:$H,3,FALSE)</f>
        <v>B-301  Harishchandra Raheja Township</v>
      </c>
    </row>
    <row r="505" spans="1:8" x14ac:dyDescent="0.25">
      <c r="A505" t="s">
        <v>49</v>
      </c>
      <c r="B505" t="s">
        <v>546</v>
      </c>
      <c r="C505">
        <v>9324474949</v>
      </c>
      <c r="D505" t="str">
        <f>_xlfn.IFNA(VLOOKUP(C505,CallLog_Latest!A:H,7,FALSE),"Not Called")</f>
        <v>Confirmed Presence ✅</v>
      </c>
      <c r="E505" t="str">
        <f>IF(ISNA(VLOOKUP(C505,Registration!A:A,1,FALSE)),"Not Registered","Registered")</f>
        <v>Not Registered</v>
      </c>
      <c r="F505">
        <f>VLOOKUP(A505,Sheet1!A:B,2,FALSE)</f>
        <v>9322206108</v>
      </c>
      <c r="G505">
        <f>_xlfn.IFNA(VLOOKUP(C505,CallLog_Latest!A:H,8,FALSE),"")</f>
        <v>0</v>
      </c>
      <c r="H505" t="str">
        <f>VLOOKUP(C505,[1]Sheet1!$F:$H,3,FALSE)</f>
        <v>Jyoti Sukriti Flat No. B/1101 -02 Floor No.11 Gokuldham Krishna Vatika Marg, Goregaon (E</v>
      </c>
    </row>
    <row r="506" spans="1:8" x14ac:dyDescent="0.25">
      <c r="A506" t="s">
        <v>51</v>
      </c>
      <c r="B506" t="s">
        <v>547</v>
      </c>
      <c r="C506">
        <v>9322177731</v>
      </c>
      <c r="D506" t="str">
        <f>_xlfn.IFNA(VLOOKUP(C506,CallLog_Latest!A:H,7,FALSE),"Not Called")</f>
        <v>Not Called</v>
      </c>
      <c r="E506" t="str">
        <f>IF(ISNA(VLOOKUP(C506,Registration!A:A,1,FALSE)),"Not Registered","Registered")</f>
        <v>Not Registered</v>
      </c>
      <c r="F506">
        <f>VLOOKUP(A506,Sheet1!A:B,2,FALSE)</f>
        <v>9967015641</v>
      </c>
      <c r="G506" t="str">
        <f>_xlfn.IFNA(VLOOKUP(C506,CallLog_Latest!A:H,8,FALSE),"")</f>
        <v/>
      </c>
      <c r="H506" t="str">
        <f>VLOOKUP(C506,[1]Sheet1!$F:$H,3,FALSE)</f>
        <v>Jyoti Sukriti Flat No. B/1101 -02 Floor No.11 Gokuldham Krishna Vatika Marg, Goregaon (E</v>
      </c>
    </row>
    <row r="507" spans="1:8" x14ac:dyDescent="0.25">
      <c r="A507" t="s">
        <v>53</v>
      </c>
      <c r="B507" t="s">
        <v>548</v>
      </c>
      <c r="C507">
        <v>9769951123</v>
      </c>
      <c r="D507" t="str">
        <f>_xlfn.IFNA(VLOOKUP(C507,CallLog_Latest!A:H,7,FALSE),"Not Called")</f>
        <v>Not Called</v>
      </c>
      <c r="E507" t="str">
        <f>IF(ISNA(VLOOKUP(C507,Registration!A:A,1,FALSE)),"Not Registered","Registered")</f>
        <v>Not Registered</v>
      </c>
      <c r="F507">
        <f>VLOOKUP(A507,Sheet1!A:B,2,FALSE)</f>
        <v>9820216355</v>
      </c>
      <c r="G507" t="str">
        <f>_xlfn.IFNA(VLOOKUP(C507,CallLog_Latest!A:H,8,FALSE),"")</f>
        <v/>
      </c>
      <c r="H507" t="str">
        <f>VLOOKUP(C507,[1]Sheet1!$F:$H,3,FALSE)</f>
        <v>Malad CHS. 7/21-22, 2nd Floor, Poddar Park Road, Malad (E,</v>
      </c>
    </row>
    <row r="508" spans="1:8" x14ac:dyDescent="0.25">
      <c r="A508" t="s">
        <v>55</v>
      </c>
      <c r="B508" t="s">
        <v>549</v>
      </c>
      <c r="C508">
        <v>9819141611</v>
      </c>
      <c r="D508" t="str">
        <f>_xlfn.IFNA(VLOOKUP(C508,CallLog_Latest!A:H,7,FALSE),"Not Called")</f>
        <v>Not Reachable</v>
      </c>
      <c r="E508" t="str">
        <f>IF(ISNA(VLOOKUP(C508,Registration!A:A,1,FALSE)),"Not Registered","Registered")</f>
        <v>Not Registered</v>
      </c>
      <c r="F508">
        <f>VLOOKUP(A508,Sheet1!A:B,2,FALSE)</f>
        <v>9819083540</v>
      </c>
      <c r="G508" t="str">
        <f>_xlfn.IFNA(VLOOKUP(C508,CallLog_Latest!A:H,8,FALSE),"")</f>
        <v>phone switched off</v>
      </c>
      <c r="H508" t="str">
        <f>VLOOKUP(C508,[1]Sheet1!$F:$H,3,FALSE)</f>
        <v>B / 406  Ganga Bldg  Rani Sati Marg  Malad (E</v>
      </c>
    </row>
    <row r="509" spans="1:8" x14ac:dyDescent="0.25">
      <c r="A509" t="s">
        <v>57</v>
      </c>
      <c r="B509" t="s">
        <v>550</v>
      </c>
      <c r="C509">
        <v>9167234508</v>
      </c>
      <c r="D509" t="str">
        <f>_xlfn.IFNA(VLOOKUP(C509,CallLog_Latest!A:H,7,FALSE),"Not Called")</f>
        <v>Not Reachable</v>
      </c>
      <c r="E509" t="str">
        <f>IF(ISNA(VLOOKUP(C509,Registration!A:A,1,FALSE)),"Not Registered","Registered")</f>
        <v>Not Registered</v>
      </c>
      <c r="F509">
        <f>VLOOKUP(A509,Sheet1!A:B,2,FALSE)</f>
        <v>9101910341</v>
      </c>
      <c r="G509">
        <f>_xlfn.IFNA(VLOOKUP(C509,CallLog_Latest!A:H,8,FALSE),"")</f>
        <v>0</v>
      </c>
      <c r="H509" t="str">
        <f>VLOOKUP(C509,[1]Sheet1!$F:$H,3,FALSE)</f>
        <v>B / 406  Ganga Bldg  Rani Sati Marg  Malad (E</v>
      </c>
    </row>
    <row r="510" spans="1:8" x14ac:dyDescent="0.25">
      <c r="A510" t="s">
        <v>59</v>
      </c>
      <c r="B510" t="s">
        <v>551</v>
      </c>
      <c r="C510">
        <v>9322268494</v>
      </c>
      <c r="D510" t="str">
        <f>_xlfn.IFNA(VLOOKUP(C510,CallLog_Latest!A:H,7,FALSE),"Not Called")</f>
        <v>Not Called</v>
      </c>
      <c r="E510" t="str">
        <f>IF(ISNA(VLOOKUP(C510,Registration!A:A,1,FALSE)),"Not Registered","Registered")</f>
        <v>Not Registered</v>
      </c>
      <c r="F510">
        <f>VLOOKUP(A510,Sheet1!A:B,2,FALSE)</f>
        <v>9920121726</v>
      </c>
      <c r="G510" t="str">
        <f>_xlfn.IFNA(VLOOKUP(C510,CallLog_Latest!A:H,8,FALSE),"")</f>
        <v/>
      </c>
      <c r="H510" t="str">
        <f>VLOOKUP(C510,[1]Sheet1!$F:$H,3,FALSE)</f>
        <v>B/406  Ganga Building Rani Sati Marg</v>
      </c>
    </row>
    <row r="511" spans="1:8" x14ac:dyDescent="0.25">
      <c r="A511" t="s">
        <v>61</v>
      </c>
      <c r="B511" t="s">
        <v>552</v>
      </c>
      <c r="C511">
        <v>7045887557</v>
      </c>
      <c r="D511" t="str">
        <f>_xlfn.IFNA(VLOOKUP(C511,CallLog_Latest!A:H,7,FALSE),"Not Called")</f>
        <v>May be Attending</v>
      </c>
      <c r="E511" t="str">
        <f>IF(ISNA(VLOOKUP(C511,Registration!A:A,1,FALSE)),"Not Registered","Registered")</f>
        <v>Not Registered</v>
      </c>
      <c r="F511">
        <f>VLOOKUP(A511,Sheet1!A:B,2,FALSE)</f>
        <v>9820779873</v>
      </c>
      <c r="G511" t="str">
        <f>_xlfn.IFNA(VLOOKUP(C511,CallLog_Latest!A:H,8,FALSE),"")</f>
        <v>Not sure. If free 2 would be attending</v>
      </c>
      <c r="H511" t="str">
        <f>VLOOKUP(C511,[1]Sheet1!$F:$H,3,FALSE)</f>
        <v>5/23,  Elephanta Building, Daftary road subash lane Malad east</v>
      </c>
    </row>
    <row r="512" spans="1:8" x14ac:dyDescent="0.25">
      <c r="A512" t="s">
        <v>63</v>
      </c>
      <c r="B512" t="s">
        <v>553</v>
      </c>
      <c r="C512">
        <v>8291695989</v>
      </c>
      <c r="D512" t="str">
        <f>_xlfn.IFNA(VLOOKUP(C512,CallLog_Latest!A:H,7,FALSE),"Not Called")</f>
        <v>Not Called</v>
      </c>
      <c r="E512" t="str">
        <f>IF(ISNA(VLOOKUP(C512,Registration!A:A,1,FALSE)),"Not Registered","Registered")</f>
        <v>Not Registered</v>
      </c>
      <c r="F512">
        <f>VLOOKUP(A512,Sheet1!A:B,2,FALSE)</f>
        <v>9930396709</v>
      </c>
      <c r="G512" t="str">
        <f>_xlfn.IFNA(VLOOKUP(C512,CallLog_Latest!A:H,8,FALSE),"")</f>
        <v/>
      </c>
      <c r="H512" t="str">
        <f>VLOOKUP(C512,[1]Sheet1!$F:$H,3,FALSE)</f>
        <v>605/B  Ganga Bldg 16 Rani Sati Marg, Malad (E</v>
      </c>
    </row>
    <row r="513" spans="1:8" x14ac:dyDescent="0.25">
      <c r="A513" t="s">
        <v>65</v>
      </c>
      <c r="B513" t="s">
        <v>554</v>
      </c>
      <c r="C513">
        <v>9833307697</v>
      </c>
      <c r="D513" t="str">
        <f>_xlfn.IFNA(VLOOKUP(C513,CallLog_Latest!A:H,7,FALSE),"Not Called")</f>
        <v>Not Called</v>
      </c>
      <c r="E513" t="str">
        <f>IF(ISNA(VLOOKUP(C513,Registration!A:A,1,FALSE)),"Not Registered","Registered")</f>
        <v>Not Registered</v>
      </c>
      <c r="F513">
        <f>VLOOKUP(A513,Sheet1!A:B,2,FALSE)</f>
        <v>7738892551</v>
      </c>
      <c r="G513" t="str">
        <f>_xlfn.IFNA(VLOOKUP(C513,CallLog_Latest!A:H,8,FALSE),"")</f>
        <v/>
      </c>
      <c r="H513" t="str">
        <f>VLOOKUP(C513,[1]Sheet1!$F:$H,3,FALSE)</f>
        <v>5/23, Elephanta Bldg. Daftary Road,  Gaushala Lane, Malad (E</v>
      </c>
    </row>
    <row r="514" spans="1:8" x14ac:dyDescent="0.25">
      <c r="A514" t="s">
        <v>67</v>
      </c>
      <c r="B514" t="s">
        <v>555</v>
      </c>
      <c r="C514">
        <v>9867503405</v>
      </c>
      <c r="D514" t="str">
        <f>_xlfn.IFNA(VLOOKUP(C514,CallLog_Latest!A:H,7,FALSE),"Not Called")</f>
        <v>Not Called</v>
      </c>
      <c r="E514" t="str">
        <f>IF(ISNA(VLOOKUP(C514,Registration!A:A,1,FALSE)),"Not Registered","Registered")</f>
        <v>Not Registered</v>
      </c>
      <c r="F514">
        <f>VLOOKUP(A514,Sheet1!A:B,2,FALSE)</f>
        <v>9820251565</v>
      </c>
      <c r="G514" t="str">
        <f>_xlfn.IFNA(VLOOKUP(C514,CallLog_Latest!A:H,8,FALSE),"")</f>
        <v/>
      </c>
      <c r="H514" t="str">
        <f>VLOOKUP(C514,[1]Sheet1!$F:$H,3,FALSE)</f>
        <v>702-B Wing  Levels  Rani Sati Marg  Kathiyawadi Chowk    Khot Dongari  Malad (E</v>
      </c>
    </row>
    <row r="515" spans="1:8" x14ac:dyDescent="0.25">
      <c r="A515" t="s">
        <v>69</v>
      </c>
      <c r="B515" t="s">
        <v>556</v>
      </c>
      <c r="C515">
        <v>9322251660</v>
      </c>
      <c r="D515" t="str">
        <f>_xlfn.IFNA(VLOOKUP(C515,CallLog_Latest!A:H,7,FALSE),"Not Called")</f>
        <v>Not Called</v>
      </c>
      <c r="E515" t="str">
        <f>IF(ISNA(VLOOKUP(C515,Registration!A:A,1,FALSE)),"Not Registered","Registered")</f>
        <v>Not Registered</v>
      </c>
      <c r="F515">
        <f>VLOOKUP(A515,Sheet1!A:B,2,FALSE)</f>
        <v>9968855475</v>
      </c>
      <c r="G515" t="str">
        <f>_xlfn.IFNA(VLOOKUP(C515,CallLog_Latest!A:H,8,FALSE),"")</f>
        <v/>
      </c>
      <c r="H515" t="str">
        <f>VLOOKUP(C515,[1]Sheet1!$F:$H,3,FALSE)</f>
        <v>1404 C-Wing Levels  Rani Sati Marg Kathiyawadi Chowk    Khot Dongari  Malad (E</v>
      </c>
    </row>
    <row r="516" spans="1:8" x14ac:dyDescent="0.25">
      <c r="A516" t="s">
        <v>71</v>
      </c>
      <c r="B516" t="s">
        <v>557</v>
      </c>
      <c r="C516">
        <v>9820224506</v>
      </c>
      <c r="D516" t="str">
        <f>_xlfn.IFNA(VLOOKUP(C516,CallLog_Latest!A:H,7,FALSE),"Not Called")</f>
        <v>Not Called</v>
      </c>
      <c r="E516" t="str">
        <f>IF(ISNA(VLOOKUP(C516,Registration!A:A,1,FALSE)),"Not Registered","Registered")</f>
        <v>Not Registered</v>
      </c>
      <c r="F516">
        <f>VLOOKUP(A516,Sheet1!A:B,2,FALSE)</f>
        <v>9405263833</v>
      </c>
      <c r="G516" t="str">
        <f>_xlfn.IFNA(VLOOKUP(C516,CallLog_Latest!A:H,8,FALSE),"")</f>
        <v/>
      </c>
      <c r="H516" t="str">
        <f>VLOOKUP(C516,[1]Sheet1!$F:$H,3,FALSE)</f>
        <v>1404 C-Wing Levels  Rani Sati Marg Kathiyawadi Chowk    Khot Dongari  Malad (E</v>
      </c>
    </row>
    <row r="517" spans="1:8" x14ac:dyDescent="0.25">
      <c r="A517" t="s">
        <v>73</v>
      </c>
      <c r="B517" t="s">
        <v>558</v>
      </c>
      <c r="C517">
        <v>9920851258</v>
      </c>
      <c r="D517" t="str">
        <f>_xlfn.IFNA(VLOOKUP(C517,CallLog_Latest!A:H,7,FALSE),"Not Called")</f>
        <v>Not Called</v>
      </c>
      <c r="E517" t="str">
        <f>IF(ISNA(VLOOKUP(C517,Registration!A:A,1,FALSE)),"Not Registered","Registered")</f>
        <v>Not Registered</v>
      </c>
      <c r="F517">
        <f>VLOOKUP(A517,Sheet1!A:B,2,FALSE)</f>
        <v>8879433174</v>
      </c>
      <c r="G517" t="str">
        <f>_xlfn.IFNA(VLOOKUP(C517,CallLog_Latest!A:H,8,FALSE),"")</f>
        <v/>
      </c>
      <c r="H517" t="str">
        <f>VLOOKUP(C517,[1]Sheet1!$F:$H,3,FALSE)</f>
        <v>B- 403  Krishraj Tower Padm Nagar  Opp. Phonix Hospital   Chikuwadi</v>
      </c>
    </row>
    <row r="518" spans="1:8" x14ac:dyDescent="0.25">
      <c r="A518" t="s">
        <v>75</v>
      </c>
      <c r="B518" t="s">
        <v>559</v>
      </c>
      <c r="C518">
        <v>9004678266</v>
      </c>
      <c r="D518" t="str">
        <f>_xlfn.IFNA(VLOOKUP(C518,CallLog_Latest!A:H,7,FALSE),"Not Called")</f>
        <v>Not Called</v>
      </c>
      <c r="E518" t="str">
        <f>IF(ISNA(VLOOKUP(C518,Registration!A:A,1,FALSE)),"Not Registered","Registered")</f>
        <v>Not Registered</v>
      </c>
      <c r="F518">
        <f>VLOOKUP(A518,Sheet1!A:B,2,FALSE)</f>
        <v>9993325021</v>
      </c>
      <c r="G518" t="str">
        <f>_xlfn.IFNA(VLOOKUP(C518,CallLog_Latest!A:H,8,FALSE),"")</f>
        <v/>
      </c>
      <c r="H518" t="str">
        <f>VLOOKUP(C518,[1]Sheet1!$F:$H,3,FALSE)</f>
        <v>A-1703, Raheja Heights AK Vaidya Marg, Malad east</v>
      </c>
    </row>
    <row r="519" spans="1:8" x14ac:dyDescent="0.25">
      <c r="A519" t="s">
        <v>12</v>
      </c>
      <c r="B519" t="s">
        <v>560</v>
      </c>
      <c r="C519">
        <v>8879097778</v>
      </c>
      <c r="D519" t="str">
        <f>_xlfn.IFNA(VLOOKUP(C519,CallLog_Latest!A:H,7,FALSE),"Not Called")</f>
        <v>Phone Busy</v>
      </c>
      <c r="E519" t="str">
        <f>IF(ISNA(VLOOKUP(C519,Registration!A:A,1,FALSE)),"Not Registered","Registered")</f>
        <v>Not Registered</v>
      </c>
      <c r="F519">
        <f>VLOOKUP(A519,Sheet1!A:B,2,FALSE)</f>
        <v>9820454734</v>
      </c>
      <c r="G519" t="str">
        <f>_xlfn.IFNA(VLOOKUP(C519,CallLog_Latest!A:H,8,FALSE),"")</f>
        <v>Will try again</v>
      </c>
      <c r="H519" t="str">
        <f>VLOOKUP(C519,[1]Sheet1!$F:$H,3,FALSE)</f>
        <v>Rajsthan Society  Flat No. 201  2nd Floor 64  Haji Bapu Road</v>
      </c>
    </row>
    <row r="520" spans="1:8" x14ac:dyDescent="0.25">
      <c r="A520" t="s">
        <v>78</v>
      </c>
      <c r="B520" t="s">
        <v>561</v>
      </c>
      <c r="C520">
        <v>9323698838</v>
      </c>
      <c r="D520" t="str">
        <f>_xlfn.IFNA(VLOOKUP(C520,CallLog_Latest!A:H,7,FALSE),"Not Called")</f>
        <v>Phone Busy</v>
      </c>
      <c r="E520" t="str">
        <f>IF(ISNA(VLOOKUP(C520,Registration!A:A,1,FALSE)),"Not Registered","Registered")</f>
        <v>Not Registered</v>
      </c>
      <c r="F520">
        <f>VLOOKUP(A520,Sheet1!A:B,2,FALSE)</f>
        <v>9029105124</v>
      </c>
      <c r="G520">
        <f>_xlfn.IFNA(VLOOKUP(C520,CallLog_Latest!A:H,8,FALSE),"")</f>
        <v>0</v>
      </c>
      <c r="H520" t="str">
        <f>VLOOKUP(C520,[1]Sheet1!$F:$H,3,FALSE)</f>
        <v>1-b  402  Green Meadows Co.op. Soc Lokhandwala Complex</v>
      </c>
    </row>
    <row r="521" spans="1:8" x14ac:dyDescent="0.25">
      <c r="A521" t="s">
        <v>80</v>
      </c>
      <c r="B521" t="s">
        <v>562</v>
      </c>
      <c r="C521">
        <v>9920177232</v>
      </c>
      <c r="D521" t="str">
        <f>_xlfn.IFNA(VLOOKUP(C521,CallLog_Latest!A:H,7,FALSE),"Not Called")</f>
        <v>Not Called</v>
      </c>
      <c r="E521" t="str">
        <f>IF(ISNA(VLOOKUP(C521,Registration!A:A,1,FALSE)),"Not Registered","Registered")</f>
        <v>Not Registered</v>
      </c>
      <c r="F521">
        <f>VLOOKUP(A521,Sheet1!A:B,2,FALSE)</f>
        <v>9599704370</v>
      </c>
      <c r="G521" t="str">
        <f>_xlfn.IFNA(VLOOKUP(C521,CallLog_Latest!A:H,8,FALSE),"")</f>
        <v/>
      </c>
      <c r="H521" t="str">
        <f>VLOOKUP(C521,[1]Sheet1!$F:$H,3,FALSE)</f>
        <v>2A, 403, N.G. Suncity Phase -III, Thakur Village, Kandivali (E</v>
      </c>
    </row>
    <row r="522" spans="1:8" x14ac:dyDescent="0.25">
      <c r="A522" t="s">
        <v>82</v>
      </c>
      <c r="B522" t="s">
        <v>563</v>
      </c>
      <c r="C522">
        <v>9702060911</v>
      </c>
      <c r="D522" t="str">
        <f>_xlfn.IFNA(VLOOKUP(C522,CallLog_Latest!A:H,7,FALSE),"Not Called")</f>
        <v>Maybe Attending 🤔</v>
      </c>
      <c r="E522" t="str">
        <f>IF(ISNA(VLOOKUP(C522,Registration!A:A,1,FALSE)),"Not Registered","Registered")</f>
        <v>Not Registered</v>
      </c>
      <c r="F522">
        <f>VLOOKUP(A522,Sheet1!A:B,2,FALSE)</f>
        <v>9824100412</v>
      </c>
      <c r="G522">
        <f>_xlfn.IFNA(VLOOKUP(C522,CallLog_Latest!A:H,8,FALSE),"")</f>
        <v>0</v>
      </c>
      <c r="H522" t="str">
        <f>VLOOKUP(C522,[1]Sheet1!$F:$H,3,FALSE)</f>
        <v>1603 Tower-1  Spring Grove  Lokhandwala Township</v>
      </c>
    </row>
    <row r="523" spans="1:8" x14ac:dyDescent="0.25">
      <c r="A523" t="s">
        <v>84</v>
      </c>
      <c r="B523" t="s">
        <v>564</v>
      </c>
      <c r="C523">
        <v>9820660395</v>
      </c>
      <c r="D523" t="str">
        <f>_xlfn.IFNA(VLOOKUP(C523,CallLog_Latest!A:H,7,FALSE),"Not Called")</f>
        <v>Not Coming</v>
      </c>
      <c r="E523" t="str">
        <f>IF(ISNA(VLOOKUP(C523,Registration!A:A,1,FALSE)),"Not Registered","Registered")</f>
        <v>Not Registered</v>
      </c>
      <c r="F523">
        <f>VLOOKUP(A523,Sheet1!A:B,2,FALSE)</f>
        <v>9225211083</v>
      </c>
      <c r="G523" t="str">
        <f>_xlfn.IFNA(VLOOKUP(C523,CallLog_Latest!A:H,8,FALSE),"")</f>
        <v>Not in town</v>
      </c>
      <c r="H523" t="str">
        <f>VLOOKUP(C523,[1]Sheet1!$F:$H,3,FALSE)</f>
        <v>A-503  Rihan Atmaram Sawan Marg Ashok Nagar, Opp. Children Academy School, Kandivali (E</v>
      </c>
    </row>
    <row r="524" spans="1:8" x14ac:dyDescent="0.25">
      <c r="A524" t="s">
        <v>86</v>
      </c>
      <c r="B524" t="s">
        <v>565</v>
      </c>
      <c r="C524">
        <v>9322853147</v>
      </c>
      <c r="D524" t="str">
        <f>_xlfn.IFNA(VLOOKUP(C524,CallLog_Latest!A:H,7,FALSE),"Not Called")</f>
        <v>Not Called</v>
      </c>
      <c r="E524" t="str">
        <f>IF(ISNA(VLOOKUP(C524,Registration!A:A,1,FALSE)),"Not Registered","Registered")</f>
        <v>Registered</v>
      </c>
      <c r="F524">
        <f>VLOOKUP(A524,Sheet1!A:B,2,FALSE)</f>
        <v>9930252076</v>
      </c>
      <c r="G524" t="str">
        <f>_xlfn.IFNA(VLOOKUP(C524,CallLog_Latest!A:H,8,FALSE),"")</f>
        <v/>
      </c>
      <c r="H524" t="str">
        <f>VLOOKUP(C524,[1]Sheet1!$F:$H,3,FALSE)</f>
        <v>White City B-1213 Akurli Road, Next to Apex Hospital, Kandivali (E</v>
      </c>
    </row>
    <row r="525" spans="1:8" x14ac:dyDescent="0.25">
      <c r="A525" t="s">
        <v>88</v>
      </c>
      <c r="B525" t="s">
        <v>566</v>
      </c>
      <c r="C525">
        <v>9833490712</v>
      </c>
      <c r="D525" t="str">
        <f>_xlfn.IFNA(VLOOKUP(C525,CallLog_Latest!A:H,7,FALSE),"Not Called")</f>
        <v>Not Called</v>
      </c>
      <c r="E525" t="str">
        <f>IF(ISNA(VLOOKUP(C525,Registration!A:A,1,FALSE)),"Not Registered","Registered")</f>
        <v>Not Registered</v>
      </c>
      <c r="F525">
        <f>VLOOKUP(A525,Sheet1!A:B,2,FALSE)</f>
        <v>9661270782</v>
      </c>
      <c r="G525" t="str">
        <f>_xlfn.IFNA(VLOOKUP(C525,CallLog_Latest!A:H,8,FALSE),"")</f>
        <v/>
      </c>
      <c r="H525" t="str">
        <f>VLOOKUP(C525,[1]Sheet1!$F:$H,3,FALSE)</f>
        <v>B Wing 603  Shraddha H Complex Near Saibaba Mandir Asha Nagar Kandivali (E</v>
      </c>
    </row>
    <row r="526" spans="1:8" x14ac:dyDescent="0.25">
      <c r="A526" t="s">
        <v>90</v>
      </c>
      <c r="B526" t="s">
        <v>567</v>
      </c>
      <c r="C526">
        <v>9820056029</v>
      </c>
      <c r="D526" t="str">
        <f>_xlfn.IFNA(VLOOKUP(C526,CallLog_Latest!A:H,7,FALSE),"Not Called")</f>
        <v>Not Called</v>
      </c>
      <c r="E526" t="str">
        <f>IF(ISNA(VLOOKUP(C526,Registration!A:A,1,FALSE)),"Not Registered","Registered")</f>
        <v>Not Registered</v>
      </c>
      <c r="F526">
        <f>VLOOKUP(A526,Sheet1!A:B,2,FALSE)</f>
        <v>9819128389</v>
      </c>
      <c r="G526" t="str">
        <f>_xlfn.IFNA(VLOOKUP(C526,CallLog_Latest!A:H,8,FALSE),"")</f>
        <v/>
      </c>
      <c r="H526" t="str">
        <f>VLOOKUP(C526,[1]Sheet1!$F:$H,3,FALSE)</f>
        <v>A-2501  Gokul Concorde Thakur Village</v>
      </c>
    </row>
    <row r="527" spans="1:8" x14ac:dyDescent="0.25">
      <c r="A527" t="s">
        <v>92</v>
      </c>
      <c r="B527" t="s">
        <v>568</v>
      </c>
      <c r="C527">
        <v>9821399306</v>
      </c>
      <c r="D527" t="str">
        <f>_xlfn.IFNA(VLOOKUP(C527,CallLog_Latest!A:H,7,FALSE),"Not Called")</f>
        <v>Not Called</v>
      </c>
      <c r="E527" t="str">
        <f>IF(ISNA(VLOOKUP(C527,Registration!A:A,1,FALSE)),"Not Registered","Registered")</f>
        <v>Not Registered</v>
      </c>
      <c r="F527">
        <f>VLOOKUP(A527,Sheet1!A:B,2,FALSE)</f>
        <v>8268665777</v>
      </c>
      <c r="G527" t="str">
        <f>_xlfn.IFNA(VLOOKUP(C527,CallLog_Latest!A:H,8,FALSE),"")</f>
        <v/>
      </c>
      <c r="H527" t="str">
        <f>VLOOKUP(C527,[1]Sheet1!$F:$H,3,FALSE)</f>
        <v>B2102 Oberoi Gardens Thakur Village</v>
      </c>
    </row>
    <row r="528" spans="1:8" x14ac:dyDescent="0.25">
      <c r="A528" t="s">
        <v>94</v>
      </c>
      <c r="B528" t="s">
        <v>569</v>
      </c>
      <c r="C528">
        <v>9821152231</v>
      </c>
      <c r="D528" t="str">
        <f>_xlfn.IFNA(VLOOKUP(C528,CallLog_Latest!A:H,7,FALSE),"Not Called")</f>
        <v>Not Called</v>
      </c>
      <c r="E528" t="str">
        <f>IF(ISNA(VLOOKUP(C528,Registration!A:A,1,FALSE)),"Not Registered","Registered")</f>
        <v>Not Registered</v>
      </c>
      <c r="F528">
        <f>VLOOKUP(A528,Sheet1!A:B,2,FALSE)</f>
        <v>9920085455</v>
      </c>
      <c r="G528" t="str">
        <f>_xlfn.IFNA(VLOOKUP(C528,CallLog_Latest!A:H,8,FALSE),"")</f>
        <v/>
      </c>
      <c r="H528" t="str">
        <f>VLOOKUP(C528,[1]Sheet1!$F:$H,3,FALSE)</f>
        <v>Flat No 401  Spring Leaf 5/C Lokhandwala Township Akurli Rd, Kandivali</v>
      </c>
    </row>
    <row r="529" spans="1:8" x14ac:dyDescent="0.25">
      <c r="A529" t="s">
        <v>96</v>
      </c>
      <c r="B529" t="s">
        <v>570</v>
      </c>
      <c r="C529">
        <v>9331055539</v>
      </c>
      <c r="D529" t="str">
        <f>_xlfn.IFNA(VLOOKUP(C529,CallLog_Latest!A:H,7,FALSE),"Not Called")</f>
        <v>May be Attending</v>
      </c>
      <c r="E529" t="str">
        <f>IF(ISNA(VLOOKUP(C529,Registration!A:A,1,FALSE)),"Not Registered","Registered")</f>
        <v>Not Registered</v>
      </c>
      <c r="F529">
        <f>VLOOKUP(A529,Sheet1!A:B,2,FALSE)</f>
        <v>9424584007</v>
      </c>
      <c r="G529" t="str">
        <f>_xlfn.IFNA(VLOOKUP(C529,CallLog_Latest!A:H,8,FALSE),"")</f>
        <v>If other program is cancelled, they might attend.</v>
      </c>
      <c r="H529" t="str">
        <f>VLOOKUP(C529,[1]Sheet1!$F:$H,3,FALSE)</f>
        <v>Octacrest Complex  A-Wing  Flat No.1101  Lokhandwala Township  Kandivali (E</v>
      </c>
    </row>
    <row r="530" spans="1:8" x14ac:dyDescent="0.25">
      <c r="A530" t="s">
        <v>3</v>
      </c>
      <c r="B530" t="s">
        <v>571</v>
      </c>
      <c r="C530">
        <v>9324531211</v>
      </c>
      <c r="D530" t="str">
        <f>_xlfn.IFNA(VLOOKUP(C530,CallLog_Latest!A:H,7,FALSE),"Not Called")</f>
        <v>Not Called</v>
      </c>
      <c r="E530" t="str">
        <f>IF(ISNA(VLOOKUP(C530,Registration!A:A,1,FALSE)),"Not Registered","Registered")</f>
        <v>Not Registered</v>
      </c>
      <c r="F530">
        <f>VLOOKUP(A530,Sheet1!A:B,2,FALSE)</f>
        <v>9326379737</v>
      </c>
      <c r="G530" t="str">
        <f>_xlfn.IFNA(VLOOKUP(C530,CallLog_Latest!A:H,8,FALSE),"")</f>
        <v/>
      </c>
      <c r="H530" t="str">
        <f>VLOOKUP(C530,[1]Sheet1!$F:$H,3,FALSE)</f>
        <v>B -301 Hill View Park Chs 3rd Floor  Thakur Village  Kandivali (E</v>
      </c>
    </row>
    <row r="531" spans="1:8" x14ac:dyDescent="0.25">
      <c r="A531" t="s">
        <v>5</v>
      </c>
      <c r="B531" t="s">
        <v>572</v>
      </c>
      <c r="C531">
        <v>9702224535</v>
      </c>
      <c r="D531" t="str">
        <f>_xlfn.IFNA(VLOOKUP(C531,CallLog_Latest!A:H,7,FALSE),"Not Called")</f>
        <v>Confirmed Presence</v>
      </c>
      <c r="E531" t="str">
        <f>IF(ISNA(VLOOKUP(C531,Registration!A:A,1,FALSE)),"Not Registered","Registered")</f>
        <v>Registered</v>
      </c>
      <c r="F531">
        <f>VLOOKUP(A531,Sheet1!A:B,2,FALSE)</f>
        <v>9323541634</v>
      </c>
      <c r="G531" t="str">
        <f>_xlfn.IFNA(VLOOKUP(C531,CallLog_Latest!A:H,8,FALSE),"")</f>
        <v>Already Registered</v>
      </c>
      <c r="H531" t="str">
        <f>VLOOKUP(C531,[1]Sheet1!$F:$H,3,FALSE)</f>
        <v>C-605, Krishna, Vasant Sagar Complex Thakur Village, Kandivali (E</v>
      </c>
    </row>
    <row r="532" spans="1:8" x14ac:dyDescent="0.25">
      <c r="A532" t="s">
        <v>7</v>
      </c>
      <c r="B532" t="s">
        <v>573</v>
      </c>
      <c r="C532">
        <v>9833910166</v>
      </c>
      <c r="D532" t="str">
        <f>_xlfn.IFNA(VLOOKUP(C532,CallLog_Latest!A:H,7,FALSE),"Not Called")</f>
        <v>Not Called</v>
      </c>
      <c r="E532" t="str">
        <f>IF(ISNA(VLOOKUP(C532,Registration!A:A,1,FALSE)),"Not Registered","Registered")</f>
        <v>Not Registered</v>
      </c>
      <c r="F532">
        <f>VLOOKUP(A532,Sheet1!A:B,2,FALSE)</f>
        <v>9867015031</v>
      </c>
      <c r="G532" t="str">
        <f>_xlfn.IFNA(VLOOKUP(C532,CallLog_Latest!A:H,8,FALSE),"")</f>
        <v/>
      </c>
      <c r="H532" t="str">
        <f>VLOOKUP(C532,[1]Sheet1!$F:$H,3,FALSE)</f>
        <v>C-604 Cosmos Valley Of Flowers Gundecha Thakur Village</v>
      </c>
    </row>
    <row r="533" spans="1:8" x14ac:dyDescent="0.25">
      <c r="A533" t="s">
        <v>9</v>
      </c>
      <c r="B533" t="s">
        <v>574</v>
      </c>
      <c r="C533">
        <v>9820505363</v>
      </c>
      <c r="D533" t="str">
        <f>_xlfn.IFNA(VLOOKUP(C533,CallLog_Latest!A:H,7,FALSE),"Not Called")</f>
        <v>Not Called</v>
      </c>
      <c r="E533" t="str">
        <f>IF(ISNA(VLOOKUP(C533,Registration!A:A,1,FALSE)),"Not Registered","Registered")</f>
        <v>Not Registered</v>
      </c>
      <c r="F533">
        <f>VLOOKUP(A533,Sheet1!A:B,2,FALSE)</f>
        <v>9821268271</v>
      </c>
      <c r="G533" t="str">
        <f>_xlfn.IFNA(VLOOKUP(C533,CallLog_Latest!A:H,8,FALSE),"")</f>
        <v/>
      </c>
      <c r="H533" t="str">
        <f>VLOOKUP(C533,[1]Sheet1!$F:$H,3,FALSE)</f>
        <v>A/504, Oberoi Park View, Thakur Village, Kandivali (E</v>
      </c>
    </row>
    <row r="534" spans="1:8" x14ac:dyDescent="0.25">
      <c r="A534" t="s">
        <v>11</v>
      </c>
      <c r="B534" t="s">
        <v>575</v>
      </c>
      <c r="C534">
        <v>9833353033</v>
      </c>
      <c r="D534" t="str">
        <f>_xlfn.IFNA(VLOOKUP(C534,CallLog_Latest!A:H,7,FALSE),"Not Called")</f>
        <v>Not Called</v>
      </c>
      <c r="E534" t="str">
        <f>IF(ISNA(VLOOKUP(C534,Registration!A:A,1,FALSE)),"Not Registered","Registered")</f>
        <v>Not Registered</v>
      </c>
      <c r="F534">
        <f>VLOOKUP(A534,Sheet1!A:B,2,FALSE)</f>
        <v>9322598681</v>
      </c>
      <c r="G534" t="str">
        <f>_xlfn.IFNA(VLOOKUP(C534,CallLog_Latest!A:H,8,FALSE),"")</f>
        <v/>
      </c>
      <c r="H534" t="str">
        <f>VLOOKUP(C534,[1]Sheet1!$F:$H,3,FALSE)</f>
        <v>Flat No 503  5th Floor  EMP - 74  Evershine Helio Chsl  Bldg No.4  Thakur Village   Kandivali (E</v>
      </c>
    </row>
    <row r="535" spans="1:8" x14ac:dyDescent="0.25">
      <c r="A535" t="s">
        <v>13</v>
      </c>
      <c r="B535" t="s">
        <v>576</v>
      </c>
      <c r="C535">
        <v>9821444408</v>
      </c>
      <c r="D535" t="str">
        <f>_xlfn.IFNA(VLOOKUP(C535,CallLog_Latest!A:H,7,FALSE),"Not Called")</f>
        <v>Not Called</v>
      </c>
      <c r="E535" t="str">
        <f>IF(ISNA(VLOOKUP(C535,Registration!A:A,1,FALSE)),"Not Registered","Registered")</f>
        <v>Not Registered</v>
      </c>
      <c r="F535">
        <f>VLOOKUP(A535,Sheet1!A:B,2,FALSE)</f>
        <v>9969403870</v>
      </c>
      <c r="G535" t="str">
        <f>_xlfn.IFNA(VLOOKUP(C535,CallLog_Latest!A:H,8,FALSE),"")</f>
        <v/>
      </c>
      <c r="H535" t="str">
        <f>VLOOKUP(C535,[1]Sheet1!$F:$H,3,FALSE)</f>
        <v>503/504 Shivalaya Tower   90ft Road, Thakur Complex, Kandivali(East</v>
      </c>
    </row>
    <row r="536" spans="1:8" x14ac:dyDescent="0.25">
      <c r="A536" t="s">
        <v>15</v>
      </c>
      <c r="B536" t="s">
        <v>577</v>
      </c>
      <c r="C536">
        <v>8080978873</v>
      </c>
      <c r="D536" t="str">
        <f>_xlfn.IFNA(VLOOKUP(C536,CallLog_Latest!A:H,7,FALSE),"Not Called")</f>
        <v>Not Called</v>
      </c>
      <c r="E536" t="str">
        <f>IF(ISNA(VLOOKUP(C536,Registration!A:A,1,FALSE)),"Not Registered","Registered")</f>
        <v>Not Registered</v>
      </c>
      <c r="F536">
        <f>VLOOKUP(A536,Sheet1!A:B,2,FALSE)</f>
        <v>9892726278</v>
      </c>
      <c r="G536" t="str">
        <f>_xlfn.IFNA(VLOOKUP(C536,CallLog_Latest!A:H,8,FALSE),"")</f>
        <v/>
      </c>
      <c r="H536" t="str">
        <f>VLOOKUP(C536,[1]Sheet1!$F:$H,3,FALSE)</f>
        <v>B-501  Yamuna Vasant Sagar CHS Ltd. Thakur Village</v>
      </c>
    </row>
    <row r="537" spans="1:8" x14ac:dyDescent="0.25">
      <c r="A537" t="s">
        <v>17</v>
      </c>
      <c r="B537" t="s">
        <v>578</v>
      </c>
      <c r="C537">
        <v>9820087717</v>
      </c>
      <c r="D537" t="str">
        <f>_xlfn.IFNA(VLOOKUP(C537,CallLog_Latest!A:H,7,FALSE),"Not Called")</f>
        <v>Confirmed Presence ✅</v>
      </c>
      <c r="E537" t="str">
        <f>IF(ISNA(VLOOKUP(C537,Registration!A:A,1,FALSE)),"Not Registered","Registered")</f>
        <v>Not Registered</v>
      </c>
      <c r="F537">
        <f>VLOOKUP(A537,Sheet1!A:B,2,FALSE)</f>
        <v>9869798705</v>
      </c>
      <c r="G537">
        <f>_xlfn.IFNA(VLOOKUP(C537,CallLog_Latest!A:H,8,FALSE),"")</f>
        <v>0</v>
      </c>
      <c r="H537" t="str">
        <f>VLOOKUP(C537,[1]Sheet1!$F:$H,3,FALSE)</f>
        <v>Flat No.6, Tower D,Vice Roy Park Chs. Ltd., Thakur Village, Kandivali (E,</v>
      </c>
    </row>
    <row r="538" spans="1:8" x14ac:dyDescent="0.25">
      <c r="A538" t="s">
        <v>19</v>
      </c>
      <c r="B538" t="s">
        <v>579</v>
      </c>
      <c r="C538">
        <v>9619742286</v>
      </c>
      <c r="D538" t="str">
        <f>_xlfn.IFNA(VLOOKUP(C538,CallLog_Latest!A:H,7,FALSE),"Not Called")</f>
        <v>Not Called</v>
      </c>
      <c r="E538" t="str">
        <f>IF(ISNA(VLOOKUP(C538,Registration!A:A,1,FALSE)),"Not Registered","Registered")</f>
        <v>Not Registered</v>
      </c>
      <c r="F538">
        <f>VLOOKUP(A538,Sheet1!A:B,2,FALSE)</f>
        <v>9820265640</v>
      </c>
      <c r="G538" t="str">
        <f>_xlfn.IFNA(VLOOKUP(C538,CallLog_Latest!A:H,8,FALSE),"")</f>
        <v/>
      </c>
      <c r="H538" t="str">
        <f>VLOOKUP(C538,[1]Sheet1!$F:$H,3,FALSE)</f>
        <v>Sarova Tower, C-1/Flat No. 601   Samta Nagar, Kandivali (E</v>
      </c>
    </row>
    <row r="539" spans="1:8" x14ac:dyDescent="0.25">
      <c r="A539" t="s">
        <v>21</v>
      </c>
      <c r="B539" t="s">
        <v>580</v>
      </c>
      <c r="C539">
        <v>9320087717</v>
      </c>
      <c r="D539" t="str">
        <f>_xlfn.IFNA(VLOOKUP(C539,CallLog_Latest!A:H,7,FALSE),"Not Called")</f>
        <v>Not Called</v>
      </c>
      <c r="E539" t="str">
        <f>IF(ISNA(VLOOKUP(C539,Registration!A:A,1,FALSE)),"Not Registered","Registered")</f>
        <v>Not Registered</v>
      </c>
      <c r="F539">
        <f>VLOOKUP(A539,Sheet1!A:B,2,FALSE)</f>
        <v>9820636392</v>
      </c>
      <c r="G539" t="str">
        <f>_xlfn.IFNA(VLOOKUP(C539,CallLog_Latest!A:H,8,FALSE),"")</f>
        <v/>
      </c>
      <c r="H539" t="str">
        <f>VLOOKUP(C539,[1]Sheet1!$F:$H,3,FALSE)</f>
        <v>Flat No.6, Tower D,Vice Roy Park Chs. Ltd., Thakur Village, Kandivali (E,</v>
      </c>
    </row>
    <row r="540" spans="1:8" x14ac:dyDescent="0.25">
      <c r="A540" t="s">
        <v>23</v>
      </c>
      <c r="B540" t="s">
        <v>581</v>
      </c>
      <c r="C540">
        <v>9892062311</v>
      </c>
      <c r="D540" t="str">
        <f>_xlfn.IFNA(VLOOKUP(C540,CallLog_Latest!A:H,7,FALSE),"Not Called")</f>
        <v>Not Called</v>
      </c>
      <c r="E540" t="str">
        <f>IF(ISNA(VLOOKUP(C540,Registration!A:A,1,FALSE)),"Not Registered","Registered")</f>
        <v>Not Registered</v>
      </c>
      <c r="F540">
        <f>VLOOKUP(A540,Sheet1!A:B,2,FALSE)</f>
        <v>7977439717</v>
      </c>
      <c r="G540" t="str">
        <f>_xlfn.IFNA(VLOOKUP(C540,CallLog_Latest!A:H,8,FALSE),"")</f>
        <v/>
      </c>
      <c r="H540" t="str">
        <f>VLOOKUP(C540,[1]Sheet1!$F:$H,3,FALSE)</f>
        <v>Flat No.6, Tower D,Vice Roy Park Chs. Ltd., Thakur Village, Kandivali (E,</v>
      </c>
    </row>
    <row r="541" spans="1:8" x14ac:dyDescent="0.25">
      <c r="A541" t="s">
        <v>25</v>
      </c>
      <c r="B541" t="s">
        <v>582</v>
      </c>
      <c r="C541">
        <v>9571913590</v>
      </c>
      <c r="D541" t="str">
        <f>_xlfn.IFNA(VLOOKUP(C541,CallLog_Latest!A:H,7,FALSE),"Not Called")</f>
        <v>Not Called</v>
      </c>
      <c r="E541" t="str">
        <f>IF(ISNA(VLOOKUP(C541,Registration!A:A,1,FALSE)),"Not Registered","Registered")</f>
        <v>Not Registered</v>
      </c>
      <c r="F541">
        <f>VLOOKUP(A541,Sheet1!A:B,2,FALSE)</f>
        <v>9967045520</v>
      </c>
      <c r="G541" t="str">
        <f>_xlfn.IFNA(VLOOKUP(C541,CallLog_Latest!A:H,8,FALSE),"")</f>
        <v/>
      </c>
      <c r="H541" t="str">
        <f>VLOOKUP(C541,[1]Sheet1!$F:$H,3,FALSE)</f>
        <v>Shri Marigold CHSL., A-301 Valley of Flowers, Thakur Village, Kandivali (E</v>
      </c>
    </row>
    <row r="542" spans="1:8" x14ac:dyDescent="0.25">
      <c r="A542" t="s">
        <v>27</v>
      </c>
      <c r="B542" t="s">
        <v>583</v>
      </c>
      <c r="C542">
        <v>9920409121</v>
      </c>
      <c r="D542" t="str">
        <f>_xlfn.IFNA(VLOOKUP(C542,CallLog_Latest!A:H,7,FALSE),"Not Called")</f>
        <v>Not Called</v>
      </c>
      <c r="E542" t="str">
        <f>IF(ISNA(VLOOKUP(C542,Registration!A:A,1,FALSE)),"Not Registered","Registered")</f>
        <v>Not Registered</v>
      </c>
      <c r="F542">
        <f>VLOOKUP(A542,Sheet1!A:B,2,FALSE)</f>
        <v>9820075931</v>
      </c>
      <c r="G542" t="str">
        <f>_xlfn.IFNA(VLOOKUP(C542,CallLog_Latest!A:H,8,FALSE),"")</f>
        <v/>
      </c>
      <c r="H542" t="str">
        <f>VLOOKUP(C542,[1]Sheet1!$F:$H,3,FALSE)</f>
        <v>C-501, Oberoi Garden Society Opp. Ganpati Tower, Thakur Village, Kandivali (E</v>
      </c>
    </row>
    <row r="543" spans="1:8" x14ac:dyDescent="0.25">
      <c r="A543" t="s">
        <v>29</v>
      </c>
      <c r="B543" t="s">
        <v>584</v>
      </c>
      <c r="C543">
        <v>9619010408</v>
      </c>
      <c r="D543" t="str">
        <f>_xlfn.IFNA(VLOOKUP(C543,CallLog_Latest!A:H,7,FALSE),"Not Called")</f>
        <v>Not Called</v>
      </c>
      <c r="E543" t="str">
        <f>IF(ISNA(VLOOKUP(C543,Registration!A:A,1,FALSE)),"Not Registered","Registered")</f>
        <v>Not Registered</v>
      </c>
      <c r="F543">
        <f>VLOOKUP(A543,Sheet1!A:B,2,FALSE)</f>
        <v>9819364345</v>
      </c>
      <c r="G543" t="str">
        <f>_xlfn.IFNA(VLOOKUP(C543,CallLog_Latest!A:H,8,FALSE),"")</f>
        <v/>
      </c>
      <c r="H543" t="str">
        <f>VLOOKUP(C543,[1]Sheet1!$F:$H,3,FALSE)</f>
        <v>C-501, Oberoi Garden Society Opp. Ganpati Tower, Thakur Village, Kandivali (E</v>
      </c>
    </row>
    <row r="544" spans="1:8" x14ac:dyDescent="0.25">
      <c r="A544" t="s">
        <v>31</v>
      </c>
      <c r="B544" t="s">
        <v>585</v>
      </c>
      <c r="C544">
        <v>9833032997</v>
      </c>
      <c r="D544" t="str">
        <f>_xlfn.IFNA(VLOOKUP(C544,CallLog_Latest!A:H,7,FALSE),"Not Called")</f>
        <v>May be Attending</v>
      </c>
      <c r="E544" t="str">
        <f>IF(ISNA(VLOOKUP(C544,Registration!A:A,1,FALSE)),"Not Registered","Registered")</f>
        <v>Not Registered</v>
      </c>
      <c r="F544">
        <f>VLOOKUP(A544,Sheet1!A:B,2,FALSE)</f>
        <v>9869064553</v>
      </c>
      <c r="G544">
        <f>_xlfn.IFNA(VLOOKUP(C544,CallLog_Latest!A:H,8,FALSE),"")</f>
        <v>0</v>
      </c>
      <c r="H544" t="str">
        <f>VLOOKUP(C544,[1]Sheet1!$F:$H,3,FALSE)</f>
        <v>C-501, Oberoi Garden Society Opp. Ganpati Tower, Thakur Village, Kandivali (E</v>
      </c>
    </row>
    <row r="545" spans="1:8" x14ac:dyDescent="0.25">
      <c r="A545" t="s">
        <v>33</v>
      </c>
      <c r="B545" t="s">
        <v>586</v>
      </c>
      <c r="C545">
        <v>9324285448</v>
      </c>
      <c r="D545" t="str">
        <f>_xlfn.IFNA(VLOOKUP(C545,CallLog_Latest!A:H,7,FALSE),"Not Called")</f>
        <v>Confirmed Presence</v>
      </c>
      <c r="E545" t="str">
        <f>IF(ISNA(VLOOKUP(C545,Registration!A:A,1,FALSE)),"Not Registered","Registered")</f>
        <v>Not Registered</v>
      </c>
      <c r="F545">
        <f>VLOOKUP(A545,Sheet1!A:B,2,FALSE)</f>
        <v>9930070116</v>
      </c>
      <c r="G545">
        <f>_xlfn.IFNA(VLOOKUP(C545,CallLog_Latest!A:H,8,FALSE),"")</f>
        <v>0</v>
      </c>
      <c r="H545" t="str">
        <f>VLOOKUP(C545,[1]Sheet1!$F:$H,3,FALSE)</f>
        <v>C-704 Gayatri Darshan , Near Suruchi Restaurant Thakur Complex  Kandivali (E</v>
      </c>
    </row>
    <row r="546" spans="1:8" x14ac:dyDescent="0.25">
      <c r="A546" t="s">
        <v>35</v>
      </c>
      <c r="B546" t="s">
        <v>587</v>
      </c>
      <c r="C546">
        <v>9022963335</v>
      </c>
      <c r="D546" t="str">
        <f>_xlfn.IFNA(VLOOKUP(C546,CallLog_Latest!A:H,7,FALSE),"Not Called")</f>
        <v>Phone Busy</v>
      </c>
      <c r="E546" t="str">
        <f>IF(ISNA(VLOOKUP(C546,Registration!A:A,1,FALSE)),"Not Registered","Registered")</f>
        <v>Not Registered</v>
      </c>
      <c r="F546">
        <f>VLOOKUP(A546,Sheet1!A:B,2,FALSE)</f>
        <v>9833705425</v>
      </c>
      <c r="G546" t="str">
        <f>_xlfn.IFNA(VLOOKUP(C546,CallLog_Latest!A:H,8,FALSE),"")</f>
        <v>Didn’t pickup</v>
      </c>
      <c r="H546" t="str">
        <f>VLOOKUP(C546,[1]Sheet1!$F:$H,3,FALSE)</f>
        <v>Gundecha Trillium CHSL., A2/1303  Thakur Village, Kandivli (E</v>
      </c>
    </row>
    <row r="547" spans="1:8" x14ac:dyDescent="0.25">
      <c r="A547" t="s">
        <v>37</v>
      </c>
      <c r="B547" t="s">
        <v>588</v>
      </c>
      <c r="C547">
        <v>9820293375</v>
      </c>
      <c r="D547" t="str">
        <f>_xlfn.IFNA(VLOOKUP(C547,CallLog_Latest!A:H,7,FALSE),"Not Called")</f>
        <v>Not Called</v>
      </c>
      <c r="E547" t="str">
        <f>IF(ISNA(VLOOKUP(C547,Registration!A:A,1,FALSE)),"Not Registered","Registered")</f>
        <v>Not Registered</v>
      </c>
      <c r="F547">
        <f>VLOOKUP(A547,Sheet1!A:B,2,FALSE)</f>
        <v>9167390835</v>
      </c>
      <c r="G547" t="str">
        <f>_xlfn.IFNA(VLOOKUP(C547,CallLog_Latest!A:H,8,FALSE),"")</f>
        <v/>
      </c>
      <c r="H547" t="str">
        <f>VLOOKUP(C547,[1]Sheet1!$F:$H,3,FALSE)</f>
        <v>A-301  Amar Apartment  Thakur Complex, Kandivali (E</v>
      </c>
    </row>
    <row r="548" spans="1:8" x14ac:dyDescent="0.25">
      <c r="A548" t="s">
        <v>39</v>
      </c>
      <c r="B548" t="s">
        <v>589</v>
      </c>
      <c r="C548">
        <v>9833933540</v>
      </c>
      <c r="D548" t="str">
        <f>_xlfn.IFNA(VLOOKUP(C548,CallLog_Latest!A:H,7,FALSE),"Not Called")</f>
        <v>Not Reachable</v>
      </c>
      <c r="E548" t="str">
        <f>IF(ISNA(VLOOKUP(C548,Registration!A:A,1,FALSE)),"Not Registered","Registered")</f>
        <v>Not Registered</v>
      </c>
      <c r="F548">
        <f>VLOOKUP(A548,Sheet1!A:B,2,FALSE)</f>
        <v>9820505363</v>
      </c>
      <c r="G548" t="str">
        <f>_xlfn.IFNA(VLOOKUP(C548,CallLog_Latest!A:H,8,FALSE),"")</f>
        <v>Number doesn't exist</v>
      </c>
      <c r="H548" t="str">
        <f>VLOOKUP(C548,[1]Sheet1!$F:$H,3,FALSE)</f>
        <v>10/B  101 Alica Nagar Lokhandwala Complex  Akurli Road, Kandivali (E</v>
      </c>
    </row>
    <row r="549" spans="1:8" x14ac:dyDescent="0.25">
      <c r="A549" t="s">
        <v>41</v>
      </c>
      <c r="B549" t="s">
        <v>590</v>
      </c>
      <c r="C549">
        <v>9833577351</v>
      </c>
      <c r="D549" t="str">
        <f>_xlfn.IFNA(VLOOKUP(C549,CallLog_Latest!A:H,7,FALSE),"Not Called")</f>
        <v>Not Reachable</v>
      </c>
      <c r="E549" t="str">
        <f>IF(ISNA(VLOOKUP(C549,Registration!A:A,1,FALSE)),"Not Registered","Registered")</f>
        <v>Not Registered</v>
      </c>
      <c r="F549">
        <f>VLOOKUP(A549,Sheet1!A:B,2,FALSE)</f>
        <v>8058973809</v>
      </c>
      <c r="G549">
        <f>_xlfn.IFNA(VLOOKUP(C549,CallLog_Latest!A:H,8,FALSE),"")</f>
        <v>0</v>
      </c>
      <c r="H549" t="str">
        <f>VLOOKUP(C549,[1]Sheet1!$F:$H,3,FALSE)</f>
        <v>Raheja Eternity, B-301 Thakur Village, Kandivali (E</v>
      </c>
    </row>
    <row r="550" spans="1:8" x14ac:dyDescent="0.25">
      <c r="A550" t="s">
        <v>43</v>
      </c>
      <c r="B550" t="s">
        <v>591</v>
      </c>
      <c r="C550">
        <v>9820094563</v>
      </c>
      <c r="D550" t="str">
        <f>_xlfn.IFNA(VLOOKUP(C550,CallLog_Latest!A:H,7,FALSE),"Not Called")</f>
        <v>Not Called</v>
      </c>
      <c r="E550" t="str">
        <f>IF(ISNA(VLOOKUP(C550,Registration!A:A,1,FALSE)),"Not Registered","Registered")</f>
        <v>Not Registered</v>
      </c>
      <c r="F550">
        <f>VLOOKUP(A550,Sheet1!A:B,2,FALSE)</f>
        <v>9320683201</v>
      </c>
      <c r="G550" t="str">
        <f>_xlfn.IFNA(VLOOKUP(C550,CallLog_Latest!A:H,8,FALSE),"")</f>
        <v/>
      </c>
      <c r="H550" t="str">
        <f>VLOOKUP(C550,[1]Sheet1!$F:$H,3,FALSE)</f>
        <v>2C/401  N.G. Suncity Face -2 Thakur Village</v>
      </c>
    </row>
    <row r="551" spans="1:8" x14ac:dyDescent="0.25">
      <c r="A551" t="s">
        <v>45</v>
      </c>
      <c r="B551" t="s">
        <v>592</v>
      </c>
      <c r="C551">
        <v>7506055680</v>
      </c>
      <c r="D551" t="str">
        <f>_xlfn.IFNA(VLOOKUP(C551,CallLog_Latest!A:H,7,FALSE),"Not Called")</f>
        <v>Maybe Attending 🤔</v>
      </c>
      <c r="E551" t="str">
        <f>IF(ISNA(VLOOKUP(C551,Registration!A:A,1,FALSE)),"Not Registered","Registered")</f>
        <v>Not Registered</v>
      </c>
      <c r="F551">
        <f>VLOOKUP(A551,Sheet1!A:B,2,FALSE)</f>
        <v>9967235652</v>
      </c>
      <c r="G551">
        <f>_xlfn.IFNA(VLOOKUP(C551,CallLog_Latest!A:H,8,FALSE),"")</f>
        <v>0</v>
      </c>
      <c r="H551" t="str">
        <f>VLOOKUP(C551,[1]Sheet1!$F:$H,3,FALSE)</f>
        <v>B/404  Octacrest Akruti Road  Lokhannnndwala Township   Kandivali (W</v>
      </c>
    </row>
    <row r="552" spans="1:8" x14ac:dyDescent="0.25">
      <c r="A552" t="s">
        <v>47</v>
      </c>
      <c r="B552" t="s">
        <v>593</v>
      </c>
      <c r="C552">
        <v>9323053856</v>
      </c>
      <c r="D552" t="str">
        <f>_xlfn.IFNA(VLOOKUP(C552,CallLog_Latest!A:H,7,FALSE),"Not Called")</f>
        <v>Not Reachable</v>
      </c>
      <c r="E552" t="str">
        <f>IF(ISNA(VLOOKUP(C552,Registration!A:A,1,FALSE)),"Not Registered","Registered")</f>
        <v>Not Registered</v>
      </c>
      <c r="F552">
        <f>VLOOKUP(A552,Sheet1!A:B,2,FALSE)</f>
        <v>8108711149</v>
      </c>
      <c r="G552">
        <f>_xlfn.IFNA(VLOOKUP(C552,CallLog_Latest!A:H,8,FALSE),"")</f>
        <v>0</v>
      </c>
      <c r="H552" t="str">
        <f>VLOOKUP(C552,[1]Sheet1!$F:$H,3,FALSE)</f>
        <v>6B spring leaf   Lokhandwala township</v>
      </c>
    </row>
    <row r="553" spans="1:8" x14ac:dyDescent="0.25">
      <c r="A553" t="s">
        <v>49</v>
      </c>
      <c r="B553" t="s">
        <v>594</v>
      </c>
      <c r="C553">
        <v>9920307573</v>
      </c>
      <c r="D553" t="str">
        <f>_xlfn.IFNA(VLOOKUP(C553,CallLog_Latest!A:H,7,FALSE),"Not Called")</f>
        <v>Confirmed Presence ✅</v>
      </c>
      <c r="E553" t="str">
        <f>IF(ISNA(VLOOKUP(C553,Registration!A:A,1,FALSE)),"Not Registered","Registered")</f>
        <v>Registered</v>
      </c>
      <c r="F553">
        <f>VLOOKUP(A553,Sheet1!A:B,2,FALSE)</f>
        <v>9322206108</v>
      </c>
      <c r="G553">
        <f>_xlfn.IFNA(VLOOKUP(C553,CallLog_Latest!A:H,8,FALSE),"")</f>
        <v>0</v>
      </c>
      <c r="H553" t="str">
        <f>VLOOKUP(C553,[1]Sheet1!$F:$H,3,FALSE)</f>
        <v>6B/602, Spring Leaf Bldg. Lokhandwala Township, Kandivali (East0</v>
      </c>
    </row>
    <row r="554" spans="1:8" x14ac:dyDescent="0.25">
      <c r="A554" t="s">
        <v>51</v>
      </c>
      <c r="B554" t="s">
        <v>595</v>
      </c>
      <c r="C554">
        <v>9619494026</v>
      </c>
      <c r="D554" t="str">
        <f>_xlfn.IFNA(VLOOKUP(C554,CallLog_Latest!A:H,7,FALSE),"Not Called")</f>
        <v>Not Called</v>
      </c>
      <c r="E554" t="str">
        <f>IF(ISNA(VLOOKUP(C554,Registration!A:A,1,FALSE)),"Not Registered","Registered")</f>
        <v>Not Registered</v>
      </c>
      <c r="F554">
        <f>VLOOKUP(A554,Sheet1!A:B,2,FALSE)</f>
        <v>9967015641</v>
      </c>
      <c r="G554" t="str">
        <f>_xlfn.IFNA(VLOOKUP(C554,CallLog_Latest!A:H,8,FALSE),"")</f>
        <v/>
      </c>
      <c r="H554" t="str">
        <f>VLOOKUP(C554,[1]Sheet1!$F:$H,3,FALSE)</f>
        <v>B-1401/1402 benzer Tower  Thakur Complex  Near Surbhi Hotel</v>
      </c>
    </row>
    <row r="555" spans="1:8" x14ac:dyDescent="0.25">
      <c r="A555" t="s">
        <v>53</v>
      </c>
      <c r="B555" t="s">
        <v>596</v>
      </c>
      <c r="C555">
        <v>8879704601</v>
      </c>
      <c r="D555" t="str">
        <f>_xlfn.IFNA(VLOOKUP(C555,CallLog_Latest!A:H,7,FALSE),"Not Called")</f>
        <v>Not Called</v>
      </c>
      <c r="E555" t="str">
        <f>IF(ISNA(VLOOKUP(C555,Registration!A:A,1,FALSE)),"Not Registered","Registered")</f>
        <v>Not Registered</v>
      </c>
      <c r="F555">
        <f>VLOOKUP(A555,Sheet1!A:B,2,FALSE)</f>
        <v>9820216355</v>
      </c>
      <c r="G555" t="str">
        <f>_xlfn.IFNA(VLOOKUP(C555,CallLog_Latest!A:H,8,FALSE),"")</f>
        <v/>
      </c>
      <c r="H555" t="str">
        <f>VLOOKUP(C555,[1]Sheet1!$F:$H,3,FALSE)</f>
        <v>Sierra Tower CHS Ltd. C/1501 Lokhandwala Township, Akurli Road, Kandivali (E</v>
      </c>
    </row>
    <row r="556" spans="1:8" x14ac:dyDescent="0.25">
      <c r="A556" t="s">
        <v>55</v>
      </c>
      <c r="B556" t="s">
        <v>597</v>
      </c>
      <c r="C556">
        <v>9967071927</v>
      </c>
      <c r="D556" t="str">
        <f>_xlfn.IFNA(VLOOKUP(C556,CallLog_Latest!A:H,7,FALSE),"Not Called")</f>
        <v>Phone Busy</v>
      </c>
      <c r="E556" t="str">
        <f>IF(ISNA(VLOOKUP(C556,Registration!A:A,1,FALSE)),"Not Registered","Registered")</f>
        <v>Not Registered</v>
      </c>
      <c r="F556">
        <f>VLOOKUP(A556,Sheet1!A:B,2,FALSE)</f>
        <v>9819083540</v>
      </c>
      <c r="G556">
        <f>_xlfn.IFNA(VLOOKUP(C556,CallLog_Latest!A:H,8,FALSE),"")</f>
        <v>0</v>
      </c>
      <c r="H556" t="str">
        <f>VLOOKUP(C556,[1]Sheet1!$F:$H,3,FALSE)</f>
        <v>603 - C Wing  Tulip Thakur Village  Kandivali (E</v>
      </c>
    </row>
    <row r="557" spans="1:8" x14ac:dyDescent="0.25">
      <c r="A557" t="s">
        <v>57</v>
      </c>
      <c r="B557" t="s">
        <v>598</v>
      </c>
      <c r="C557">
        <v>9920299939</v>
      </c>
      <c r="D557" t="str">
        <f>_xlfn.IFNA(VLOOKUP(C557,CallLog_Latest!A:H,7,FALSE),"Not Called")</f>
        <v>Not Reachable</v>
      </c>
      <c r="E557" t="str">
        <f>IF(ISNA(VLOOKUP(C557,Registration!A:A,1,FALSE)),"Not Registered","Registered")</f>
        <v>Not Registered</v>
      </c>
      <c r="F557">
        <f>VLOOKUP(A557,Sheet1!A:B,2,FALSE)</f>
        <v>9101910341</v>
      </c>
      <c r="G557">
        <f>_xlfn.IFNA(VLOOKUP(C557,CallLog_Latest!A:H,8,FALSE),"")</f>
        <v>0</v>
      </c>
      <c r="H557" t="str">
        <f>VLOOKUP(C557,[1]Sheet1!$F:$H,3,FALSE)</f>
        <v>6B-1206  Sapphire Heights Lokhandwala Complex, Kandivali (W</v>
      </c>
    </row>
    <row r="558" spans="1:8" x14ac:dyDescent="0.25">
      <c r="A558" t="s">
        <v>59</v>
      </c>
      <c r="B558" t="s">
        <v>599</v>
      </c>
      <c r="C558">
        <v>9322328211</v>
      </c>
      <c r="D558" t="str">
        <f>_xlfn.IFNA(VLOOKUP(C558,CallLog_Latest!A:H,7,FALSE),"Not Called")</f>
        <v>Not Called</v>
      </c>
      <c r="E558" t="str">
        <f>IF(ISNA(VLOOKUP(C558,Registration!A:A,1,FALSE)),"Not Registered","Registered")</f>
        <v>Not Registered</v>
      </c>
      <c r="F558">
        <f>VLOOKUP(A558,Sheet1!A:B,2,FALSE)</f>
        <v>9920121726</v>
      </c>
      <c r="G558" t="str">
        <f>_xlfn.IFNA(VLOOKUP(C558,CallLog_Latest!A:H,8,FALSE),"")</f>
        <v/>
      </c>
      <c r="H558" t="str">
        <f>VLOOKUP(C558,[1]Sheet1!$F:$H,3,FALSE)</f>
        <v>Krishna  E.402  Vasant Sagar Ghs Ltd Thakur Village  Opp.Thakur Cinema  Samthanagar</v>
      </c>
    </row>
    <row r="559" spans="1:8" x14ac:dyDescent="0.25">
      <c r="A559" t="s">
        <v>61</v>
      </c>
      <c r="B559" t="s">
        <v>600</v>
      </c>
      <c r="C559">
        <v>9820267735</v>
      </c>
      <c r="D559" t="str">
        <f>_xlfn.IFNA(VLOOKUP(C559,CallLog_Latest!A:H,7,FALSE),"Not Called")</f>
        <v>Not Reachable</v>
      </c>
      <c r="E559" t="str">
        <f>IF(ISNA(VLOOKUP(C559,Registration!A:A,1,FALSE)),"Not Registered","Registered")</f>
        <v>Not Registered</v>
      </c>
      <c r="F559">
        <f>VLOOKUP(A559,Sheet1!A:B,2,FALSE)</f>
        <v>9820779873</v>
      </c>
      <c r="G559" t="str">
        <f>_xlfn.IFNA(VLOOKUP(C559,CallLog_Latest!A:H,8,FALSE),"")</f>
        <v>Not reachable</v>
      </c>
      <c r="H559" t="str">
        <f>VLOOKUP(C559,[1]Sheet1!$F:$H,3,FALSE)</f>
        <v>8-B  Tower-C Viceroy Park  Thakur Village</v>
      </c>
    </row>
    <row r="560" spans="1:8" x14ac:dyDescent="0.25">
      <c r="A560" t="s">
        <v>63</v>
      </c>
      <c r="B560" t="s">
        <v>601</v>
      </c>
      <c r="C560">
        <v>9322328211</v>
      </c>
      <c r="D560" t="str">
        <f>_xlfn.IFNA(VLOOKUP(C560,CallLog_Latest!A:H,7,FALSE),"Not Called")</f>
        <v>Not Called</v>
      </c>
      <c r="E560" t="str">
        <f>IF(ISNA(VLOOKUP(C560,Registration!A:A,1,FALSE)),"Not Registered","Registered")</f>
        <v>Not Registered</v>
      </c>
      <c r="F560">
        <f>VLOOKUP(A560,Sheet1!A:B,2,FALSE)</f>
        <v>9930396709</v>
      </c>
      <c r="G560" t="str">
        <f>_xlfn.IFNA(VLOOKUP(C560,CallLog_Latest!A:H,8,FALSE),"")</f>
        <v/>
      </c>
      <c r="H560" t="str">
        <f>VLOOKUP(C560,[1]Sheet1!$F:$H,3,FALSE)</f>
        <v>Krishna  E.402  Vasant Sagar Ghs Ltd Thakur Village  Opp.Thakur Cinema  Samthanagar</v>
      </c>
    </row>
    <row r="561" spans="1:8" x14ac:dyDescent="0.25">
      <c r="A561" t="s">
        <v>65</v>
      </c>
      <c r="B561" t="s">
        <v>602</v>
      </c>
      <c r="C561">
        <v>9820133326</v>
      </c>
      <c r="D561" t="str">
        <f>_xlfn.IFNA(VLOOKUP(C561,CallLog_Latest!A:H,7,FALSE),"Not Called")</f>
        <v>Not Called</v>
      </c>
      <c r="E561" t="str">
        <f>IF(ISNA(VLOOKUP(C561,Registration!A:A,1,FALSE)),"Not Registered","Registered")</f>
        <v>Not Registered</v>
      </c>
      <c r="F561">
        <f>VLOOKUP(A561,Sheet1!A:B,2,FALSE)</f>
        <v>7738892551</v>
      </c>
      <c r="G561" t="str">
        <f>_xlfn.IFNA(VLOOKUP(C561,CallLog_Latest!A:H,8,FALSE),"")</f>
        <v/>
      </c>
      <c r="H561" t="str">
        <f>VLOOKUP(C561,[1]Sheet1!$F:$H,3,FALSE)</f>
        <v>8-B  Tower-C Viceroy Park  Thakur Village, Kandivali (E</v>
      </c>
    </row>
    <row r="562" spans="1:8" x14ac:dyDescent="0.25">
      <c r="A562" t="s">
        <v>67</v>
      </c>
      <c r="B562" t="s">
        <v>603</v>
      </c>
      <c r="C562">
        <v>9322889347</v>
      </c>
      <c r="D562" t="str">
        <f>_xlfn.IFNA(VLOOKUP(C562,CallLog_Latest!A:H,7,FALSE),"Not Called")</f>
        <v>Not Called</v>
      </c>
      <c r="E562" t="str">
        <f>IF(ISNA(VLOOKUP(C562,Registration!A:A,1,FALSE)),"Not Registered","Registered")</f>
        <v>Not Registered</v>
      </c>
      <c r="F562">
        <f>VLOOKUP(A562,Sheet1!A:B,2,FALSE)</f>
        <v>9820251565</v>
      </c>
      <c r="G562" t="str">
        <f>_xlfn.IFNA(VLOOKUP(C562,CallLog_Latest!A:H,8,FALSE),"")</f>
        <v/>
      </c>
      <c r="H562" t="str">
        <f>VLOOKUP(C562,[1]Sheet1!$F:$H,3,FALSE)</f>
        <v>A-706 Gayatri Darshan  Thakur Complex .</v>
      </c>
    </row>
    <row r="563" spans="1:8" x14ac:dyDescent="0.25">
      <c r="A563" t="s">
        <v>69</v>
      </c>
      <c r="B563" t="s">
        <v>604</v>
      </c>
      <c r="C563">
        <v>9820199877</v>
      </c>
      <c r="D563" t="str">
        <f>_xlfn.IFNA(VLOOKUP(C563,CallLog_Latest!A:H,7,FALSE),"Not Called")</f>
        <v>Not Called</v>
      </c>
      <c r="E563" t="str">
        <f>IF(ISNA(VLOOKUP(C563,Registration!A:A,1,FALSE)),"Not Registered","Registered")</f>
        <v>Not Registered</v>
      </c>
      <c r="F563">
        <f>VLOOKUP(A563,Sheet1!A:B,2,FALSE)</f>
        <v>9968855475</v>
      </c>
      <c r="G563" t="str">
        <f>_xlfn.IFNA(VLOOKUP(C563,CallLog_Latest!A:H,8,FALSE),"")</f>
        <v/>
      </c>
      <c r="H563" t="str">
        <f>VLOOKUP(C563,[1]Sheet1!$F:$H,3,FALSE)</f>
        <v>Whispering Palms, Wing-1-A/602   Lokhandwala Township, Kandivali (E</v>
      </c>
    </row>
    <row r="564" spans="1:8" x14ac:dyDescent="0.25">
      <c r="A564" t="s">
        <v>71</v>
      </c>
      <c r="B564" t="s">
        <v>605</v>
      </c>
      <c r="C564">
        <v>9819802826</v>
      </c>
      <c r="D564" t="str">
        <f>_xlfn.IFNA(VLOOKUP(C564,CallLog_Latest!A:H,7,FALSE),"Not Called")</f>
        <v>Not Reachable</v>
      </c>
      <c r="E564" t="str">
        <f>IF(ISNA(VLOOKUP(C564,Registration!A:A,1,FALSE)),"Not Registered","Registered")</f>
        <v>Not Registered</v>
      </c>
      <c r="F564">
        <f>VLOOKUP(A564,Sheet1!A:B,2,FALSE)</f>
        <v>9405263833</v>
      </c>
      <c r="G564" t="str">
        <f>_xlfn.IFNA(VLOOKUP(C564,CallLog_Latest!A:H,8,FALSE),"")</f>
        <v>Switch off</v>
      </c>
      <c r="H564" t="str">
        <f>VLOOKUP(C564,[1]Sheet1!$F:$H,3,FALSE)</f>
        <v>ALPINE Towers, Flat No. B-2003, Opp. Thakur Village Police Station, Thakur Village, Kandivali (E</v>
      </c>
    </row>
    <row r="565" spans="1:8" x14ac:dyDescent="0.25">
      <c r="A565" t="s">
        <v>73</v>
      </c>
      <c r="B565" t="s">
        <v>606</v>
      </c>
      <c r="C565">
        <v>9820610112</v>
      </c>
      <c r="D565" t="str">
        <f>_xlfn.IFNA(VLOOKUP(C565,CallLog_Latest!A:H,7,FALSE),"Not Called")</f>
        <v>Confirmed Presence ✅</v>
      </c>
      <c r="E565" t="str">
        <f>IF(ISNA(VLOOKUP(C565,Registration!A:A,1,FALSE)),"Not Registered","Registered")</f>
        <v>Not Registered</v>
      </c>
      <c r="F565">
        <f>VLOOKUP(A565,Sheet1!A:B,2,FALSE)</f>
        <v>8879433174</v>
      </c>
      <c r="G565" t="str">
        <f>_xlfn.IFNA(VLOOKUP(C565,CallLog_Latest!A:H,8,FALSE),"")</f>
        <v>5 Members</v>
      </c>
      <c r="H565" t="str">
        <f>VLOOKUP(C565,[1]Sheet1!$F:$H,3,FALSE)</f>
        <v>A-1/24 Sahyadri  Asha Nagar Thakur Complex</v>
      </c>
    </row>
    <row r="566" spans="1:8" x14ac:dyDescent="0.25">
      <c r="A566" t="s">
        <v>75</v>
      </c>
      <c r="B566" t="s">
        <v>607</v>
      </c>
      <c r="C566">
        <v>9820029905</v>
      </c>
      <c r="D566" t="str">
        <f>_xlfn.IFNA(VLOOKUP(C566,CallLog_Latest!A:H,7,FALSE),"Not Called")</f>
        <v>Not Called</v>
      </c>
      <c r="E566" t="str">
        <f>IF(ISNA(VLOOKUP(C566,Registration!A:A,1,FALSE)),"Not Registered","Registered")</f>
        <v>Not Registered</v>
      </c>
      <c r="F566">
        <f>VLOOKUP(A566,Sheet1!A:B,2,FALSE)</f>
        <v>9993325021</v>
      </c>
      <c r="G566" t="str">
        <f>_xlfn.IFNA(VLOOKUP(C566,CallLog_Latest!A:H,8,FALSE),"")</f>
        <v/>
      </c>
      <c r="H566" t="str">
        <f>VLOOKUP(C566,[1]Sheet1!$F:$H,3,FALSE)</f>
        <v>1903  Silver Oak  Raheja Willows Bldg. Akurli Road</v>
      </c>
    </row>
    <row r="567" spans="1:8" x14ac:dyDescent="0.25">
      <c r="A567" t="s">
        <v>12</v>
      </c>
      <c r="B567" t="s">
        <v>608</v>
      </c>
      <c r="C567">
        <v>9892537304</v>
      </c>
      <c r="D567" t="str">
        <f>_xlfn.IFNA(VLOOKUP(C567,CallLog_Latest!A:H,7,FALSE),"Not Called")</f>
        <v>Confirmed Presence</v>
      </c>
      <c r="E567" t="str">
        <f>IF(ISNA(VLOOKUP(C567,Registration!A:A,1,FALSE)),"Not Registered","Registered")</f>
        <v>Not Registered</v>
      </c>
      <c r="F567">
        <f>VLOOKUP(A567,Sheet1!A:B,2,FALSE)</f>
        <v>9820454734</v>
      </c>
      <c r="G567">
        <f>_xlfn.IFNA(VLOOKUP(C567,CallLog_Latest!A:H,8,FALSE),"")</f>
        <v>0</v>
      </c>
      <c r="H567" t="str">
        <f>VLOOKUP(C567,[1]Sheet1!$F:$H,3,FALSE)</f>
        <v>B - 204  Bhoomi Elegant   Opp. Gokul Garden  Thakur Complex  Kandivali (E</v>
      </c>
    </row>
    <row r="568" spans="1:8" x14ac:dyDescent="0.25">
      <c r="A568" t="s">
        <v>78</v>
      </c>
      <c r="B568" t="s">
        <v>609</v>
      </c>
      <c r="C568">
        <v>7303221249</v>
      </c>
      <c r="D568" t="str">
        <f>_xlfn.IFNA(VLOOKUP(C568,CallLog_Latest!A:H,7,FALSE),"Not Called")</f>
        <v>Confirmed Presence</v>
      </c>
      <c r="E568" t="str">
        <f>IF(ISNA(VLOOKUP(C568,Registration!A:A,1,FALSE)),"Not Registered","Registered")</f>
        <v>Not Registered</v>
      </c>
      <c r="F568">
        <f>VLOOKUP(A568,Sheet1!A:B,2,FALSE)</f>
        <v>9029105124</v>
      </c>
      <c r="G568">
        <f>_xlfn.IFNA(VLOOKUP(C568,CallLog_Latest!A:H,8,FALSE),"")</f>
        <v>0</v>
      </c>
      <c r="H568" t="str">
        <f>VLOOKUP(C568,[1]Sheet1!$F:$H,3,FALSE)</f>
        <v>B - 204  Bhoomi Elegant   Opp. Gokul Garden  Thakur Complex  Kandivali (E</v>
      </c>
    </row>
    <row r="569" spans="1:8" x14ac:dyDescent="0.25">
      <c r="A569" t="s">
        <v>80</v>
      </c>
      <c r="B569" t="s">
        <v>610</v>
      </c>
      <c r="C569">
        <v>9029404426</v>
      </c>
      <c r="D569" t="str">
        <f>_xlfn.IFNA(VLOOKUP(C569,CallLog_Latest!A:H,7,FALSE),"Not Called")</f>
        <v>Not Called</v>
      </c>
      <c r="E569" t="str">
        <f>IF(ISNA(VLOOKUP(C569,Registration!A:A,1,FALSE)),"Not Registered","Registered")</f>
        <v>Not Registered</v>
      </c>
      <c r="F569">
        <f>VLOOKUP(A569,Sheet1!A:B,2,FALSE)</f>
        <v>9599704370</v>
      </c>
      <c r="G569" t="str">
        <f>_xlfn.IFNA(VLOOKUP(C569,CallLog_Latest!A:H,8,FALSE),"")</f>
        <v/>
      </c>
      <c r="H569" t="str">
        <f>VLOOKUP(C569,[1]Sheet1!$F:$H,3,FALSE)</f>
        <v>B 601  Rakhee Vasant Utsav Thakur Village, Kandivali (E</v>
      </c>
    </row>
    <row r="570" spans="1:8" x14ac:dyDescent="0.25">
      <c r="A570" t="s">
        <v>82</v>
      </c>
      <c r="B570" t="s">
        <v>611</v>
      </c>
      <c r="C570">
        <v>9821048063</v>
      </c>
      <c r="D570" t="str">
        <f>_xlfn.IFNA(VLOOKUP(C570,CallLog_Latest!A:H,7,FALSE),"Not Called")</f>
        <v>Confirmed Presence ✅</v>
      </c>
      <c r="E570" t="str">
        <f>IF(ISNA(VLOOKUP(C570,Registration!A:A,1,FALSE)),"Not Registered","Registered")</f>
        <v>Not Registered</v>
      </c>
      <c r="F570">
        <f>VLOOKUP(A570,Sheet1!A:B,2,FALSE)</f>
        <v>9824100412</v>
      </c>
      <c r="G570">
        <f>_xlfn.IFNA(VLOOKUP(C570,CallLog_Latest!A:H,8,FALSE),"")</f>
        <v>0</v>
      </c>
      <c r="H570" t="str">
        <f>VLOOKUP(C570,[1]Sheet1!$F:$H,3,FALSE)</f>
        <v>2b-113  Kalapatru Gardens Ashok Nagar Near Ganesh Temple  Mum-</v>
      </c>
    </row>
    <row r="571" spans="1:8" x14ac:dyDescent="0.25">
      <c r="A571" t="s">
        <v>84</v>
      </c>
      <c r="B571" t="s">
        <v>612</v>
      </c>
      <c r="C571">
        <v>9664467750</v>
      </c>
      <c r="D571" t="str">
        <f>_xlfn.IFNA(VLOOKUP(C571,CallLog_Latest!A:H,7,FALSE),"Not Called")</f>
        <v>Confirmed Presence</v>
      </c>
      <c r="E571" t="str">
        <f>IF(ISNA(VLOOKUP(C571,Registration!A:A,1,FALSE)),"Not Registered","Registered")</f>
        <v>Registered</v>
      </c>
      <c r="F571">
        <f>VLOOKUP(A571,Sheet1!A:B,2,FALSE)</f>
        <v>9225211083</v>
      </c>
      <c r="G571" t="str">
        <f>_xlfn.IFNA(VLOOKUP(C571,CallLog_Latest!A:H,8,FALSE),"")</f>
        <v>Already registered</v>
      </c>
      <c r="H571" t="str">
        <f>VLOOKUP(C571,[1]Sheet1!$F:$H,3,FALSE)</f>
        <v>Krishna Vasant Sagar A-603   Thakur Village, Kandivali (E</v>
      </c>
    </row>
    <row r="572" spans="1:8" x14ac:dyDescent="0.25">
      <c r="A572" t="s">
        <v>86</v>
      </c>
      <c r="B572" t="s">
        <v>613</v>
      </c>
      <c r="C572">
        <v>9820305852</v>
      </c>
      <c r="D572" t="str">
        <f>_xlfn.IFNA(VLOOKUP(C572,CallLog_Latest!A:H,7,FALSE),"Not Called")</f>
        <v>Not Called</v>
      </c>
      <c r="E572" t="str">
        <f>IF(ISNA(VLOOKUP(C572,Registration!A:A,1,FALSE)),"Not Registered","Registered")</f>
        <v>Not Registered</v>
      </c>
      <c r="F572">
        <f>VLOOKUP(A572,Sheet1!A:B,2,FALSE)</f>
        <v>9930252076</v>
      </c>
      <c r="G572" t="str">
        <f>_xlfn.IFNA(VLOOKUP(C572,CallLog_Latest!A:H,8,FALSE),"")</f>
        <v/>
      </c>
      <c r="H572" t="str">
        <f>VLOOKUP(C572,[1]Sheet1!$F:$H,3,FALSE)</f>
        <v>H/603 Krishna Vasant Sagar Thakur Village</v>
      </c>
    </row>
    <row r="573" spans="1:8" x14ac:dyDescent="0.25">
      <c r="A573" t="s">
        <v>88</v>
      </c>
      <c r="B573" t="s">
        <v>614</v>
      </c>
      <c r="C573">
        <v>9967065195</v>
      </c>
      <c r="D573" t="str">
        <f>_xlfn.IFNA(VLOOKUP(C573,CallLog_Latest!A:H,7,FALSE),"Not Called")</f>
        <v>Not Called</v>
      </c>
      <c r="E573" t="str">
        <f>IF(ISNA(VLOOKUP(C573,Registration!A:A,1,FALSE)),"Not Registered","Registered")</f>
        <v>Not Registered</v>
      </c>
      <c r="F573">
        <f>VLOOKUP(A573,Sheet1!A:B,2,FALSE)</f>
        <v>9661270782</v>
      </c>
      <c r="G573" t="str">
        <f>_xlfn.IFNA(VLOOKUP(C573,CallLog_Latest!A:H,8,FALSE),"")</f>
        <v/>
      </c>
      <c r="H573" t="str">
        <f>VLOOKUP(C573,[1]Sheet1!$F:$H,3,FALSE)</f>
        <v>D - 402  Gayatri Satsang Laxminarayan Dham  Near Gokul Gagan Tower  Thakur Village  Kandivali ( E</v>
      </c>
    </row>
    <row r="574" spans="1:8" x14ac:dyDescent="0.25">
      <c r="A574" t="s">
        <v>90</v>
      </c>
      <c r="B574" t="s">
        <v>615</v>
      </c>
      <c r="C574">
        <v>9892726278</v>
      </c>
      <c r="D574" t="str">
        <f>_xlfn.IFNA(VLOOKUP(C574,CallLog_Latest!A:H,7,FALSE),"Not Called")</f>
        <v>Not Called</v>
      </c>
      <c r="E574" t="str">
        <f>IF(ISNA(VLOOKUP(C574,Registration!A:A,1,FALSE)),"Not Registered","Registered")</f>
        <v>Not Registered</v>
      </c>
      <c r="F574">
        <f>VLOOKUP(A574,Sheet1!A:B,2,FALSE)</f>
        <v>9819128389</v>
      </c>
      <c r="G574" t="str">
        <f>_xlfn.IFNA(VLOOKUP(C574,CallLog_Latest!A:H,8,FALSE),"")</f>
        <v/>
      </c>
      <c r="H574" t="str">
        <f>VLOOKUP(C574,[1]Sheet1!$F:$H,3,FALSE)</f>
        <v>4-B- 1604, Whispering Palms Co-Hsg  Soc Ltd  Akurli Road, Kandivali East</v>
      </c>
    </row>
    <row r="575" spans="1:8" x14ac:dyDescent="0.25">
      <c r="A575" t="s">
        <v>92</v>
      </c>
      <c r="B575" t="s">
        <v>616</v>
      </c>
      <c r="C575">
        <v>9323035882</v>
      </c>
      <c r="D575" t="str">
        <f>_xlfn.IFNA(VLOOKUP(C575,CallLog_Latest!A:H,7,FALSE),"Not Called")</f>
        <v>Not Called</v>
      </c>
      <c r="E575" t="str">
        <f>IF(ISNA(VLOOKUP(C575,Registration!A:A,1,FALSE)),"Not Registered","Registered")</f>
        <v>Not Registered</v>
      </c>
      <c r="F575">
        <f>VLOOKUP(A575,Sheet1!A:B,2,FALSE)</f>
        <v>8268665777</v>
      </c>
      <c r="G575" t="str">
        <f>_xlfn.IFNA(VLOOKUP(C575,CallLog_Latest!A:H,8,FALSE),"")</f>
        <v/>
      </c>
      <c r="H575" t="str">
        <f>VLOOKUP(C575,[1]Sheet1!$F:$H,3,FALSE)</f>
        <v>5C-102, Green Meadows Chsl, Lokhandwala Township, Kandivali (W</v>
      </c>
    </row>
    <row r="576" spans="1:8" x14ac:dyDescent="0.25">
      <c r="A576" t="s">
        <v>94</v>
      </c>
      <c r="B576" t="s">
        <v>617</v>
      </c>
      <c r="C576">
        <v>9820216468</v>
      </c>
      <c r="D576" t="str">
        <f>_xlfn.IFNA(VLOOKUP(C576,CallLog_Latest!A:H,7,FALSE),"Not Called")</f>
        <v>Not Called</v>
      </c>
      <c r="E576" t="str">
        <f>IF(ISNA(VLOOKUP(C576,Registration!A:A,1,FALSE)),"Not Registered","Registered")</f>
        <v>Not Registered</v>
      </c>
      <c r="F576">
        <f>VLOOKUP(A576,Sheet1!A:B,2,FALSE)</f>
        <v>9920085455</v>
      </c>
      <c r="G576" t="str">
        <f>_xlfn.IFNA(VLOOKUP(C576,CallLog_Latest!A:H,8,FALSE),"")</f>
        <v/>
      </c>
      <c r="H576" t="str">
        <f>VLOOKUP(C576,[1]Sheet1!$F:$H,3,FALSE)</f>
        <v>202, 3/C Whispering Palms, Akruli Road, Lokhandwala Townahip, Kandivali (E</v>
      </c>
    </row>
    <row r="577" spans="1:8" x14ac:dyDescent="0.25">
      <c r="A577" t="s">
        <v>96</v>
      </c>
      <c r="B577" t="s">
        <v>618</v>
      </c>
      <c r="C577">
        <v>9967015641</v>
      </c>
      <c r="D577" t="str">
        <f>_xlfn.IFNA(VLOOKUP(C577,CallLog_Latest!A:H,7,FALSE),"Not Called")</f>
        <v>Not Coming</v>
      </c>
      <c r="E577" t="str">
        <f>IF(ISNA(VLOOKUP(C577,Registration!A:A,1,FALSE)),"Not Registered","Registered")</f>
        <v>Not Registered</v>
      </c>
      <c r="F577">
        <f>VLOOKUP(A577,Sheet1!A:B,2,FALSE)</f>
        <v>9424584007</v>
      </c>
      <c r="G577" t="str">
        <f>_xlfn.IFNA(VLOOKUP(C577,CallLog_Latest!A:H,8,FALSE),"")</f>
        <v>Not coming</v>
      </c>
      <c r="H577" t="str">
        <f>VLOOKUP(C577,[1]Sheet1!$F:$H,3,FALSE)</f>
        <v>Pathik (A &amp; B CHSL., A-501 Vrindavan Association, Thakur Complex, Kandivali (E</v>
      </c>
    </row>
    <row r="578" spans="1:8" x14ac:dyDescent="0.25">
      <c r="A578" t="s">
        <v>3</v>
      </c>
      <c r="B578" t="s">
        <v>619</v>
      </c>
      <c r="C578">
        <v>9837338000</v>
      </c>
      <c r="D578" t="str">
        <f>_xlfn.IFNA(VLOOKUP(C578,CallLog_Latest!A:H,7,FALSE),"Not Called")</f>
        <v>Not Called</v>
      </c>
      <c r="E578" t="str">
        <f>IF(ISNA(VLOOKUP(C578,Registration!A:A,1,FALSE)),"Not Registered","Registered")</f>
        <v>Not Registered</v>
      </c>
      <c r="F578">
        <f>VLOOKUP(A578,Sheet1!A:B,2,FALSE)</f>
        <v>9326379737</v>
      </c>
      <c r="G578" t="str">
        <f>_xlfn.IFNA(VLOOKUP(C578,CallLog_Latest!A:H,8,FALSE),"")</f>
        <v/>
      </c>
      <c r="H578" t="str">
        <f>VLOOKUP(C578,[1]Sheet1!$F:$H,3,FALSE)</f>
        <v>A - 1102  Oberoi Gardens Thakur Village Kandivali (E</v>
      </c>
    </row>
    <row r="579" spans="1:8" x14ac:dyDescent="0.25">
      <c r="A579" t="s">
        <v>5</v>
      </c>
      <c r="B579" t="s">
        <v>620</v>
      </c>
      <c r="C579">
        <v>9413245223</v>
      </c>
      <c r="D579" t="str">
        <f>_xlfn.IFNA(VLOOKUP(C579,CallLog_Latest!A:H,7,FALSE),"Not Called")</f>
        <v>Not Called</v>
      </c>
      <c r="E579" t="str">
        <f>IF(ISNA(VLOOKUP(C579,Registration!A:A,1,FALSE)),"Not Registered","Registered")</f>
        <v>Not Registered</v>
      </c>
      <c r="F579">
        <f>VLOOKUP(A579,Sheet1!A:B,2,FALSE)</f>
        <v>9323541634</v>
      </c>
      <c r="G579" t="str">
        <f>_xlfn.IFNA(VLOOKUP(C579,CallLog_Latest!A:H,8,FALSE),"")</f>
        <v/>
      </c>
      <c r="H579" t="str">
        <f>VLOOKUP(C579,[1]Sheet1!$F:$H,3,FALSE)</f>
        <v>B -1 / 203  Green Meadows  CHS Lokhandwala Township   Kandivali (E</v>
      </c>
    </row>
    <row r="580" spans="1:8" x14ac:dyDescent="0.25">
      <c r="A580" t="s">
        <v>7</v>
      </c>
      <c r="B580" t="s">
        <v>621</v>
      </c>
      <c r="C580">
        <v>9167390835</v>
      </c>
      <c r="D580" t="str">
        <f>_xlfn.IFNA(VLOOKUP(C580,CallLog_Latest!A:H,7,FALSE),"Not Called")</f>
        <v>Not Called</v>
      </c>
      <c r="E580" t="str">
        <f>IF(ISNA(VLOOKUP(C580,Registration!A:A,1,FALSE)),"Not Registered","Registered")</f>
        <v>Not Registered</v>
      </c>
      <c r="F580">
        <f>VLOOKUP(A580,Sheet1!A:B,2,FALSE)</f>
        <v>9867015031</v>
      </c>
      <c r="G580" t="str">
        <f>_xlfn.IFNA(VLOOKUP(C580,CallLog_Latest!A:H,8,FALSE),"")</f>
        <v/>
      </c>
      <c r="H580" t="str">
        <f>VLOOKUP(C580,[1]Sheet1!$F:$H,3,FALSE)</f>
        <v>1006,  Tower 4, Spring Grove Tower, Lokhandwala Complex  Kandivali (E</v>
      </c>
    </row>
    <row r="581" spans="1:8" x14ac:dyDescent="0.25">
      <c r="A581" t="s">
        <v>9</v>
      </c>
      <c r="B581" t="s">
        <v>622</v>
      </c>
      <c r="C581">
        <v>980000000</v>
      </c>
      <c r="D581" t="str">
        <f>_xlfn.IFNA(VLOOKUP(C581,CallLog_Latest!A:H,7,FALSE),"Not Called")</f>
        <v>Not Called</v>
      </c>
      <c r="E581" t="str">
        <f>IF(ISNA(VLOOKUP(C581,Registration!A:A,1,FALSE)),"Not Registered","Registered")</f>
        <v>Not Registered</v>
      </c>
      <c r="F581">
        <f>VLOOKUP(A581,Sheet1!A:B,2,FALSE)</f>
        <v>9821268271</v>
      </c>
      <c r="G581" t="str">
        <f>_xlfn.IFNA(VLOOKUP(C581,CallLog_Latest!A:H,8,FALSE),"")</f>
        <v/>
      </c>
      <c r="H581" t="e">
        <f>VLOOKUP(C581,[1]Sheet1!$F:$H,3,FALSE)</f>
        <v>#N/A</v>
      </c>
    </row>
    <row r="582" spans="1:8" x14ac:dyDescent="0.25">
      <c r="A582" t="s">
        <v>11</v>
      </c>
      <c r="B582" t="s">
        <v>623</v>
      </c>
      <c r="C582">
        <v>9321210074</v>
      </c>
      <c r="D582" t="str">
        <f>_xlfn.IFNA(VLOOKUP(C582,CallLog_Latest!A:H,7,FALSE),"Not Called")</f>
        <v>Not Called</v>
      </c>
      <c r="E582" t="str">
        <f>IF(ISNA(VLOOKUP(C582,Registration!A:A,1,FALSE)),"Not Registered","Registered")</f>
        <v>Not Registered</v>
      </c>
      <c r="F582">
        <f>VLOOKUP(A582,Sheet1!A:B,2,FALSE)</f>
        <v>9322598681</v>
      </c>
      <c r="G582" t="str">
        <f>_xlfn.IFNA(VLOOKUP(C582,CallLog_Latest!A:H,8,FALSE),"")</f>
        <v/>
      </c>
      <c r="H582" t="str">
        <f>VLOOKUP(C582,[1]Sheet1!$F:$H,3,FALSE)</f>
        <v>Umang Building A-702   Vasant Visav  Thakur Village, Kandivali (E</v>
      </c>
    </row>
    <row r="583" spans="1:8" x14ac:dyDescent="0.25">
      <c r="A583" t="s">
        <v>13</v>
      </c>
      <c r="B583" t="s">
        <v>624</v>
      </c>
      <c r="C583">
        <v>9324400220</v>
      </c>
      <c r="D583" t="str">
        <f>_xlfn.IFNA(VLOOKUP(C583,CallLog_Latest!A:H,7,FALSE),"Not Called")</f>
        <v>Not Called</v>
      </c>
      <c r="E583" t="str">
        <f>IF(ISNA(VLOOKUP(C583,Registration!A:A,1,FALSE)),"Not Registered","Registered")</f>
        <v>Not Registered</v>
      </c>
      <c r="F583">
        <f>VLOOKUP(A583,Sheet1!A:B,2,FALSE)</f>
        <v>9969403870</v>
      </c>
      <c r="G583" t="str">
        <f>_xlfn.IFNA(VLOOKUP(C583,CallLog_Latest!A:H,8,FALSE),"")</f>
        <v/>
      </c>
      <c r="H583" t="str">
        <f>VLOOKUP(C583,[1]Sheet1!$F:$H,3,FALSE)</f>
        <v>21/402 Evarshine Milenium Pradise Thakyur Village</v>
      </c>
    </row>
    <row r="584" spans="1:8" x14ac:dyDescent="0.25">
      <c r="A584" t="s">
        <v>15</v>
      </c>
      <c r="B584" t="s">
        <v>625</v>
      </c>
      <c r="C584">
        <v>9821207646</v>
      </c>
      <c r="D584" t="str">
        <f>_xlfn.IFNA(VLOOKUP(C584,CallLog_Latest!A:H,7,FALSE),"Not Called")</f>
        <v>Not Called</v>
      </c>
      <c r="E584" t="str">
        <f>IF(ISNA(VLOOKUP(C584,Registration!A:A,1,FALSE)),"Not Registered","Registered")</f>
        <v>Not Registered</v>
      </c>
      <c r="F584">
        <f>VLOOKUP(A584,Sheet1!A:B,2,FALSE)</f>
        <v>9892726278</v>
      </c>
      <c r="G584" t="str">
        <f>_xlfn.IFNA(VLOOKUP(C584,CallLog_Latest!A:H,8,FALSE),"")</f>
        <v/>
      </c>
      <c r="H584" t="str">
        <f>VLOOKUP(C584,[1]Sheet1!$F:$H,3,FALSE)</f>
        <v>VEENA SAJSUR 1208  NEAR VIDEOCON TOWERS THAKUR COMPLEX</v>
      </c>
    </row>
    <row r="585" spans="1:8" x14ac:dyDescent="0.25">
      <c r="A585" t="s">
        <v>17</v>
      </c>
      <c r="B585" t="s">
        <v>626</v>
      </c>
      <c r="C585">
        <v>9028711211</v>
      </c>
      <c r="D585" t="str">
        <f>_xlfn.IFNA(VLOOKUP(C585,CallLog_Latest!A:H,7,FALSE),"Not Called")</f>
        <v>Confirmed Presence ✅</v>
      </c>
      <c r="E585" t="str">
        <f>IF(ISNA(VLOOKUP(C585,Registration!A:A,1,FALSE)),"Not Registered","Registered")</f>
        <v>Not Registered</v>
      </c>
      <c r="F585">
        <f>VLOOKUP(A585,Sheet1!A:B,2,FALSE)</f>
        <v>9869798705</v>
      </c>
      <c r="G585">
        <f>_xlfn.IFNA(VLOOKUP(C585,CallLog_Latest!A:H,8,FALSE),"")</f>
        <v>0</v>
      </c>
      <c r="H585" t="str">
        <f>VLOOKUP(C585,[1]Sheet1!$F:$H,3,FALSE)</f>
        <v>603, Tulip A Valley of Flowers, Thakur Village, Kandivali (E,</v>
      </c>
    </row>
    <row r="586" spans="1:8" x14ac:dyDescent="0.25">
      <c r="A586" t="s">
        <v>19</v>
      </c>
      <c r="B586" t="s">
        <v>627</v>
      </c>
      <c r="C586">
        <v>9320767993</v>
      </c>
      <c r="D586" t="str">
        <f>_xlfn.IFNA(VLOOKUP(C586,CallLog_Latest!A:H,7,FALSE),"Not Called")</f>
        <v>Not Called</v>
      </c>
      <c r="E586" t="str">
        <f>IF(ISNA(VLOOKUP(C586,Registration!A:A,1,FALSE)),"Not Registered","Registered")</f>
        <v>Not Registered</v>
      </c>
      <c r="F586">
        <f>VLOOKUP(A586,Sheet1!A:B,2,FALSE)</f>
        <v>9820265640</v>
      </c>
      <c r="G586" t="str">
        <f>_xlfn.IFNA(VLOOKUP(C586,CallLog_Latest!A:H,8,FALSE),"")</f>
        <v/>
      </c>
      <c r="H586" t="str">
        <f>VLOOKUP(C586,[1]Sheet1!$F:$H,3,FALSE)</f>
        <v>Pine Wood -601/2  Raheja Village Akurli Road</v>
      </c>
    </row>
    <row r="587" spans="1:8" x14ac:dyDescent="0.25">
      <c r="A587" t="s">
        <v>21</v>
      </c>
      <c r="B587" t="s">
        <v>628</v>
      </c>
      <c r="C587">
        <v>9820189523</v>
      </c>
      <c r="D587" t="str">
        <f>_xlfn.IFNA(VLOOKUP(C587,CallLog_Latest!A:H,7,FALSE),"Not Called")</f>
        <v>Not Called</v>
      </c>
      <c r="E587" t="str">
        <f>IF(ISNA(VLOOKUP(C587,Registration!A:A,1,FALSE)),"Not Registered","Registered")</f>
        <v>Not Registered</v>
      </c>
      <c r="F587">
        <f>VLOOKUP(A587,Sheet1!A:B,2,FALSE)</f>
        <v>9820636392</v>
      </c>
      <c r="G587" t="str">
        <f>_xlfn.IFNA(VLOOKUP(C587,CallLog_Latest!A:H,8,FALSE),"")</f>
        <v/>
      </c>
      <c r="H587" t="str">
        <f>VLOOKUP(C587,[1]Sheet1!$F:$H,3,FALSE)</f>
        <v>Lodha White City, 28/3/ B Wing Near Apex Hospital, Lokhandwala Area, Akurli Road, Kandivali (E</v>
      </c>
    </row>
    <row r="588" spans="1:8" x14ac:dyDescent="0.25">
      <c r="A588" t="s">
        <v>23</v>
      </c>
      <c r="B588" t="s">
        <v>629</v>
      </c>
      <c r="C588">
        <v>9594784401</v>
      </c>
      <c r="D588" t="str">
        <f>_xlfn.IFNA(VLOOKUP(C588,CallLog_Latest!A:H,7,FALSE),"Not Called")</f>
        <v>Not Called</v>
      </c>
      <c r="E588" t="str">
        <f>IF(ISNA(VLOOKUP(C588,Registration!A:A,1,FALSE)),"Not Registered","Registered")</f>
        <v>Registered</v>
      </c>
      <c r="F588">
        <f>VLOOKUP(A588,Sheet1!A:B,2,FALSE)</f>
        <v>7977439717</v>
      </c>
      <c r="G588" t="str">
        <f>_xlfn.IFNA(VLOOKUP(C588,CallLog_Latest!A:H,8,FALSE),"")</f>
        <v/>
      </c>
      <c r="H588" t="str">
        <f>VLOOKUP(C588,[1]Sheet1!$F:$H,3,FALSE)</f>
        <v>701  Green Meadows  Building 1-b Lokhandwala Complex</v>
      </c>
    </row>
    <row r="589" spans="1:8" x14ac:dyDescent="0.25">
      <c r="A589" t="s">
        <v>25</v>
      </c>
      <c r="B589" t="s">
        <v>630</v>
      </c>
      <c r="C589">
        <v>9325040615</v>
      </c>
      <c r="D589" t="str">
        <f>_xlfn.IFNA(VLOOKUP(C589,CallLog_Latest!A:H,7,FALSE),"Not Called")</f>
        <v>Not Called</v>
      </c>
      <c r="E589" t="str">
        <f>IF(ISNA(VLOOKUP(C589,Registration!A:A,1,FALSE)),"Not Registered","Registered")</f>
        <v>Not Registered</v>
      </c>
      <c r="F589">
        <f>VLOOKUP(A589,Sheet1!A:B,2,FALSE)</f>
        <v>9967045520</v>
      </c>
      <c r="G589" t="str">
        <f>_xlfn.IFNA(VLOOKUP(C589,CallLog_Latest!A:H,8,FALSE),"")</f>
        <v/>
      </c>
      <c r="H589" t="str">
        <f>VLOOKUP(C589,[1]Sheet1!$F:$H,3,FALSE)</f>
        <v>B-103  Krishna Tower Opp.Childrens Academy School  Ashok Nagar</v>
      </c>
    </row>
    <row r="590" spans="1:8" x14ac:dyDescent="0.25">
      <c r="A590" t="s">
        <v>27</v>
      </c>
      <c r="B590" t="s">
        <v>631</v>
      </c>
      <c r="C590">
        <v>9022848918</v>
      </c>
      <c r="D590" t="str">
        <f>_xlfn.IFNA(VLOOKUP(C590,CallLog_Latest!A:H,7,FALSE),"Not Called")</f>
        <v>Not Called</v>
      </c>
      <c r="E590" t="str">
        <f>IF(ISNA(VLOOKUP(C590,Registration!A:A,1,FALSE)),"Not Registered","Registered")</f>
        <v>Not Registered</v>
      </c>
      <c r="F590">
        <f>VLOOKUP(A590,Sheet1!A:B,2,FALSE)</f>
        <v>9820075931</v>
      </c>
      <c r="G590" t="str">
        <f>_xlfn.IFNA(VLOOKUP(C590,CallLog_Latest!A:H,8,FALSE),"")</f>
        <v/>
      </c>
      <c r="H590" t="str">
        <f>VLOOKUP(C590,[1]Sheet1!$F:$H,3,FALSE)</f>
        <v>Flat No.103, Bldg 7A, Spring Leaf CHSL. Lokhandwala Township, Kandivali (E</v>
      </c>
    </row>
    <row r="591" spans="1:8" x14ac:dyDescent="0.25">
      <c r="A591" t="s">
        <v>29</v>
      </c>
      <c r="B591" t="s">
        <v>29</v>
      </c>
      <c r="C591">
        <v>9819364345</v>
      </c>
      <c r="D591" t="str">
        <f>_xlfn.IFNA(VLOOKUP(C591,CallLog_Latest!A:H,7,FALSE),"Not Called")</f>
        <v>Confirmed Presence ✅</v>
      </c>
      <c r="E591" t="str">
        <f>IF(ISNA(VLOOKUP(C591,Registration!A:A,1,FALSE)),"Not Registered","Registered")</f>
        <v>Registered</v>
      </c>
      <c r="F591">
        <f>VLOOKUP(A591,Sheet1!A:B,2,FALSE)</f>
        <v>9819364345</v>
      </c>
      <c r="G591">
        <f>_xlfn.IFNA(VLOOKUP(C591,CallLog_Latest!A:H,8,FALSE),"")</f>
        <v>0</v>
      </c>
      <c r="H591" t="str">
        <f>VLOOKUP(C591,[1]Sheet1!$F:$H,3,FALSE)</f>
        <v>A-1104  Raheja Serenity Thakur Village, Kandivali (E</v>
      </c>
    </row>
    <row r="592" spans="1:8" x14ac:dyDescent="0.25">
      <c r="A592" t="s">
        <v>31</v>
      </c>
      <c r="B592" t="s">
        <v>632</v>
      </c>
      <c r="C592">
        <v>9819007027</v>
      </c>
      <c r="D592" t="str">
        <f>_xlfn.IFNA(VLOOKUP(C592,CallLog_Latest!A:H,7,FALSE),"Not Called")</f>
        <v>Not Called</v>
      </c>
      <c r="E592" t="str">
        <f>IF(ISNA(VLOOKUP(C592,Registration!A:A,1,FALSE)),"Not Registered","Registered")</f>
        <v>Not Registered</v>
      </c>
      <c r="F592">
        <f>VLOOKUP(A592,Sheet1!A:B,2,FALSE)</f>
        <v>9869064553</v>
      </c>
      <c r="G592" t="str">
        <f>_xlfn.IFNA(VLOOKUP(C592,CallLog_Latest!A:H,8,FALSE),"")</f>
        <v/>
      </c>
      <c r="H592" t="str">
        <f>VLOOKUP(C592,[1]Sheet1!$F:$H,3,FALSE)</f>
        <v>Gaytri Darshan,  D-802  Nr. Suruchi Hotel, Thakur Complex, Kandivali (E</v>
      </c>
    </row>
    <row r="593" spans="1:8" x14ac:dyDescent="0.25">
      <c r="A593" t="s">
        <v>33</v>
      </c>
      <c r="B593" t="s">
        <v>633</v>
      </c>
      <c r="C593">
        <v>9324478418</v>
      </c>
      <c r="D593" t="str">
        <f>_xlfn.IFNA(VLOOKUP(C593,CallLog_Latest!A:H,7,FALSE),"Not Called")</f>
        <v>Confirmed Presence ✅</v>
      </c>
      <c r="E593" t="str">
        <f>IF(ISNA(VLOOKUP(C593,Registration!A:A,1,FALSE)),"Not Registered","Registered")</f>
        <v>Not Registered</v>
      </c>
      <c r="F593">
        <f>VLOOKUP(A593,Sheet1!A:B,2,FALSE)</f>
        <v>9930070116</v>
      </c>
      <c r="G593" t="str">
        <f>_xlfn.IFNA(VLOOKUP(C593,CallLog_Latest!A:H,8,FALSE),"")</f>
        <v>2 people have confirmed</v>
      </c>
      <c r="H593" t="str">
        <f>VLOOKUP(C593,[1]Sheet1!$F:$H,3,FALSE)</f>
        <v>D-1101  Octacrest Tower  Lokhandwala Complex</v>
      </c>
    </row>
    <row r="594" spans="1:8" x14ac:dyDescent="0.25">
      <c r="A594" t="s">
        <v>35</v>
      </c>
      <c r="B594" t="s">
        <v>634</v>
      </c>
      <c r="C594">
        <v>9422581711</v>
      </c>
      <c r="D594" t="str">
        <f>_xlfn.IFNA(VLOOKUP(C594,CallLog_Latest!A:H,7,FALSE),"Not Called")</f>
        <v>Not Called</v>
      </c>
      <c r="E594" t="str">
        <f>IF(ISNA(VLOOKUP(C594,Registration!A:A,1,FALSE)),"Not Registered","Registered")</f>
        <v>Not Registered</v>
      </c>
      <c r="F594">
        <f>VLOOKUP(A594,Sheet1!A:B,2,FALSE)</f>
        <v>9833705425</v>
      </c>
      <c r="G594" t="str">
        <f>_xlfn.IFNA(VLOOKUP(C594,CallLog_Latest!A:H,8,FALSE),"")</f>
        <v/>
      </c>
      <c r="H594" t="str">
        <f>VLOOKUP(C594,[1]Sheet1!$F:$H,3,FALSE)</f>
        <v>A-401, Evershine Crown, Thakur Village, Kandivali (E</v>
      </c>
    </row>
    <row r="595" spans="1:8" x14ac:dyDescent="0.25">
      <c r="A595" t="s">
        <v>37</v>
      </c>
      <c r="B595" t="s">
        <v>635</v>
      </c>
      <c r="C595">
        <v>9322337842</v>
      </c>
      <c r="D595" t="str">
        <f>_xlfn.IFNA(VLOOKUP(C595,CallLog_Latest!A:H,7,FALSE),"Not Called")</f>
        <v>Not Called</v>
      </c>
      <c r="E595" t="str">
        <f>IF(ISNA(VLOOKUP(C595,Registration!A:A,1,FALSE)),"Not Registered","Registered")</f>
        <v>Not Registered</v>
      </c>
      <c r="F595">
        <f>VLOOKUP(A595,Sheet1!A:B,2,FALSE)</f>
        <v>9167390835</v>
      </c>
      <c r="G595" t="str">
        <f>_xlfn.IFNA(VLOOKUP(C595,CallLog_Latest!A:H,8,FALSE),"")</f>
        <v/>
      </c>
      <c r="H595" t="str">
        <f>VLOOKUP(C595,[1]Sheet1!$F:$H,3,FALSE)</f>
        <v>D-802/803  Gayatri Darshan Nr. Suruchi Hotel  Thakur Complex, Kandivali (E</v>
      </c>
    </row>
    <row r="596" spans="1:8" x14ac:dyDescent="0.25">
      <c r="A596" t="s">
        <v>39</v>
      </c>
      <c r="B596" t="s">
        <v>636</v>
      </c>
      <c r="C596">
        <v>9821129200</v>
      </c>
      <c r="D596" t="str">
        <f>_xlfn.IFNA(VLOOKUP(C596,CallLog_Latest!A:H,7,FALSE),"Not Called")</f>
        <v>Confirmed Presence</v>
      </c>
      <c r="E596" t="str">
        <f>IF(ISNA(VLOOKUP(C596,Registration!A:A,1,FALSE)),"Not Registered","Registered")</f>
        <v>Not Registered</v>
      </c>
      <c r="F596">
        <f>VLOOKUP(A596,Sheet1!A:B,2,FALSE)</f>
        <v>9820505363</v>
      </c>
      <c r="G596" t="str">
        <f>_xlfn.IFNA(VLOOKUP(C596,CallLog_Latest!A:H,8,FALSE),"")</f>
        <v>Will register</v>
      </c>
      <c r="H596" t="str">
        <f>VLOOKUP(C596,[1]Sheet1!$F:$H,3,FALSE)</f>
        <v>B-1604 Gokul Gagan Tower Thakur Village</v>
      </c>
    </row>
    <row r="597" spans="1:8" x14ac:dyDescent="0.25">
      <c r="A597" t="s">
        <v>41</v>
      </c>
      <c r="B597" t="s">
        <v>637</v>
      </c>
      <c r="C597">
        <v>9820659788</v>
      </c>
      <c r="D597" t="str">
        <f>_xlfn.IFNA(VLOOKUP(C597,CallLog_Latest!A:H,7,FALSE),"Not Called")</f>
        <v>Not Reachable</v>
      </c>
      <c r="E597" t="str">
        <f>IF(ISNA(VLOOKUP(C597,Registration!A:A,1,FALSE)),"Not Registered","Registered")</f>
        <v>Not Registered</v>
      </c>
      <c r="F597">
        <f>VLOOKUP(A597,Sheet1!A:B,2,FALSE)</f>
        <v>8058973809</v>
      </c>
      <c r="G597">
        <f>_xlfn.IFNA(VLOOKUP(C597,CallLog_Latest!A:H,8,FALSE),"")</f>
        <v>0</v>
      </c>
      <c r="H597" t="str">
        <f>VLOOKUP(C597,[1]Sheet1!$F:$H,3,FALSE)</f>
        <v>6D/103, Alica Nagar, Akurli Road Lokhandwala Complex, Kandivali (E</v>
      </c>
    </row>
    <row r="598" spans="1:8" x14ac:dyDescent="0.25">
      <c r="A598" t="s">
        <v>43</v>
      </c>
      <c r="B598" t="s">
        <v>638</v>
      </c>
      <c r="C598">
        <v>9867621977</v>
      </c>
      <c r="D598" t="str">
        <f>_xlfn.IFNA(VLOOKUP(C598,CallLog_Latest!A:H,7,FALSE),"Not Called")</f>
        <v>Not Called</v>
      </c>
      <c r="E598" t="str">
        <f>IF(ISNA(VLOOKUP(C598,Registration!A:A,1,FALSE)),"Not Registered","Registered")</f>
        <v>Registered</v>
      </c>
      <c r="F598">
        <f>VLOOKUP(A598,Sheet1!A:B,2,FALSE)</f>
        <v>9320683201</v>
      </c>
      <c r="G598" t="str">
        <f>_xlfn.IFNA(VLOOKUP(C598,CallLog_Latest!A:H,8,FALSE),"")</f>
        <v/>
      </c>
      <c r="H598" t="str">
        <f>VLOOKUP(C598,[1]Sheet1!$F:$H,3,FALSE)</f>
        <v>1A, 302, NG Suncity Phase III Farid Estate, Thakur Village, Kandivali (E</v>
      </c>
    </row>
    <row r="599" spans="1:8" x14ac:dyDescent="0.25">
      <c r="A599" t="s">
        <v>45</v>
      </c>
      <c r="B599" t="s">
        <v>639</v>
      </c>
      <c r="C599">
        <v>9987005185</v>
      </c>
      <c r="D599" t="str">
        <f>_xlfn.IFNA(VLOOKUP(C599,CallLog_Latest!A:H,7,FALSE),"Not Called")</f>
        <v>Confirmed Presence ✅</v>
      </c>
      <c r="E599" t="str">
        <f>IF(ISNA(VLOOKUP(C599,Registration!A:A,1,FALSE)),"Not Registered","Registered")</f>
        <v>Not Registered</v>
      </c>
      <c r="F599">
        <f>VLOOKUP(A599,Sheet1!A:B,2,FALSE)</f>
        <v>9967235652</v>
      </c>
      <c r="G599">
        <f>_xlfn.IFNA(VLOOKUP(C599,CallLog_Latest!A:H,8,FALSE),"")</f>
        <v>0</v>
      </c>
      <c r="H599" t="str">
        <f>VLOOKUP(C599,[1]Sheet1!$F:$H,3,FALSE)</f>
        <v>C-301  Cosmos  Gundecha Complex Thakur Village</v>
      </c>
    </row>
    <row r="600" spans="1:8" x14ac:dyDescent="0.25">
      <c r="A600" t="s">
        <v>47</v>
      </c>
      <c r="B600" t="s">
        <v>640</v>
      </c>
      <c r="C600">
        <v>9324545321</v>
      </c>
      <c r="D600" t="str">
        <f>_xlfn.IFNA(VLOOKUP(C600,CallLog_Latest!A:H,7,FALSE),"Not Called")</f>
        <v>Not Reachable</v>
      </c>
      <c r="E600" t="str">
        <f>IF(ISNA(VLOOKUP(C600,Registration!A:A,1,FALSE)),"Not Registered","Registered")</f>
        <v>Not Registered</v>
      </c>
      <c r="F600">
        <f>VLOOKUP(A600,Sheet1!A:B,2,FALSE)</f>
        <v>8108711149</v>
      </c>
      <c r="G600">
        <f>_xlfn.IFNA(VLOOKUP(C600,CallLog_Latest!A:H,8,FALSE),"")</f>
        <v>0</v>
      </c>
      <c r="H600" t="str">
        <f>VLOOKUP(C600,[1]Sheet1!$F:$H,3,FALSE)</f>
        <v>1706 Challenger Tower -4 Thakur Village Kandivali (E.</v>
      </c>
    </row>
    <row r="601" spans="1:8" x14ac:dyDescent="0.25">
      <c r="A601" t="s">
        <v>49</v>
      </c>
      <c r="B601" t="s">
        <v>641</v>
      </c>
      <c r="C601">
        <v>9892289016</v>
      </c>
      <c r="D601" t="str">
        <f>_xlfn.IFNA(VLOOKUP(C601,CallLog_Latest!A:H,7,FALSE),"Not Called")</f>
        <v>Not Called</v>
      </c>
      <c r="E601" t="str">
        <f>IF(ISNA(VLOOKUP(C601,Registration!A:A,1,FALSE)),"Not Registered","Registered")</f>
        <v>Not Registered</v>
      </c>
      <c r="F601">
        <f>VLOOKUP(A601,Sheet1!A:B,2,FALSE)</f>
        <v>9322206108</v>
      </c>
      <c r="G601" t="str">
        <f>_xlfn.IFNA(VLOOKUP(C601,CallLog_Latest!A:H,8,FALSE),"")</f>
        <v/>
      </c>
      <c r="H601" t="str">
        <f>VLOOKUP(C601,[1]Sheet1!$F:$H,3,FALSE)</f>
        <v>8b  402 Alica Nagar  Lokhandwala Complex, Kandivali (E</v>
      </c>
    </row>
    <row r="602" spans="1:8" x14ac:dyDescent="0.25">
      <c r="A602" t="s">
        <v>51</v>
      </c>
      <c r="B602" t="s">
        <v>642</v>
      </c>
      <c r="C602">
        <v>9699859943</v>
      </c>
      <c r="D602" t="str">
        <f>_xlfn.IFNA(VLOOKUP(C602,CallLog_Latest!A:H,7,FALSE),"Not Called")</f>
        <v>Not Called</v>
      </c>
      <c r="E602" t="str">
        <f>IF(ISNA(VLOOKUP(C602,Registration!A:A,1,FALSE)),"Not Registered","Registered")</f>
        <v>Not Registered</v>
      </c>
      <c r="F602">
        <f>VLOOKUP(A602,Sheet1!A:B,2,FALSE)</f>
        <v>9967015641</v>
      </c>
      <c r="G602" t="str">
        <f>_xlfn.IFNA(VLOOKUP(C602,CallLog_Latest!A:H,8,FALSE),"")</f>
        <v/>
      </c>
      <c r="H602" t="str">
        <f>VLOOKUP(C602,[1]Sheet1!$F:$H,3,FALSE)</f>
        <v>Evershine Crown, A-401 Thakur Village, Kandivali (E</v>
      </c>
    </row>
    <row r="603" spans="1:8" x14ac:dyDescent="0.25">
      <c r="A603" t="s">
        <v>53</v>
      </c>
      <c r="B603" t="s">
        <v>643</v>
      </c>
      <c r="C603">
        <v>9820731770</v>
      </c>
      <c r="D603" t="str">
        <f>_xlfn.IFNA(VLOOKUP(C603,CallLog_Latest!A:H,7,FALSE),"Not Called")</f>
        <v>Not Called</v>
      </c>
      <c r="E603" t="str">
        <f>IF(ISNA(VLOOKUP(C603,Registration!A:A,1,FALSE)),"Not Registered","Registered")</f>
        <v>Not Registered</v>
      </c>
      <c r="F603">
        <f>VLOOKUP(A603,Sheet1!A:B,2,FALSE)</f>
        <v>9820216355</v>
      </c>
      <c r="G603" t="str">
        <f>_xlfn.IFNA(VLOOKUP(C603,CallLog_Latest!A:H,8,FALSE),"")</f>
        <v/>
      </c>
      <c r="H603" t="str">
        <f>VLOOKUP(C603,[1]Sheet1!$F:$H,3,FALSE)</f>
        <v>1504  C Wing Oberoi Gardens Thakur Village,Kandivali (E</v>
      </c>
    </row>
    <row r="604" spans="1:8" x14ac:dyDescent="0.25">
      <c r="A604" t="s">
        <v>55</v>
      </c>
      <c r="B604" t="s">
        <v>644</v>
      </c>
      <c r="C604">
        <v>9930799429</v>
      </c>
      <c r="D604" t="str">
        <f>_xlfn.IFNA(VLOOKUP(C604,CallLog_Latest!A:H,7,FALSE),"Not Called")</f>
        <v>Phone Busy</v>
      </c>
      <c r="E604" t="str">
        <f>IF(ISNA(VLOOKUP(C604,Registration!A:A,1,FALSE)),"Not Registered","Registered")</f>
        <v>Not Registered</v>
      </c>
      <c r="F604">
        <f>VLOOKUP(A604,Sheet1!A:B,2,FALSE)</f>
        <v>9819083540</v>
      </c>
      <c r="G604">
        <f>_xlfn.IFNA(VLOOKUP(C604,CallLog_Latest!A:H,8,FALSE),"")</f>
        <v>0</v>
      </c>
      <c r="H604" t="str">
        <f>VLOOKUP(C604,[1]Sheet1!$F:$H,3,FALSE)</f>
        <v>Evershine Crown, A-401 Thakur Village, Kandivali (E</v>
      </c>
    </row>
    <row r="605" spans="1:8" x14ac:dyDescent="0.25">
      <c r="A605" t="s">
        <v>57</v>
      </c>
      <c r="B605" t="s">
        <v>645</v>
      </c>
      <c r="C605">
        <v>9324543199</v>
      </c>
      <c r="D605" t="str">
        <f>_xlfn.IFNA(VLOOKUP(C605,CallLog_Latest!A:H,7,FALSE),"Not Called")</f>
        <v>Confirmed Presence</v>
      </c>
      <c r="E605" t="str">
        <f>IF(ISNA(VLOOKUP(C605,Registration!A:A,1,FALSE)),"Not Registered","Registered")</f>
        <v>Not Registered</v>
      </c>
      <c r="F605">
        <f>VLOOKUP(A605,Sheet1!A:B,2,FALSE)</f>
        <v>9101910341</v>
      </c>
      <c r="G605" t="str">
        <f>_xlfn.IFNA(VLOOKUP(C605,CallLog_Latest!A:H,8,FALSE),"")</f>
        <v>Will be attending</v>
      </c>
      <c r="H605" t="str">
        <f>VLOOKUP(C605,[1]Sheet1!$F:$H,3,FALSE)</f>
        <v>A Wing,Serenity Raheja Reflection,Thakur Village</v>
      </c>
    </row>
    <row r="606" spans="1:8" x14ac:dyDescent="0.25">
      <c r="A606" t="s">
        <v>59</v>
      </c>
      <c r="B606" t="s">
        <v>646</v>
      </c>
      <c r="C606">
        <v>9819514056</v>
      </c>
      <c r="D606" t="str">
        <f>_xlfn.IFNA(VLOOKUP(C606,CallLog_Latest!A:H,7,FALSE),"Not Called")</f>
        <v>Not Called</v>
      </c>
      <c r="E606" t="str">
        <f>IF(ISNA(VLOOKUP(C606,Registration!A:A,1,FALSE)),"Not Registered","Registered")</f>
        <v>Not Registered</v>
      </c>
      <c r="F606">
        <f>VLOOKUP(A606,Sheet1!A:B,2,FALSE)</f>
        <v>9920121726</v>
      </c>
      <c r="G606" t="str">
        <f>_xlfn.IFNA(VLOOKUP(C606,CallLog_Latest!A:H,8,FALSE),"")</f>
        <v/>
      </c>
      <c r="H606" t="str">
        <f>VLOOKUP(C606,[1]Sheet1!$F:$H,3,FALSE)</f>
        <v>Bhoomi Arcadec/ 501 &amp; 502 Ashok Chakravarti Road App. Children Academy High School Kandivali (E</v>
      </c>
    </row>
    <row r="607" spans="1:8" x14ac:dyDescent="0.25">
      <c r="A607" t="s">
        <v>61</v>
      </c>
      <c r="B607" t="s">
        <v>647</v>
      </c>
      <c r="C607">
        <v>9833374470</v>
      </c>
      <c r="D607" t="str">
        <f>_xlfn.IFNA(VLOOKUP(C607,CallLog_Latest!A:H,7,FALSE),"Not Called")</f>
        <v>Not Coming</v>
      </c>
      <c r="E607" t="str">
        <f>IF(ISNA(VLOOKUP(C607,Registration!A:A,1,FALSE)),"Not Registered","Registered")</f>
        <v>Not Registered</v>
      </c>
      <c r="F607">
        <f>VLOOKUP(A607,Sheet1!A:B,2,FALSE)</f>
        <v>9820779873</v>
      </c>
      <c r="G607" t="str">
        <f>_xlfn.IFNA(VLOOKUP(C607,CallLog_Latest!A:H,8,FALSE),"")</f>
        <v>Unsure if he would be coming</v>
      </c>
      <c r="H607" t="str">
        <f>VLOOKUP(C607,[1]Sheet1!$F:$H,3,FALSE)</f>
        <v>D-1002/3, Exclusive , Whispering Palms, Lokhandwala Complex, Kandivali (E</v>
      </c>
    </row>
    <row r="608" spans="1:8" x14ac:dyDescent="0.25">
      <c r="A608" t="s">
        <v>63</v>
      </c>
      <c r="B608" t="s">
        <v>648</v>
      </c>
      <c r="C608">
        <v>9324760100</v>
      </c>
      <c r="D608" t="str">
        <f>_xlfn.IFNA(VLOOKUP(C608,CallLog_Latest!A:H,7,FALSE),"Not Called")</f>
        <v>Not Called</v>
      </c>
      <c r="E608" t="str">
        <f>IF(ISNA(VLOOKUP(C608,Registration!A:A,1,FALSE)),"Not Registered","Registered")</f>
        <v>Not Registered</v>
      </c>
      <c r="F608">
        <f>VLOOKUP(A608,Sheet1!A:B,2,FALSE)</f>
        <v>9930396709</v>
      </c>
      <c r="G608" t="str">
        <f>_xlfn.IFNA(VLOOKUP(C608,CallLog_Latest!A:H,8,FALSE),"")</f>
        <v/>
      </c>
      <c r="H608" t="str">
        <f>VLOOKUP(C608,[1]Sheet1!$F:$H,3,FALSE)</f>
        <v>1202  Gundecha Premiere Next to Sun Flower  Thakur Village</v>
      </c>
    </row>
    <row r="609" spans="1:8" x14ac:dyDescent="0.25">
      <c r="A609" t="s">
        <v>65</v>
      </c>
      <c r="B609" t="s">
        <v>649</v>
      </c>
      <c r="C609">
        <v>9323035129</v>
      </c>
      <c r="D609" t="str">
        <f>_xlfn.IFNA(VLOOKUP(C609,CallLog_Latest!A:H,7,FALSE),"Not Called")</f>
        <v>Not Called</v>
      </c>
      <c r="E609" t="str">
        <f>IF(ISNA(VLOOKUP(C609,Registration!A:A,1,FALSE)),"Not Registered","Registered")</f>
        <v>Not Registered</v>
      </c>
      <c r="F609">
        <f>VLOOKUP(A609,Sheet1!A:B,2,FALSE)</f>
        <v>7738892551</v>
      </c>
      <c r="G609" t="str">
        <f>_xlfn.IFNA(VLOOKUP(C609,CallLog_Latest!A:H,8,FALSE),"")</f>
        <v/>
      </c>
      <c r="H609" t="str">
        <f>VLOOKUP(C609,[1]Sheet1!$F:$H,3,FALSE)</f>
        <v>1506 Tower-A  Oberoi Park View Near Thakur Cinema Thakur Village Kandivali (E -</v>
      </c>
    </row>
    <row r="610" spans="1:8" x14ac:dyDescent="0.25">
      <c r="A610" t="s">
        <v>67</v>
      </c>
      <c r="B610" t="s">
        <v>650</v>
      </c>
      <c r="C610">
        <v>9322206108</v>
      </c>
      <c r="D610" t="str">
        <f>_xlfn.IFNA(VLOOKUP(C610,CallLog_Latest!A:H,7,FALSE),"Not Called")</f>
        <v>Not Called</v>
      </c>
      <c r="E610" t="str">
        <f>IF(ISNA(VLOOKUP(C610,Registration!A:A,1,FALSE)),"Not Registered","Registered")</f>
        <v>Registered</v>
      </c>
      <c r="F610">
        <f>VLOOKUP(A610,Sheet1!A:B,2,FALSE)</f>
        <v>9820251565</v>
      </c>
      <c r="G610" t="str">
        <f>_xlfn.IFNA(VLOOKUP(C610,CallLog_Latest!A:H,8,FALSE),"")</f>
        <v/>
      </c>
      <c r="H610" t="str">
        <f>VLOOKUP(C610,[1]Sheet1!$F:$H,3,FALSE)</f>
        <v>B-3612, White City, CTS No. 174 -C Akurli Road, Lokhandwala, Near Damu Nagar, Kandivali (E</v>
      </c>
    </row>
    <row r="611" spans="1:8" x14ac:dyDescent="0.25">
      <c r="A611" t="s">
        <v>69</v>
      </c>
      <c r="B611" t="s">
        <v>651</v>
      </c>
      <c r="C611">
        <v>9702051155</v>
      </c>
      <c r="D611" t="str">
        <f>_xlfn.IFNA(VLOOKUP(C611,CallLog_Latest!A:H,7,FALSE),"Not Called")</f>
        <v>Not Called</v>
      </c>
      <c r="E611" t="str">
        <f>IF(ISNA(VLOOKUP(C611,Registration!A:A,1,FALSE)),"Not Registered","Registered")</f>
        <v>Not Registered</v>
      </c>
      <c r="F611">
        <f>VLOOKUP(A611,Sheet1!A:B,2,FALSE)</f>
        <v>9968855475</v>
      </c>
      <c r="G611" t="str">
        <f>_xlfn.IFNA(VLOOKUP(C611,CallLog_Latest!A:H,8,FALSE),"")</f>
        <v/>
      </c>
      <c r="H611" t="str">
        <f>VLOOKUP(C611,[1]Sheet1!$F:$H,3,FALSE)</f>
        <v>White City, B-3712, Akruli Road,  Near Damu Nagar  Lokhandwala Kandivali (E,</v>
      </c>
    </row>
    <row r="612" spans="1:8" x14ac:dyDescent="0.25">
      <c r="A612" t="s">
        <v>71</v>
      </c>
      <c r="B612" t="s">
        <v>652</v>
      </c>
      <c r="C612">
        <v>9930491850</v>
      </c>
      <c r="D612" t="str">
        <f>_xlfn.IFNA(VLOOKUP(C612,CallLog_Latest!A:H,7,FALSE),"Not Called")</f>
        <v>Not Called</v>
      </c>
      <c r="E612" t="str">
        <f>IF(ISNA(VLOOKUP(C612,Registration!A:A,1,FALSE)),"Not Registered","Registered")</f>
        <v>Not Registered</v>
      </c>
      <c r="F612">
        <f>VLOOKUP(A612,Sheet1!A:B,2,FALSE)</f>
        <v>9405263833</v>
      </c>
      <c r="G612" t="str">
        <f>_xlfn.IFNA(VLOOKUP(C612,CallLog_Latest!A:H,8,FALSE),"")</f>
        <v/>
      </c>
      <c r="H612" t="str">
        <f>VLOOKUP(C612,[1]Sheet1!$F:$H,3,FALSE)</f>
        <v>White City, B-3612, Akruli Road, Near Damu Nagar, Lokhandwala Kandivali (E</v>
      </c>
    </row>
    <row r="613" spans="1:8" x14ac:dyDescent="0.25">
      <c r="A613" t="s">
        <v>73</v>
      </c>
      <c r="B613" t="s">
        <v>653</v>
      </c>
      <c r="C613">
        <v>9819064004</v>
      </c>
      <c r="D613" t="str">
        <f>_xlfn.IFNA(VLOOKUP(C613,CallLog_Latest!A:H,7,FALSE),"Not Called")</f>
        <v>Not Reachable</v>
      </c>
      <c r="E613" t="str">
        <f>IF(ISNA(VLOOKUP(C613,Registration!A:A,1,FALSE)),"Not Registered","Registered")</f>
        <v>Not Registered</v>
      </c>
      <c r="F613">
        <f>VLOOKUP(A613,Sheet1!A:B,2,FALSE)</f>
        <v>8879433174</v>
      </c>
      <c r="G613" t="str">
        <f>_xlfn.IFNA(VLOOKUP(C613,CallLog_Latest!A:H,8,FALSE),"")</f>
        <v>Number not Valid</v>
      </c>
      <c r="H613" t="str">
        <f>VLOOKUP(C613,[1]Sheet1!$F:$H,3,FALSE)</f>
        <v>6A/101-102  Whispering Palms Lokhandwala, Kandivali (E</v>
      </c>
    </row>
    <row r="614" spans="1:8" x14ac:dyDescent="0.25">
      <c r="A614" t="s">
        <v>75</v>
      </c>
      <c r="B614" t="s">
        <v>654</v>
      </c>
      <c r="C614">
        <v>9820078730</v>
      </c>
      <c r="D614" t="str">
        <f>_xlfn.IFNA(VLOOKUP(C614,CallLog_Latest!A:H,7,FALSE),"Not Called")</f>
        <v>Not Called</v>
      </c>
      <c r="E614" t="str">
        <f>IF(ISNA(VLOOKUP(C614,Registration!A:A,1,FALSE)),"Not Registered","Registered")</f>
        <v>Not Registered</v>
      </c>
      <c r="F614">
        <f>VLOOKUP(A614,Sheet1!A:B,2,FALSE)</f>
        <v>9993325021</v>
      </c>
      <c r="G614" t="str">
        <f>_xlfn.IFNA(VLOOKUP(C614,CallLog_Latest!A:H,8,FALSE),"")</f>
        <v/>
      </c>
      <c r="H614" t="str">
        <f>VLOOKUP(C614,[1]Sheet1!$F:$H,3,FALSE)</f>
        <v>B/607-608  Thakur Blue Heaven CHS. Ltd. Thakur Complex</v>
      </c>
    </row>
    <row r="615" spans="1:8" x14ac:dyDescent="0.25">
      <c r="A615" t="s">
        <v>12</v>
      </c>
      <c r="B615" t="s">
        <v>655</v>
      </c>
      <c r="C615">
        <v>9833729262</v>
      </c>
      <c r="D615" t="str">
        <f>_xlfn.IFNA(VLOOKUP(C615,CallLog_Latest!A:H,7,FALSE),"Not Called")</f>
        <v>Not Reachable</v>
      </c>
      <c r="E615" t="str">
        <f>IF(ISNA(VLOOKUP(C615,Registration!A:A,1,FALSE)),"Not Registered","Registered")</f>
        <v>Not Registered</v>
      </c>
      <c r="F615">
        <f>VLOOKUP(A615,Sheet1!A:B,2,FALSE)</f>
        <v>9820454734</v>
      </c>
      <c r="G615" t="str">
        <f>_xlfn.IFNA(VLOOKUP(C615,CallLog_Latest!A:H,8,FALSE),"")</f>
        <v>Wrong nunber</v>
      </c>
      <c r="H615" t="str">
        <f>VLOOKUP(C615,[1]Sheet1!$F:$H,3,FALSE)</f>
        <v>1203  Birchwood  Raheja Willows Near Mahindra Gate No.-4  Akurli Road  Lokhandwala</v>
      </c>
    </row>
    <row r="616" spans="1:8" x14ac:dyDescent="0.25">
      <c r="A616" t="s">
        <v>78</v>
      </c>
      <c r="B616" t="s">
        <v>656</v>
      </c>
      <c r="C616">
        <v>9579122701</v>
      </c>
      <c r="D616" t="str">
        <f>_xlfn.IFNA(VLOOKUP(C616,CallLog_Latest!A:H,7,FALSE),"Not Called")</f>
        <v>Not Reachable</v>
      </c>
      <c r="E616" t="str">
        <f>IF(ISNA(VLOOKUP(C616,Registration!A:A,1,FALSE)),"Not Registered","Registered")</f>
        <v>Not Registered</v>
      </c>
      <c r="F616">
        <f>VLOOKUP(A616,Sheet1!A:B,2,FALSE)</f>
        <v>9029105124</v>
      </c>
      <c r="G616">
        <f>_xlfn.IFNA(VLOOKUP(C616,CallLog_Latest!A:H,8,FALSE),"")</f>
        <v>0</v>
      </c>
      <c r="H616" t="str">
        <f>VLOOKUP(C616,[1]Sheet1!$F:$H,3,FALSE)</f>
        <v>Flat no. 1601, Highland Towers, Lokhandwala, Kandivali (E</v>
      </c>
    </row>
    <row r="617" spans="1:8" x14ac:dyDescent="0.25">
      <c r="A617" t="s">
        <v>80</v>
      </c>
      <c r="B617" t="s">
        <v>657</v>
      </c>
      <c r="C617">
        <v>7666603760</v>
      </c>
      <c r="D617" t="str">
        <f>_xlfn.IFNA(VLOOKUP(C617,CallLog_Latest!A:H,7,FALSE),"Not Called")</f>
        <v>Not Called</v>
      </c>
      <c r="E617" t="str">
        <f>IF(ISNA(VLOOKUP(C617,Registration!A:A,1,FALSE)),"Not Registered","Registered")</f>
        <v>Not Registered</v>
      </c>
      <c r="F617">
        <f>VLOOKUP(A617,Sheet1!A:B,2,FALSE)</f>
        <v>9599704370</v>
      </c>
      <c r="G617" t="str">
        <f>_xlfn.IFNA(VLOOKUP(C617,CallLog_Latest!A:H,8,FALSE),"")</f>
        <v/>
      </c>
      <c r="H617" t="str">
        <f>VLOOKUP(C617,[1]Sheet1!$F:$H,3,FALSE)</f>
        <v>301 resort view  Thakur complex</v>
      </c>
    </row>
    <row r="618" spans="1:8" x14ac:dyDescent="0.25">
      <c r="A618" t="s">
        <v>82</v>
      </c>
      <c r="B618" t="s">
        <v>658</v>
      </c>
      <c r="C618">
        <v>9987297056</v>
      </c>
      <c r="D618" t="str">
        <f>_xlfn.IFNA(VLOOKUP(C618,CallLog_Latest!A:H,7,FALSE),"Not Called")</f>
        <v>Maybe Attending 🤔</v>
      </c>
      <c r="E618" t="str">
        <f>IF(ISNA(VLOOKUP(C618,Registration!A:A,1,FALSE)),"Not Registered","Registered")</f>
        <v>Not Registered</v>
      </c>
      <c r="F618">
        <f>VLOOKUP(A618,Sheet1!A:B,2,FALSE)</f>
        <v>9824100412</v>
      </c>
      <c r="G618">
        <f>_xlfn.IFNA(VLOOKUP(C618,CallLog_Latest!A:H,8,FALSE),"")</f>
        <v>0</v>
      </c>
      <c r="H618" t="str">
        <f>VLOOKUP(C618,[1]Sheet1!$F:$H,3,FALSE)</f>
        <v>B-807  Riviera Tower  Lokhandwala Township</v>
      </c>
    </row>
    <row r="619" spans="1:8" x14ac:dyDescent="0.25">
      <c r="A619" t="s">
        <v>84</v>
      </c>
      <c r="B619" t="s">
        <v>659</v>
      </c>
      <c r="C619">
        <v>9967592693</v>
      </c>
      <c r="D619" t="str">
        <f>_xlfn.IFNA(VLOOKUP(C619,CallLog_Latest!A:H,7,FALSE),"Not Called")</f>
        <v>Not Coming</v>
      </c>
      <c r="E619" t="str">
        <f>IF(ISNA(VLOOKUP(C619,Registration!A:A,1,FALSE)),"Not Registered","Registered")</f>
        <v>Not Registered</v>
      </c>
      <c r="F619">
        <f>VLOOKUP(A619,Sheet1!A:B,2,FALSE)</f>
        <v>9225211083</v>
      </c>
      <c r="G619">
        <f>_xlfn.IFNA(VLOOKUP(C619,CallLog_Latest!A:H,8,FALSE),"")</f>
        <v>0</v>
      </c>
      <c r="H619" t="str">
        <f>VLOOKUP(C619,[1]Sheet1!$F:$H,3,FALSE)</f>
        <v>B-704  Mukta Mahek Residency Thakur Complex  90ft Road  Nr. Thakur Polytechnic College</v>
      </c>
    </row>
    <row r="620" spans="1:8" x14ac:dyDescent="0.25">
      <c r="A620" t="s">
        <v>86</v>
      </c>
      <c r="B620" t="s">
        <v>660</v>
      </c>
      <c r="C620">
        <v>9821721970</v>
      </c>
      <c r="D620" t="str">
        <f>_xlfn.IFNA(VLOOKUP(C620,CallLog_Latest!A:H,7,FALSE),"Not Called")</f>
        <v>Not Called</v>
      </c>
      <c r="E620" t="str">
        <f>IF(ISNA(VLOOKUP(C620,Registration!A:A,1,FALSE)),"Not Registered","Registered")</f>
        <v>Not Registered</v>
      </c>
      <c r="F620">
        <f>VLOOKUP(A620,Sheet1!A:B,2,FALSE)</f>
        <v>9930252076</v>
      </c>
      <c r="G620" t="str">
        <f>_xlfn.IFNA(VLOOKUP(C620,CallLog_Latest!A:H,8,FALSE),"")</f>
        <v/>
      </c>
      <c r="H620" t="str">
        <f>VLOOKUP(C620,[1]Sheet1!$F:$H,3,FALSE)</f>
        <v>1005/06  D-Wing Sierra Towers  Lokhandwala Complex, kandivali (E</v>
      </c>
    </row>
    <row r="621" spans="1:8" x14ac:dyDescent="0.25">
      <c r="A621" t="s">
        <v>88</v>
      </c>
      <c r="B621" t="s">
        <v>661</v>
      </c>
      <c r="C621">
        <v>9699634839</v>
      </c>
      <c r="D621" t="str">
        <f>_xlfn.IFNA(VLOOKUP(C621,CallLog_Latest!A:H,7,FALSE),"Not Called")</f>
        <v>Not Called</v>
      </c>
      <c r="E621" t="str">
        <f>IF(ISNA(VLOOKUP(C621,Registration!A:A,1,FALSE)),"Not Registered","Registered")</f>
        <v>Not Registered</v>
      </c>
      <c r="F621">
        <f>VLOOKUP(A621,Sheet1!A:B,2,FALSE)</f>
        <v>9661270782</v>
      </c>
      <c r="G621" t="str">
        <f>_xlfn.IFNA(VLOOKUP(C621,CallLog_Latest!A:H,8,FALSE),"")</f>
        <v/>
      </c>
      <c r="H621" t="str">
        <f>VLOOKUP(C621,[1]Sheet1!$F:$H,3,FALSE)</f>
        <v>D-803, Cosmos, Thakur Village, Kandivali (E</v>
      </c>
    </row>
    <row r="622" spans="1:8" x14ac:dyDescent="0.25">
      <c r="A622" t="s">
        <v>90</v>
      </c>
      <c r="B622" t="s">
        <v>662</v>
      </c>
      <c r="C622">
        <v>9820425656</v>
      </c>
      <c r="D622" t="str">
        <f>_xlfn.IFNA(VLOOKUP(C622,CallLog_Latest!A:H,7,FALSE),"Not Called")</f>
        <v>Not Called</v>
      </c>
      <c r="E622" t="str">
        <f>IF(ISNA(VLOOKUP(C622,Registration!A:A,1,FALSE)),"Not Registered","Registered")</f>
        <v>Not Registered</v>
      </c>
      <c r="F622">
        <f>VLOOKUP(A622,Sheet1!A:B,2,FALSE)</f>
        <v>9819128389</v>
      </c>
      <c r="G622" t="str">
        <f>_xlfn.IFNA(VLOOKUP(C622,CallLog_Latest!A:H,8,FALSE),"")</f>
        <v/>
      </c>
      <c r="H622" t="str">
        <f>VLOOKUP(C622,[1]Sheet1!$F:$H,3,FALSE)</f>
        <v>Vishnu Shivam Tower, A-2003, 20th floor  Thakur Village, Kandivali (E</v>
      </c>
    </row>
    <row r="623" spans="1:8" x14ac:dyDescent="0.25">
      <c r="A623" t="s">
        <v>92</v>
      </c>
      <c r="B623" t="s">
        <v>663</v>
      </c>
      <c r="C623">
        <v>9892450932</v>
      </c>
      <c r="D623" t="str">
        <f>_xlfn.IFNA(VLOOKUP(C623,CallLog_Latest!A:H,7,FALSE),"Not Called")</f>
        <v>Not Called</v>
      </c>
      <c r="E623" t="str">
        <f>IF(ISNA(VLOOKUP(C623,Registration!A:A,1,FALSE)),"Not Registered","Registered")</f>
        <v>Not Registered</v>
      </c>
      <c r="F623">
        <f>VLOOKUP(A623,Sheet1!A:B,2,FALSE)</f>
        <v>8268665777</v>
      </c>
      <c r="G623" t="str">
        <f>_xlfn.IFNA(VLOOKUP(C623,CallLog_Latest!A:H,8,FALSE),"")</f>
        <v/>
      </c>
      <c r="H623" t="str">
        <f>VLOOKUP(C623,[1]Sheet1!$F:$H,3,FALSE)</f>
        <v>1/A  203/204  A-Wing  Kalpatru Gardens Ashok Nagar</v>
      </c>
    </row>
    <row r="624" spans="1:8" x14ac:dyDescent="0.25">
      <c r="A624" t="s">
        <v>94</v>
      </c>
      <c r="B624" t="s">
        <v>664</v>
      </c>
      <c r="C624">
        <v>9324236755</v>
      </c>
      <c r="D624" t="str">
        <f>_xlfn.IFNA(VLOOKUP(C624,CallLog_Latest!A:H,7,FALSE),"Not Called")</f>
        <v>Not Called</v>
      </c>
      <c r="E624" t="str">
        <f>IF(ISNA(VLOOKUP(C624,Registration!A:A,1,FALSE)),"Not Registered","Registered")</f>
        <v>Not Registered</v>
      </c>
      <c r="F624">
        <f>VLOOKUP(A624,Sheet1!A:B,2,FALSE)</f>
        <v>9920085455</v>
      </c>
      <c r="G624" t="str">
        <f>_xlfn.IFNA(VLOOKUP(C624,CallLog_Latest!A:H,8,FALSE),"")</f>
        <v/>
      </c>
      <c r="H624" t="str">
        <f>VLOOKUP(C624,[1]Sheet1!$F:$H,3,FALSE)</f>
        <v>B-906-907  Oberio Park View  Thakur Village</v>
      </c>
    </row>
    <row r="625" spans="1:8" x14ac:dyDescent="0.25">
      <c r="A625" t="s">
        <v>96</v>
      </c>
      <c r="B625" t="s">
        <v>665</v>
      </c>
      <c r="C625">
        <v>9820522401</v>
      </c>
      <c r="D625" t="str">
        <f>_xlfn.IFNA(VLOOKUP(C625,CallLog_Latest!A:H,7,FALSE),"Not Called")</f>
        <v>Not Reachable</v>
      </c>
      <c r="E625" t="str">
        <f>IF(ISNA(VLOOKUP(C625,Registration!A:A,1,FALSE)),"Not Registered","Registered")</f>
        <v>Registered</v>
      </c>
      <c r="F625">
        <f>VLOOKUP(A625,Sheet1!A:B,2,FALSE)</f>
        <v>9424584007</v>
      </c>
      <c r="G625" t="str">
        <f>_xlfn.IFNA(VLOOKUP(C625,CallLog_Latest!A:H,8,FALSE),"")</f>
        <v>Call not picked</v>
      </c>
      <c r="H625" t="str">
        <f>VLOOKUP(C625,[1]Sheet1!$F:$H,3,FALSE)</f>
        <v>1/A  203/204  A-Wing  Kalpatru Gardens Ashok Nagar Kandivali (E</v>
      </c>
    </row>
    <row r="626" spans="1:8" x14ac:dyDescent="0.25">
      <c r="A626" t="s">
        <v>3</v>
      </c>
      <c r="B626" t="s">
        <v>666</v>
      </c>
      <c r="C626">
        <v>9004390067</v>
      </c>
      <c r="D626" t="str">
        <f>_xlfn.IFNA(VLOOKUP(C626,CallLog_Latest!A:H,7,FALSE),"Not Called")</f>
        <v>Not Called</v>
      </c>
      <c r="E626" t="str">
        <f>IF(ISNA(VLOOKUP(C626,Registration!A:A,1,FALSE)),"Not Registered","Registered")</f>
        <v>Not Registered</v>
      </c>
      <c r="F626">
        <f>VLOOKUP(A626,Sheet1!A:B,2,FALSE)</f>
        <v>9326379737</v>
      </c>
      <c r="G626" t="str">
        <f>_xlfn.IFNA(VLOOKUP(C626,CallLog_Latest!A:H,8,FALSE),"")</f>
        <v/>
      </c>
      <c r="H626" t="str">
        <f>VLOOKUP(C626,[1]Sheet1!$F:$H,3,FALSE)</f>
        <v>Sun City,  , Flat No. 1B-301 Ph. III , N.G. Kandivali (E</v>
      </c>
    </row>
    <row r="627" spans="1:8" x14ac:dyDescent="0.25">
      <c r="A627" t="s">
        <v>5</v>
      </c>
      <c r="B627" t="s">
        <v>667</v>
      </c>
      <c r="C627">
        <v>9967321313</v>
      </c>
      <c r="D627" t="str">
        <f>_xlfn.IFNA(VLOOKUP(C627,CallLog_Latest!A:H,7,FALSE),"Not Called")</f>
        <v>Not Called</v>
      </c>
      <c r="E627" t="str">
        <f>IF(ISNA(VLOOKUP(C627,Registration!A:A,1,FALSE)),"Not Registered","Registered")</f>
        <v>Not Registered</v>
      </c>
      <c r="F627">
        <f>VLOOKUP(A627,Sheet1!A:B,2,FALSE)</f>
        <v>9323541634</v>
      </c>
      <c r="G627" t="str">
        <f>_xlfn.IFNA(VLOOKUP(C627,CallLog_Latest!A:H,8,FALSE),"")</f>
        <v/>
      </c>
      <c r="H627" t="str">
        <f>VLOOKUP(C627,[1]Sheet1!$F:$H,3,FALSE)</f>
        <v>B5  Vinay Tower Lokhandwala Complex . Vinay Tower</v>
      </c>
    </row>
    <row r="628" spans="1:8" x14ac:dyDescent="0.25">
      <c r="A628" t="s">
        <v>7</v>
      </c>
      <c r="B628" t="s">
        <v>668</v>
      </c>
      <c r="C628">
        <v>9820812296</v>
      </c>
      <c r="D628" t="str">
        <f>_xlfn.IFNA(VLOOKUP(C628,CallLog_Latest!A:H,7,FALSE),"Not Called")</f>
        <v>Not Called</v>
      </c>
      <c r="E628" t="str">
        <f>IF(ISNA(VLOOKUP(C628,Registration!A:A,1,FALSE)),"Not Registered","Registered")</f>
        <v>Not Registered</v>
      </c>
      <c r="F628">
        <f>VLOOKUP(A628,Sheet1!A:B,2,FALSE)</f>
        <v>9867015031</v>
      </c>
      <c r="G628" t="str">
        <f>_xlfn.IFNA(VLOOKUP(C628,CallLog_Latest!A:H,8,FALSE),"")</f>
        <v/>
      </c>
      <c r="H628" t="str">
        <f>VLOOKUP(C628,[1]Sheet1!$F:$H,3,FALSE)</f>
        <v>9d/401  Whispering Palms-Exclusive Lokhandwala Township</v>
      </c>
    </row>
    <row r="629" spans="1:8" x14ac:dyDescent="0.25">
      <c r="A629" t="s">
        <v>9</v>
      </c>
      <c r="B629" t="s">
        <v>669</v>
      </c>
      <c r="C629">
        <v>9892612707</v>
      </c>
      <c r="D629" t="str">
        <f>_xlfn.IFNA(VLOOKUP(C629,CallLog_Latest!A:H,7,FALSE),"Not Called")</f>
        <v>Not Called</v>
      </c>
      <c r="E629" t="str">
        <f>IF(ISNA(VLOOKUP(C629,Registration!A:A,1,FALSE)),"Not Registered","Registered")</f>
        <v>Not Registered</v>
      </c>
      <c r="F629">
        <f>VLOOKUP(A629,Sheet1!A:B,2,FALSE)</f>
        <v>9821268271</v>
      </c>
      <c r="G629" t="str">
        <f>_xlfn.IFNA(VLOOKUP(C629,CallLog_Latest!A:H,8,FALSE),"")</f>
        <v/>
      </c>
      <c r="H629" t="str">
        <f>VLOOKUP(C629,[1]Sheet1!$F:$H,3,FALSE)</f>
        <v>Krishna Palace, A 101  Asha Nagar, Western Express Highway, Kandivali (E</v>
      </c>
    </row>
    <row r="630" spans="1:8" x14ac:dyDescent="0.25">
      <c r="A630" t="s">
        <v>11</v>
      </c>
      <c r="B630" t="s">
        <v>670</v>
      </c>
      <c r="C630">
        <v>7208855720</v>
      </c>
      <c r="D630" t="str">
        <f>_xlfn.IFNA(VLOOKUP(C630,CallLog_Latest!A:H,7,FALSE),"Not Called")</f>
        <v>Not Called</v>
      </c>
      <c r="E630" t="str">
        <f>IF(ISNA(VLOOKUP(C630,Registration!A:A,1,FALSE)),"Not Registered","Registered")</f>
        <v>Not Registered</v>
      </c>
      <c r="F630">
        <f>VLOOKUP(A630,Sheet1!A:B,2,FALSE)</f>
        <v>9322598681</v>
      </c>
      <c r="G630" t="str">
        <f>_xlfn.IFNA(VLOOKUP(C630,CallLog_Latest!A:H,8,FALSE),"")</f>
        <v/>
      </c>
      <c r="H630" t="str">
        <f>VLOOKUP(C630,[1]Sheet1!$F:$H,3,FALSE)</f>
        <v>C-109  Shetrunji Apartment  Sahakargram  Ashok Cross Road no.3</v>
      </c>
    </row>
    <row r="631" spans="1:8" x14ac:dyDescent="0.25">
      <c r="A631" t="s">
        <v>13</v>
      </c>
      <c r="B631" t="s">
        <v>671</v>
      </c>
      <c r="C631">
        <v>9819213850</v>
      </c>
      <c r="D631" t="str">
        <f>_xlfn.IFNA(VLOOKUP(C631,CallLog_Latest!A:H,7,FALSE),"Not Called")</f>
        <v>Not Called</v>
      </c>
      <c r="E631" t="str">
        <f>IF(ISNA(VLOOKUP(C631,Registration!A:A,1,FALSE)),"Not Registered","Registered")</f>
        <v>Not Registered</v>
      </c>
      <c r="F631">
        <f>VLOOKUP(A631,Sheet1!A:B,2,FALSE)</f>
        <v>9969403870</v>
      </c>
      <c r="G631" t="str">
        <f>_xlfn.IFNA(VLOOKUP(C631,CallLog_Latest!A:H,8,FALSE),"")</f>
        <v/>
      </c>
      <c r="H631" t="str">
        <f>VLOOKUP(C631,[1]Sheet1!$F:$H,3,FALSE)</f>
        <v>Kalpataru Towers, Flat No-94, Tower-B   Near ESIS Hospital, Akurli Road, Kandivali (E</v>
      </c>
    </row>
    <row r="632" spans="1:8" x14ac:dyDescent="0.25">
      <c r="A632" t="s">
        <v>15</v>
      </c>
      <c r="B632" t="s">
        <v>672</v>
      </c>
      <c r="C632">
        <v>9967328169</v>
      </c>
      <c r="D632" t="str">
        <f>_xlfn.IFNA(VLOOKUP(C632,CallLog_Latest!A:H,7,FALSE),"Not Called")</f>
        <v>Not Called</v>
      </c>
      <c r="E632" t="str">
        <f>IF(ISNA(VLOOKUP(C632,Registration!A:A,1,FALSE)),"Not Registered","Registered")</f>
        <v>Not Registered</v>
      </c>
      <c r="F632">
        <f>VLOOKUP(A632,Sheet1!A:B,2,FALSE)</f>
        <v>9892726278</v>
      </c>
      <c r="G632" t="str">
        <f>_xlfn.IFNA(VLOOKUP(C632,CallLog_Latest!A:H,8,FALSE),"")</f>
        <v/>
      </c>
      <c r="H632" t="str">
        <f>VLOOKUP(C632,[1]Sheet1!$F:$H,3,FALSE)</f>
        <v>C-601  Gokul Residency (A-G CHS Thakur Village  Dattani Park Road</v>
      </c>
    </row>
    <row r="633" spans="1:8" x14ac:dyDescent="0.25">
      <c r="A633" t="s">
        <v>17</v>
      </c>
      <c r="B633" t="s">
        <v>673</v>
      </c>
      <c r="C633">
        <v>9702045640</v>
      </c>
      <c r="D633" t="str">
        <f>_xlfn.IFNA(VLOOKUP(C633,CallLog_Latest!A:H,7,FALSE),"Not Called")</f>
        <v>Not Reachable</v>
      </c>
      <c r="E633" t="str">
        <f>IF(ISNA(VLOOKUP(C633,Registration!A:A,1,FALSE)),"Not Registered","Registered")</f>
        <v>Not Registered</v>
      </c>
      <c r="F633">
        <f>VLOOKUP(A633,Sheet1!A:B,2,FALSE)</f>
        <v>9869798705</v>
      </c>
      <c r="G633" t="str">
        <f>_xlfn.IFNA(VLOOKUP(C633,CallLog_Latest!A:H,8,FALSE),"")</f>
        <v>Switch off mobile</v>
      </c>
      <c r="H633" t="str">
        <f>VLOOKUP(C633,[1]Sheet1!$F:$H,3,FALSE)</f>
        <v>J-604  Gokurl Heaven Thakur Complex</v>
      </c>
    </row>
    <row r="634" spans="1:8" x14ac:dyDescent="0.25">
      <c r="A634" t="s">
        <v>19</v>
      </c>
      <c r="B634" t="s">
        <v>674</v>
      </c>
      <c r="C634">
        <v>9930642134</v>
      </c>
      <c r="D634" t="str">
        <f>_xlfn.IFNA(VLOOKUP(C634,CallLog_Latest!A:H,7,FALSE),"Not Called")</f>
        <v>Not Called</v>
      </c>
      <c r="E634" t="str">
        <f>IF(ISNA(VLOOKUP(C634,Registration!A:A,1,FALSE)),"Not Registered","Registered")</f>
        <v>Not Registered</v>
      </c>
      <c r="F634">
        <f>VLOOKUP(A634,Sheet1!A:B,2,FALSE)</f>
        <v>9820265640</v>
      </c>
      <c r="G634" t="str">
        <f>_xlfn.IFNA(VLOOKUP(C634,CallLog_Latest!A:H,8,FALSE),"")</f>
        <v/>
      </c>
      <c r="H634" t="str">
        <f>VLOOKUP(C634,[1]Sheet1!$F:$H,3,FALSE)</f>
        <v>254-b  Kalpatru Garden  25th Floor  Ashok Nagar  Near Flyover</v>
      </c>
    </row>
    <row r="635" spans="1:8" x14ac:dyDescent="0.25">
      <c r="A635" t="s">
        <v>21</v>
      </c>
      <c r="B635" t="s">
        <v>675</v>
      </c>
      <c r="C635">
        <v>9322673170</v>
      </c>
      <c r="D635" t="str">
        <f>_xlfn.IFNA(VLOOKUP(C635,CallLog_Latest!A:H,7,FALSE),"Not Called")</f>
        <v>Not Called</v>
      </c>
      <c r="E635" t="str">
        <f>IF(ISNA(VLOOKUP(C635,Registration!A:A,1,FALSE)),"Not Registered","Registered")</f>
        <v>Not Registered</v>
      </c>
      <c r="F635">
        <f>VLOOKUP(A635,Sheet1!A:B,2,FALSE)</f>
        <v>9820636392</v>
      </c>
      <c r="G635" t="str">
        <f>_xlfn.IFNA(VLOOKUP(C635,CallLog_Latest!A:H,8,FALSE),"")</f>
        <v/>
      </c>
      <c r="H635" t="str">
        <f>VLOOKUP(C635,[1]Sheet1!$F:$H,3,FALSE)</f>
        <v>B-102 Oberoi Gardens  Thakur Village .</v>
      </c>
    </row>
    <row r="636" spans="1:8" x14ac:dyDescent="0.25">
      <c r="A636" t="s">
        <v>23</v>
      </c>
      <c r="B636" t="s">
        <v>676</v>
      </c>
      <c r="C636">
        <v>9223411117</v>
      </c>
      <c r="D636" t="str">
        <f>_xlfn.IFNA(VLOOKUP(C636,CallLog_Latest!A:H,7,FALSE),"Not Called")</f>
        <v>Not Called</v>
      </c>
      <c r="E636" t="str">
        <f>IF(ISNA(VLOOKUP(C636,Registration!A:A,1,FALSE)),"Not Registered","Registered")</f>
        <v>Not Registered</v>
      </c>
      <c r="F636">
        <f>VLOOKUP(A636,Sheet1!A:B,2,FALSE)</f>
        <v>7977439717</v>
      </c>
      <c r="G636" t="str">
        <f>_xlfn.IFNA(VLOOKUP(C636,CallLog_Latest!A:H,8,FALSE),"")</f>
        <v/>
      </c>
      <c r="H636" t="str">
        <f>VLOOKUP(C636,[1]Sheet1!$F:$H,3,FALSE)</f>
        <v>B-301  Saraswati Vasant Sagar Complex Opp. Thakur Mall  Thakur Village</v>
      </c>
    </row>
    <row r="637" spans="1:8" x14ac:dyDescent="0.25">
      <c r="A637" t="s">
        <v>25</v>
      </c>
      <c r="B637" t="s">
        <v>677</v>
      </c>
      <c r="C637">
        <v>9819223498</v>
      </c>
      <c r="D637" t="str">
        <f>_xlfn.IFNA(VLOOKUP(C637,CallLog_Latest!A:H,7,FALSE),"Not Called")</f>
        <v>Not Called</v>
      </c>
      <c r="E637" t="str">
        <f>IF(ISNA(VLOOKUP(C637,Registration!A:A,1,FALSE)),"Not Registered","Registered")</f>
        <v>Not Registered</v>
      </c>
      <c r="F637">
        <f>VLOOKUP(A637,Sheet1!A:B,2,FALSE)</f>
        <v>9967045520</v>
      </c>
      <c r="G637" t="str">
        <f>_xlfn.IFNA(VLOOKUP(C637,CallLog_Latest!A:H,8,FALSE),"")</f>
        <v/>
      </c>
      <c r="H637" t="str">
        <f>VLOOKUP(C637,[1]Sheet1!$F:$H,3,FALSE)</f>
        <v>Emp-20/801 Pluto CHSc  Evershine Millenium Thakur Village, Kandivali (E</v>
      </c>
    </row>
    <row r="638" spans="1:8" x14ac:dyDescent="0.25">
      <c r="A638" t="s">
        <v>27</v>
      </c>
      <c r="B638" t="s">
        <v>678</v>
      </c>
      <c r="C638">
        <v>9619187738</v>
      </c>
      <c r="D638" t="str">
        <f>_xlfn.IFNA(VLOOKUP(C638,CallLog_Latest!A:H,7,FALSE),"Not Called")</f>
        <v>Not Called</v>
      </c>
      <c r="E638" t="str">
        <f>IF(ISNA(VLOOKUP(C638,Registration!A:A,1,FALSE)),"Not Registered","Registered")</f>
        <v>Not Registered</v>
      </c>
      <c r="F638">
        <f>VLOOKUP(A638,Sheet1!A:B,2,FALSE)</f>
        <v>9820075931</v>
      </c>
      <c r="G638" t="str">
        <f>_xlfn.IFNA(VLOOKUP(C638,CallLog_Latest!A:H,8,FALSE),"")</f>
        <v/>
      </c>
      <c r="H638" t="str">
        <f>VLOOKUP(C638,[1]Sheet1!$F:$H,3,FALSE)</f>
        <v>D-402  Shri Ganesh Aangan CHS Ltd  Thakur Village</v>
      </c>
    </row>
    <row r="639" spans="1:8" x14ac:dyDescent="0.25">
      <c r="A639" t="s">
        <v>29</v>
      </c>
      <c r="B639" t="s">
        <v>679</v>
      </c>
      <c r="C639">
        <v>9833886788</v>
      </c>
      <c r="D639" t="str">
        <f>_xlfn.IFNA(VLOOKUP(C639,CallLog_Latest!A:H,7,FALSE),"Not Called")</f>
        <v>Not Called</v>
      </c>
      <c r="E639" t="str">
        <f>IF(ISNA(VLOOKUP(C639,Registration!A:A,1,FALSE)),"Not Registered","Registered")</f>
        <v>Not Registered</v>
      </c>
      <c r="F639">
        <f>VLOOKUP(A639,Sheet1!A:B,2,FALSE)</f>
        <v>9819364345</v>
      </c>
      <c r="G639" t="str">
        <f>_xlfn.IFNA(VLOOKUP(C639,CallLog_Latest!A:H,8,FALSE),"")</f>
        <v/>
      </c>
      <c r="H639" t="str">
        <f>VLOOKUP(C639,[1]Sheet1!$F:$H,3,FALSE)</f>
        <v>Krishna Tower CHSL., A/502 Dr.A.S Marg, Ashok Nagar, Kandivali (E</v>
      </c>
    </row>
    <row r="640" spans="1:8" x14ac:dyDescent="0.25">
      <c r="A640" t="s">
        <v>31</v>
      </c>
      <c r="B640" t="s">
        <v>680</v>
      </c>
      <c r="C640">
        <v>9920445444</v>
      </c>
      <c r="D640" t="str">
        <f>_xlfn.IFNA(VLOOKUP(C640,CallLog_Latest!A:H,7,FALSE),"Not Called")</f>
        <v>Not Reachable</v>
      </c>
      <c r="E640" t="str">
        <f>IF(ISNA(VLOOKUP(C640,Registration!A:A,1,FALSE)),"Not Registered","Registered")</f>
        <v>Not Registered</v>
      </c>
      <c r="F640">
        <f>VLOOKUP(A640,Sheet1!A:B,2,FALSE)</f>
        <v>9869064553</v>
      </c>
      <c r="G640">
        <f>_xlfn.IFNA(VLOOKUP(C640,CallLog_Latest!A:H,8,FALSE),"")</f>
        <v>0</v>
      </c>
      <c r="H640" t="str">
        <f>VLOOKUP(C640,[1]Sheet1!$F:$H,3,FALSE)</f>
        <v>A-1903, Oberoi Gardens Thakur Village, Kandivali East,</v>
      </c>
    </row>
    <row r="641" spans="1:8" x14ac:dyDescent="0.25">
      <c r="A641" t="s">
        <v>33</v>
      </c>
      <c r="B641" t="s">
        <v>681</v>
      </c>
      <c r="C641">
        <v>9320308008</v>
      </c>
      <c r="D641" t="str">
        <f>_xlfn.IFNA(VLOOKUP(C641,CallLog_Latest!A:H,7,FALSE),"Not Called")</f>
        <v>Confirmed Presence</v>
      </c>
      <c r="E641" t="str">
        <f>IF(ISNA(VLOOKUP(C641,Registration!A:A,1,FALSE)),"Not Registered","Registered")</f>
        <v>Not Registered</v>
      </c>
      <c r="F641">
        <f>VLOOKUP(A641,Sheet1!A:B,2,FALSE)</f>
        <v>9930070116</v>
      </c>
      <c r="G641" t="str">
        <f>_xlfn.IFNA(VLOOKUP(C641,CallLog_Latest!A:H,8,FALSE),"")</f>
        <v>3 people have confirmed</v>
      </c>
      <c r="H641" t="str">
        <f>VLOOKUP(C641,[1]Sheet1!$F:$H,3,FALSE)</f>
        <v>1111 Taal Wing  Veena Saaz  Near Videocon Tower  Thakur Complex</v>
      </c>
    </row>
    <row r="642" spans="1:8" x14ac:dyDescent="0.25">
      <c r="A642" t="s">
        <v>35</v>
      </c>
      <c r="B642" t="s">
        <v>682</v>
      </c>
      <c r="C642">
        <v>9324998811</v>
      </c>
      <c r="D642" t="str">
        <f>_xlfn.IFNA(VLOOKUP(C642,CallLog_Latest!A:H,7,FALSE),"Not Called")</f>
        <v>Confirmed Presence ✅</v>
      </c>
      <c r="E642" t="str">
        <f>IF(ISNA(VLOOKUP(C642,Registration!A:A,1,FALSE)),"Not Registered","Registered")</f>
        <v>Not Registered</v>
      </c>
      <c r="F642">
        <f>VLOOKUP(A642,Sheet1!A:B,2,FALSE)</f>
        <v>9833705425</v>
      </c>
      <c r="G642">
        <f>_xlfn.IFNA(VLOOKUP(C642,CallLog_Latest!A:H,8,FALSE),"")</f>
        <v>0</v>
      </c>
      <c r="H642" t="str">
        <f>VLOOKUP(C642,[1]Sheet1!$F:$H,3,FALSE)</f>
        <v>C/704  Octacrest  Lokhandwala Township  Behind Centrium  Akruli Road</v>
      </c>
    </row>
    <row r="643" spans="1:8" x14ac:dyDescent="0.25">
      <c r="A643" t="s">
        <v>37</v>
      </c>
      <c r="B643" t="s">
        <v>683</v>
      </c>
      <c r="C643">
        <v>9867300018</v>
      </c>
      <c r="D643" t="str">
        <f>_xlfn.IFNA(VLOOKUP(C643,CallLog_Latest!A:H,7,FALSE),"Not Called")</f>
        <v>Not Called</v>
      </c>
      <c r="E643" t="str">
        <f>IF(ISNA(VLOOKUP(C643,Registration!A:A,1,FALSE)),"Not Registered","Registered")</f>
        <v>Not Registered</v>
      </c>
      <c r="F643">
        <f>VLOOKUP(A643,Sheet1!A:B,2,FALSE)</f>
        <v>9167390835</v>
      </c>
      <c r="G643" t="str">
        <f>_xlfn.IFNA(VLOOKUP(C643,CallLog_Latest!A:H,8,FALSE),"")</f>
        <v/>
      </c>
      <c r="H643" t="str">
        <f>VLOOKUP(C643,[1]Sheet1!$F:$H,3,FALSE)</f>
        <v>C-83  Kalpatru Tower  8th Floor Akurli Road</v>
      </c>
    </row>
    <row r="644" spans="1:8" x14ac:dyDescent="0.25">
      <c r="A644" t="s">
        <v>39</v>
      </c>
      <c r="B644" t="s">
        <v>684</v>
      </c>
      <c r="C644">
        <v>9869488744</v>
      </c>
      <c r="D644" t="str">
        <f>_xlfn.IFNA(VLOOKUP(C644,CallLog_Latest!A:H,7,FALSE),"Not Called")</f>
        <v>Not Called</v>
      </c>
      <c r="E644" t="str">
        <f>IF(ISNA(VLOOKUP(C644,Registration!A:A,1,FALSE)),"Not Registered","Registered")</f>
        <v>Not Registered</v>
      </c>
      <c r="F644">
        <f>VLOOKUP(A644,Sheet1!A:B,2,FALSE)</f>
        <v>9820505363</v>
      </c>
      <c r="G644" t="str">
        <f>_xlfn.IFNA(VLOOKUP(C644,CallLog_Latest!A:H,8,FALSE),"")</f>
        <v/>
      </c>
      <c r="H644" t="str">
        <f>VLOOKUP(C644,[1]Sheet1!$F:$H,3,FALSE)</f>
        <v>Oberoi Gardens, A-1903   Thakur Village, Kandivali (E</v>
      </c>
    </row>
    <row r="645" spans="1:8" x14ac:dyDescent="0.25">
      <c r="A645" t="s">
        <v>41</v>
      </c>
      <c r="B645" t="s">
        <v>685</v>
      </c>
      <c r="C645">
        <v>9930723354</v>
      </c>
      <c r="D645" t="str">
        <f>_xlfn.IFNA(VLOOKUP(C645,CallLog_Latest!A:H,7,FALSE),"Not Called")</f>
        <v>Confirmed Presence</v>
      </c>
      <c r="E645" t="str">
        <f>IF(ISNA(VLOOKUP(C645,Registration!A:A,1,FALSE)),"Not Registered","Registered")</f>
        <v>Not Registered</v>
      </c>
      <c r="F645">
        <f>VLOOKUP(A645,Sheet1!A:B,2,FALSE)</f>
        <v>8058973809</v>
      </c>
      <c r="G645">
        <f>_xlfn.IFNA(VLOOKUP(C645,CallLog_Latest!A:H,8,FALSE),"")</f>
        <v>0</v>
      </c>
      <c r="H645" t="str">
        <f>VLOOKUP(C645,[1]Sheet1!$F:$H,3,FALSE)</f>
        <v>D-403, Gayatri Avenue, 90 Feet Road Thakur Complex, Kandivali (E</v>
      </c>
    </row>
    <row r="646" spans="1:8" x14ac:dyDescent="0.25">
      <c r="A646" t="s">
        <v>43</v>
      </c>
      <c r="B646" t="s">
        <v>686</v>
      </c>
      <c r="C646">
        <v>9322123231</v>
      </c>
      <c r="D646" t="str">
        <f>_xlfn.IFNA(VLOOKUP(C646,CallLog_Latest!A:H,7,FALSE),"Not Called")</f>
        <v>Not Reachable</v>
      </c>
      <c r="E646" t="str">
        <f>IF(ISNA(VLOOKUP(C646,Registration!A:A,1,FALSE)),"Not Registered","Registered")</f>
        <v>Not Registered</v>
      </c>
      <c r="F646">
        <f>VLOOKUP(A646,Sheet1!A:B,2,FALSE)</f>
        <v>9320683201</v>
      </c>
      <c r="G646" t="str">
        <f>_xlfn.IFNA(VLOOKUP(C646,CallLog_Latest!A:H,8,FALSE),"")</f>
        <v>Wrong number</v>
      </c>
      <c r="H646" t="str">
        <f>VLOOKUP(C646,[1]Sheet1!$F:$H,3,FALSE)</f>
        <v>404  Jasmin B Poonam Complex 90 Feet Road  Thakur Complex</v>
      </c>
    </row>
    <row r="647" spans="1:8" x14ac:dyDescent="0.25">
      <c r="A647" t="s">
        <v>45</v>
      </c>
      <c r="B647" t="s">
        <v>687</v>
      </c>
      <c r="C647">
        <v>9324163209</v>
      </c>
      <c r="D647" t="str">
        <f>_xlfn.IFNA(VLOOKUP(C647,CallLog_Latest!A:H,7,FALSE),"Not Called")</f>
        <v>Not Coming 🚫</v>
      </c>
      <c r="E647" t="str">
        <f>IF(ISNA(VLOOKUP(C647,Registration!A:A,1,FALSE)),"Not Registered","Registered")</f>
        <v>Not Registered</v>
      </c>
      <c r="F647">
        <f>VLOOKUP(A647,Sheet1!A:B,2,FALSE)</f>
        <v>9967235652</v>
      </c>
      <c r="G647" t="str">
        <f>_xlfn.IFNA(VLOOKUP(C647,CallLog_Latest!A:H,8,FALSE),"")</f>
        <v>Going to Rajasthan</v>
      </c>
      <c r="H647" t="str">
        <f>VLOOKUP(C647,[1]Sheet1!$F:$H,3,FALSE)</f>
        <v>901, Laya, Veena Saaz Society, Near Videocon Tower, Thakur Complex, Kandivali (E</v>
      </c>
    </row>
    <row r="648" spans="1:8" x14ac:dyDescent="0.25">
      <c r="A648" t="s">
        <v>47</v>
      </c>
      <c r="B648" t="s">
        <v>688</v>
      </c>
      <c r="C648">
        <v>9833169698</v>
      </c>
      <c r="D648" t="str">
        <f>_xlfn.IFNA(VLOOKUP(C648,CallLog_Latest!A:H,7,FALSE),"Not Called")</f>
        <v>Not Reachable</v>
      </c>
      <c r="E648" t="str">
        <f>IF(ISNA(VLOOKUP(C648,Registration!A:A,1,FALSE)),"Not Registered","Registered")</f>
        <v>Not Registered</v>
      </c>
      <c r="F648">
        <f>VLOOKUP(A648,Sheet1!A:B,2,FALSE)</f>
        <v>8108711149</v>
      </c>
      <c r="G648">
        <f>_xlfn.IFNA(VLOOKUP(C648,CallLog_Latest!A:H,8,FALSE),"")</f>
        <v>0</v>
      </c>
      <c r="H648" t="str">
        <f>VLOOKUP(C648,[1]Sheet1!$F:$H,3,FALSE)</f>
        <v>ISM House B-703, Plot No. 818/A Thakur Village, Kandivali (E</v>
      </c>
    </row>
    <row r="649" spans="1:8" x14ac:dyDescent="0.25">
      <c r="A649" t="s">
        <v>49</v>
      </c>
      <c r="B649" t="s">
        <v>689</v>
      </c>
      <c r="C649">
        <v>9324777747</v>
      </c>
      <c r="D649" t="str">
        <f>_xlfn.IFNA(VLOOKUP(C649,CallLog_Latest!A:H,7,FALSE),"Not Called")</f>
        <v>Confirmed Presence ✅</v>
      </c>
      <c r="E649" t="str">
        <f>IF(ISNA(VLOOKUP(C649,Registration!A:A,1,FALSE)),"Not Registered","Registered")</f>
        <v>Not Registered</v>
      </c>
      <c r="F649">
        <f>VLOOKUP(A649,Sheet1!A:B,2,FALSE)</f>
        <v>9322206108</v>
      </c>
      <c r="G649">
        <f>_xlfn.IFNA(VLOOKUP(C649,CallLog_Latest!A:H,8,FALSE),"")</f>
        <v>0</v>
      </c>
      <c r="H649" t="str">
        <f>VLOOKUP(C649,[1]Sheet1!$F:$H,3,FALSE)</f>
        <v>B- 410 Ganpati Tower, Thakur Village, Kandivali (E</v>
      </c>
    </row>
    <row r="650" spans="1:8" x14ac:dyDescent="0.25">
      <c r="A650" t="s">
        <v>51</v>
      </c>
      <c r="B650" t="s">
        <v>690</v>
      </c>
      <c r="C650">
        <v>9821528600</v>
      </c>
      <c r="D650" t="str">
        <f>_xlfn.IFNA(VLOOKUP(C650,CallLog_Latest!A:H,7,FALSE),"Not Called")</f>
        <v>Not Called</v>
      </c>
      <c r="E650" t="str">
        <f>IF(ISNA(VLOOKUP(C650,Registration!A:A,1,FALSE)),"Not Registered","Registered")</f>
        <v>Not Registered</v>
      </c>
      <c r="F650">
        <f>VLOOKUP(A650,Sheet1!A:B,2,FALSE)</f>
        <v>9967015641</v>
      </c>
      <c r="G650" t="str">
        <f>_xlfn.IFNA(VLOOKUP(C650,CallLog_Latest!A:H,8,FALSE),"")</f>
        <v/>
      </c>
      <c r="H650" t="str">
        <f>VLOOKUP(C650,[1]Sheet1!$F:$H,3,FALSE)</f>
        <v>A-901, Evershine Crown Thakur Village, Kandivali (E</v>
      </c>
    </row>
    <row r="651" spans="1:8" x14ac:dyDescent="0.25">
      <c r="A651" t="s">
        <v>53</v>
      </c>
      <c r="B651" t="s">
        <v>691</v>
      </c>
      <c r="C651">
        <v>9833098570</v>
      </c>
      <c r="D651" t="str">
        <f>_xlfn.IFNA(VLOOKUP(C651,CallLog_Latest!A:H,7,FALSE),"Not Called")</f>
        <v>Not Called</v>
      </c>
      <c r="E651" t="str">
        <f>IF(ISNA(VLOOKUP(C651,Registration!A:A,1,FALSE)),"Not Registered","Registered")</f>
        <v>Not Registered</v>
      </c>
      <c r="F651">
        <f>VLOOKUP(A651,Sheet1!A:B,2,FALSE)</f>
        <v>9820216355</v>
      </c>
      <c r="G651" t="str">
        <f>_xlfn.IFNA(VLOOKUP(C651,CallLog_Latest!A:H,8,FALSE),"")</f>
        <v/>
      </c>
      <c r="H651" t="str">
        <f>VLOOKUP(C651,[1]Sheet1!$F:$H,3,FALSE)</f>
        <v>A-1201, Alpine Tower, Opp. Thakur College, Thakur village  Kandivali east</v>
      </c>
    </row>
    <row r="652" spans="1:8" x14ac:dyDescent="0.25">
      <c r="A652" t="s">
        <v>55</v>
      </c>
      <c r="B652" t="s">
        <v>692</v>
      </c>
      <c r="C652">
        <v>8425048184</v>
      </c>
      <c r="D652" t="str">
        <f>_xlfn.IFNA(VLOOKUP(C652,CallLog_Latest!A:H,7,FALSE),"Not Called")</f>
        <v>Confirmed Presence</v>
      </c>
      <c r="E652" t="str">
        <f>IF(ISNA(VLOOKUP(C652,Registration!A:A,1,FALSE)),"Not Registered","Registered")</f>
        <v>Not Registered</v>
      </c>
      <c r="F652">
        <f>VLOOKUP(A652,Sheet1!A:B,2,FALSE)</f>
        <v>9819083540</v>
      </c>
      <c r="G652" t="str">
        <f>_xlfn.IFNA(VLOOKUP(C652,CallLog_Latest!A:H,8,FALSE),"")</f>
        <v>said will register</v>
      </c>
      <c r="H652" t="str">
        <f>VLOOKUP(C652,[1]Sheet1!$F:$H,3,FALSE)</f>
        <v>A-202, Rashmi Avenue Thakur Complex, Kandivali (E</v>
      </c>
    </row>
    <row r="653" spans="1:8" x14ac:dyDescent="0.25">
      <c r="A653" t="s">
        <v>57</v>
      </c>
      <c r="B653" t="s">
        <v>693</v>
      </c>
      <c r="C653">
        <v>9819461122</v>
      </c>
      <c r="D653" t="str">
        <f>_xlfn.IFNA(VLOOKUP(C653,CallLog_Latest!A:H,7,FALSE),"Not Called")</f>
        <v>Not Coming</v>
      </c>
      <c r="E653" t="str">
        <f>IF(ISNA(VLOOKUP(C653,Registration!A:A,1,FALSE)),"Not Registered","Registered")</f>
        <v>Not Registered</v>
      </c>
      <c r="F653">
        <f>VLOOKUP(A653,Sheet1!A:B,2,FALSE)</f>
        <v>9101910341</v>
      </c>
      <c r="G653" t="str">
        <f>_xlfn.IFNA(VLOOKUP(C653,CallLog_Latest!A:H,8,FALSE),"")</f>
        <v>Not in town</v>
      </c>
      <c r="H653" t="str">
        <f>VLOOKUP(C653,[1]Sheet1!$F:$H,3,FALSE)</f>
        <v>Riviera Tower  A-Wing  Flat No.1401/1402 Lokhandwala  Akurli Road</v>
      </c>
    </row>
    <row r="654" spans="1:8" x14ac:dyDescent="0.25">
      <c r="A654" t="s">
        <v>59</v>
      </c>
      <c r="B654" t="s">
        <v>694</v>
      </c>
      <c r="C654">
        <v>9820027895</v>
      </c>
      <c r="D654" t="str">
        <f>_xlfn.IFNA(VLOOKUP(C654,CallLog_Latest!A:H,7,FALSE),"Not Called")</f>
        <v>Not Coming</v>
      </c>
      <c r="E654" t="str">
        <f>IF(ISNA(VLOOKUP(C654,Registration!A:A,1,FALSE)),"Not Registered","Registered")</f>
        <v>Not Registered</v>
      </c>
      <c r="F654">
        <f>VLOOKUP(A654,Sheet1!A:B,2,FALSE)</f>
        <v>9920121726</v>
      </c>
      <c r="G654">
        <f>_xlfn.IFNA(VLOOKUP(C654,CallLog_Latest!A:H,8,FALSE),"")</f>
        <v>0</v>
      </c>
      <c r="H654" t="str">
        <f>VLOOKUP(C654,[1]Sheet1!$F:$H,3,FALSE)</f>
        <v>3A/503. Wishpring Palms  Lokhandwala Township Akurli Road</v>
      </c>
    </row>
    <row r="655" spans="1:8" x14ac:dyDescent="0.25">
      <c r="A655" t="s">
        <v>61</v>
      </c>
      <c r="B655" t="s">
        <v>695</v>
      </c>
      <c r="C655">
        <v>9820027895</v>
      </c>
      <c r="D655" t="str">
        <f>_xlfn.IFNA(VLOOKUP(C655,CallLog_Latest!A:H,7,FALSE),"Not Called")</f>
        <v>Not Coming</v>
      </c>
      <c r="E655" t="str">
        <f>IF(ISNA(VLOOKUP(C655,Registration!A:A,1,FALSE)),"Not Registered","Registered")</f>
        <v>Not Registered</v>
      </c>
      <c r="F655">
        <f>VLOOKUP(A655,Sheet1!A:B,2,FALSE)</f>
        <v>9820779873</v>
      </c>
      <c r="G655">
        <f>_xlfn.IFNA(VLOOKUP(C655,CallLog_Latest!A:H,8,FALSE),"")</f>
        <v>0</v>
      </c>
      <c r="H655" t="str">
        <f>VLOOKUP(C655,[1]Sheet1!$F:$H,3,FALSE)</f>
        <v>3A/503. Wishpring Palms  Lokhandwala Township Akurli Road</v>
      </c>
    </row>
    <row r="656" spans="1:8" x14ac:dyDescent="0.25">
      <c r="A656" t="s">
        <v>63</v>
      </c>
      <c r="B656" t="s">
        <v>696</v>
      </c>
      <c r="C656">
        <v>9594120790</v>
      </c>
      <c r="D656" t="str">
        <f>_xlfn.IFNA(VLOOKUP(C656,CallLog_Latest!A:H,7,FALSE),"Not Called")</f>
        <v>Not Called</v>
      </c>
      <c r="E656" t="str">
        <f>IF(ISNA(VLOOKUP(C656,Registration!A:A,1,FALSE)),"Not Registered","Registered")</f>
        <v>Not Registered</v>
      </c>
      <c r="F656">
        <f>VLOOKUP(A656,Sheet1!A:B,2,FALSE)</f>
        <v>9930396709</v>
      </c>
      <c r="G656" t="str">
        <f>_xlfn.IFNA(VLOOKUP(C656,CallLog_Latest!A:H,8,FALSE),"")</f>
        <v/>
      </c>
      <c r="H656" t="str">
        <f>VLOOKUP(C656,[1]Sheet1!$F:$H,3,FALSE)</f>
        <v>D-202  Gokul Nagari  2nd (cde  Nr. Dattani Park Above Sai Communication</v>
      </c>
    </row>
    <row r="657" spans="1:8" x14ac:dyDescent="0.25">
      <c r="A657" t="s">
        <v>65</v>
      </c>
      <c r="B657" t="s">
        <v>697</v>
      </c>
      <c r="C657">
        <v>9892046790</v>
      </c>
      <c r="D657" t="str">
        <f>_xlfn.IFNA(VLOOKUP(C657,CallLog_Latest!A:H,7,FALSE),"Not Called")</f>
        <v>Not Called</v>
      </c>
      <c r="E657" t="str">
        <f>IF(ISNA(VLOOKUP(C657,Registration!A:A,1,FALSE)),"Not Registered","Registered")</f>
        <v>Not Registered</v>
      </c>
      <c r="F657">
        <f>VLOOKUP(A657,Sheet1!A:B,2,FALSE)</f>
        <v>7738892551</v>
      </c>
      <c r="G657" t="str">
        <f>_xlfn.IFNA(VLOOKUP(C657,CallLog_Latest!A:H,8,FALSE),"")</f>
        <v/>
      </c>
      <c r="H657" t="str">
        <f>VLOOKUP(C657,[1]Sheet1!$F:$H,3,FALSE)</f>
        <v>White City, A/1605-1606,  White City, Akurli Road, Kandivali East</v>
      </c>
    </row>
    <row r="658" spans="1:8" x14ac:dyDescent="0.25">
      <c r="A658" t="s">
        <v>67</v>
      </c>
      <c r="B658" t="s">
        <v>698</v>
      </c>
      <c r="C658">
        <v>9829088465</v>
      </c>
      <c r="D658" t="str">
        <f>_xlfn.IFNA(VLOOKUP(C658,CallLog_Latest!A:H,7,FALSE),"Not Called")</f>
        <v>Not Called</v>
      </c>
      <c r="E658" t="str">
        <f>IF(ISNA(VLOOKUP(C658,Registration!A:A,1,FALSE)),"Not Registered","Registered")</f>
        <v>Not Registered</v>
      </c>
      <c r="F658">
        <f>VLOOKUP(A658,Sheet1!A:B,2,FALSE)</f>
        <v>9820251565</v>
      </c>
      <c r="G658" t="str">
        <f>_xlfn.IFNA(VLOOKUP(C658,CallLog_Latest!A:H,8,FALSE),"")</f>
        <v/>
      </c>
      <c r="H658" t="str">
        <f>VLOOKUP(C658,[1]Sheet1!$F:$H,3,FALSE)</f>
        <v>Neptune Chs. Ltd. EMP29,Thakur Village</v>
      </c>
    </row>
    <row r="659" spans="1:8" x14ac:dyDescent="0.25">
      <c r="A659" t="s">
        <v>69</v>
      </c>
      <c r="B659" t="s">
        <v>699</v>
      </c>
      <c r="C659">
        <v>7021861203</v>
      </c>
      <c r="D659" t="str">
        <f>_xlfn.IFNA(VLOOKUP(C659,CallLog_Latest!A:H,7,FALSE),"Not Called")</f>
        <v>Not Called</v>
      </c>
      <c r="E659" t="str">
        <f>IF(ISNA(VLOOKUP(C659,Registration!A:A,1,FALSE)),"Not Registered","Registered")</f>
        <v>Not Registered</v>
      </c>
      <c r="F659">
        <f>VLOOKUP(A659,Sheet1!A:B,2,FALSE)</f>
        <v>9968855475</v>
      </c>
      <c r="G659" t="str">
        <f>_xlfn.IFNA(VLOOKUP(C659,CallLog_Latest!A:H,8,FALSE),"")</f>
        <v/>
      </c>
      <c r="H659" t="str">
        <f>VLOOKUP(C659,[1]Sheet1!$F:$H,3,FALSE)</f>
        <v>Sanskruti, 21/302 90 Feet Road, Thakur Complex, Kandivali (E</v>
      </c>
    </row>
    <row r="660" spans="1:8" x14ac:dyDescent="0.25">
      <c r="A660" t="s">
        <v>71</v>
      </c>
      <c r="B660" t="s">
        <v>700</v>
      </c>
      <c r="C660">
        <v>9892590626</v>
      </c>
      <c r="D660" t="str">
        <f>_xlfn.IFNA(VLOOKUP(C660,CallLog_Latest!A:H,7,FALSE),"Not Called")</f>
        <v>May be Attending</v>
      </c>
      <c r="E660" t="str">
        <f>IF(ISNA(VLOOKUP(C660,Registration!A:A,1,FALSE)),"Not Registered","Registered")</f>
        <v>Not Registered</v>
      </c>
      <c r="F660">
        <f>VLOOKUP(A660,Sheet1!A:B,2,FALSE)</f>
        <v>9405263833</v>
      </c>
      <c r="G660" t="str">
        <f>_xlfn.IFNA(VLOOKUP(C660,CallLog_Latest!A:H,8,FALSE),"")</f>
        <v>Will confirm in few days</v>
      </c>
      <c r="H660" t="str">
        <f>VLOOKUP(C660,[1]Sheet1!$F:$H,3,FALSE)</f>
        <v>E-804  Octacrest Lokhandwala Township, Kandivali East</v>
      </c>
    </row>
    <row r="661" spans="1:8" x14ac:dyDescent="0.25">
      <c r="A661" t="s">
        <v>73</v>
      </c>
      <c r="B661" t="s">
        <v>701</v>
      </c>
      <c r="C661">
        <v>9324604104</v>
      </c>
      <c r="D661" t="str">
        <f>_xlfn.IFNA(VLOOKUP(C661,CallLog_Latest!A:H,7,FALSE),"Not Called")</f>
        <v>Maybe Attending 🤔</v>
      </c>
      <c r="E661" t="str">
        <f>IF(ISNA(VLOOKUP(C661,Registration!A:A,1,FALSE)),"Not Registered","Registered")</f>
        <v>Not Registered</v>
      </c>
      <c r="F661">
        <f>VLOOKUP(A661,Sheet1!A:B,2,FALSE)</f>
        <v>8879433174</v>
      </c>
      <c r="G661">
        <f>_xlfn.IFNA(VLOOKUP(C661,CallLog_Latest!A:H,8,FALSE),"")</f>
        <v>0</v>
      </c>
      <c r="H661" t="str">
        <f>VLOOKUP(C661,[1]Sheet1!$F:$H,3,FALSE)</f>
        <v>Emp-61  Flat No-103 Thakur Village   - .</v>
      </c>
    </row>
    <row r="662" spans="1:8" x14ac:dyDescent="0.25">
      <c r="A662" t="s">
        <v>75</v>
      </c>
      <c r="B662" t="s">
        <v>702</v>
      </c>
      <c r="C662">
        <v>9323854452</v>
      </c>
      <c r="D662" t="str">
        <f>_xlfn.IFNA(VLOOKUP(C662,CallLog_Latest!A:H,7,FALSE),"Not Called")</f>
        <v>Not Called</v>
      </c>
      <c r="E662" t="str">
        <f>IF(ISNA(VLOOKUP(C662,Registration!A:A,1,FALSE)),"Not Registered","Registered")</f>
        <v>Not Registered</v>
      </c>
      <c r="F662">
        <f>VLOOKUP(A662,Sheet1!A:B,2,FALSE)</f>
        <v>9993325021</v>
      </c>
      <c r="G662" t="str">
        <f>_xlfn.IFNA(VLOOKUP(C662,CallLog_Latest!A:H,8,FALSE),"")</f>
        <v/>
      </c>
      <c r="H662" t="str">
        <f>VLOOKUP(C662,[1]Sheet1!$F:$H,3,FALSE)</f>
        <v>602  A-Wing  Rivar Park Western Express Highway  Thakur Village</v>
      </c>
    </row>
    <row r="663" spans="1:8" x14ac:dyDescent="0.25">
      <c r="A663" t="s">
        <v>12</v>
      </c>
      <c r="B663" t="s">
        <v>703</v>
      </c>
      <c r="C663">
        <v>9820019992</v>
      </c>
      <c r="D663" t="str">
        <f>_xlfn.IFNA(VLOOKUP(C663,CallLog_Latest!A:H,7,FALSE),"Not Called")</f>
        <v>Not Called</v>
      </c>
      <c r="E663" t="str">
        <f>IF(ISNA(VLOOKUP(C663,Registration!A:A,1,FALSE)),"Not Registered","Registered")</f>
        <v>Not Registered</v>
      </c>
      <c r="F663">
        <f>VLOOKUP(A663,Sheet1!A:B,2,FALSE)</f>
        <v>9820454734</v>
      </c>
      <c r="G663" t="str">
        <f>_xlfn.IFNA(VLOOKUP(C663,CallLog_Latest!A:H,8,FALSE),"")</f>
        <v/>
      </c>
      <c r="H663" t="str">
        <f>VLOOKUP(C663,[1]Sheet1!$F:$H,3,FALSE)</f>
        <v>C-702  WHISPERING PLAMS EXXCLUSIVE  BLDG NO. B9  OFF AKURLI RD  LOKHANDWALA</v>
      </c>
    </row>
    <row r="664" spans="1:8" x14ac:dyDescent="0.25">
      <c r="A664" t="s">
        <v>78</v>
      </c>
      <c r="B664" t="s">
        <v>704</v>
      </c>
      <c r="C664">
        <v>9820970907</v>
      </c>
      <c r="D664" t="str">
        <f>_xlfn.IFNA(VLOOKUP(C664,CallLog_Latest!A:H,7,FALSE),"Not Called")</f>
        <v>Not Coming</v>
      </c>
      <c r="E664" t="str">
        <f>IF(ISNA(VLOOKUP(C664,Registration!A:A,1,FALSE)),"Not Registered","Registered")</f>
        <v>Not Registered</v>
      </c>
      <c r="F664">
        <f>VLOOKUP(A664,Sheet1!A:B,2,FALSE)</f>
        <v>9029105124</v>
      </c>
      <c r="G664">
        <f>_xlfn.IFNA(VLOOKUP(C664,CallLog_Latest!A:H,8,FALSE),"")</f>
        <v>0</v>
      </c>
      <c r="H664" t="str">
        <f>VLOOKUP(C664,[1]Sheet1!$F:$H,3,FALSE)</f>
        <v>Flat No.1802  Bldg.3c  Whispering Palms Lokhandwala Township  Akurli Road, Kandivali (E</v>
      </c>
    </row>
    <row r="665" spans="1:8" x14ac:dyDescent="0.25">
      <c r="A665" t="s">
        <v>80</v>
      </c>
      <c r="B665" t="s">
        <v>705</v>
      </c>
      <c r="C665">
        <v>9833650952</v>
      </c>
      <c r="D665" t="str">
        <f>_xlfn.IFNA(VLOOKUP(C665,CallLog_Latest!A:H,7,FALSE),"Not Called")</f>
        <v>Not Called</v>
      </c>
      <c r="E665" t="str">
        <f>IF(ISNA(VLOOKUP(C665,Registration!A:A,1,FALSE)),"Not Registered","Registered")</f>
        <v>Not Registered</v>
      </c>
      <c r="F665">
        <f>VLOOKUP(A665,Sheet1!A:B,2,FALSE)</f>
        <v>9599704370</v>
      </c>
      <c r="G665" t="str">
        <f>_xlfn.IFNA(VLOOKUP(C665,CallLog_Latest!A:H,8,FALSE),"")</f>
        <v/>
      </c>
      <c r="H665" t="str">
        <f>VLOOKUP(C665,[1]Sheet1!$F:$H,3,FALSE)</f>
        <v>New Saraswati CHS  Ltd Sagar  4c  Flat No 403  Ashanagar</v>
      </c>
    </row>
    <row r="666" spans="1:8" x14ac:dyDescent="0.25">
      <c r="A666" t="s">
        <v>82</v>
      </c>
      <c r="B666" t="s">
        <v>706</v>
      </c>
      <c r="C666">
        <v>9867382329</v>
      </c>
      <c r="D666" t="str">
        <f>_xlfn.IFNA(VLOOKUP(C666,CallLog_Latest!A:H,7,FALSE),"Not Called")</f>
        <v>Not Called</v>
      </c>
      <c r="E666" t="str">
        <f>IF(ISNA(VLOOKUP(C666,Registration!A:A,1,FALSE)),"Not Registered","Registered")</f>
        <v>Not Registered</v>
      </c>
      <c r="F666">
        <f>VLOOKUP(A666,Sheet1!A:B,2,FALSE)</f>
        <v>9824100412</v>
      </c>
      <c r="G666" t="str">
        <f>_xlfn.IFNA(VLOOKUP(C666,CallLog_Latest!A:H,8,FALSE),"")</f>
        <v/>
      </c>
      <c r="H666" t="str">
        <f>VLOOKUP(C666,[1]Sheet1!$F:$H,3,FALSE)</f>
        <v>River Park, C/304    Near Dattani Park, Thakur Village, Kandivali (E</v>
      </c>
    </row>
    <row r="667" spans="1:8" x14ac:dyDescent="0.25">
      <c r="A667" t="s">
        <v>84</v>
      </c>
      <c r="B667" t="s">
        <v>707</v>
      </c>
      <c r="C667">
        <v>9322080898</v>
      </c>
      <c r="D667" t="str">
        <f>_xlfn.IFNA(VLOOKUP(C667,CallLog_Latest!A:H,7,FALSE),"Not Called")</f>
        <v>May be Attending</v>
      </c>
      <c r="E667" t="str">
        <f>IF(ISNA(VLOOKUP(C667,Registration!A:A,1,FALSE)),"Not Registered","Registered")</f>
        <v>Not Registered</v>
      </c>
      <c r="F667">
        <f>VLOOKUP(A667,Sheet1!A:B,2,FALSE)</f>
        <v>9225211083</v>
      </c>
      <c r="G667">
        <f>_xlfn.IFNA(VLOOKUP(C667,CallLog_Latest!A:H,8,FALSE),"")</f>
        <v>0</v>
      </c>
      <c r="H667" t="str">
        <f>VLOOKUP(C667,[1]Sheet1!$F:$H,3,FALSE)</f>
        <v>Sanskruti, 30/703  Thakur Complex, Kandivali (E</v>
      </c>
    </row>
    <row r="668" spans="1:8" x14ac:dyDescent="0.25">
      <c r="A668" t="s">
        <v>86</v>
      </c>
      <c r="B668" t="s">
        <v>708</v>
      </c>
      <c r="C668">
        <v>8652897767</v>
      </c>
      <c r="D668" t="str">
        <f>_xlfn.IFNA(VLOOKUP(C668,CallLog_Latest!A:H,7,FALSE),"Not Called")</f>
        <v>Not Called</v>
      </c>
      <c r="E668" t="str">
        <f>IF(ISNA(VLOOKUP(C668,Registration!A:A,1,FALSE)),"Not Registered","Registered")</f>
        <v>Not Registered</v>
      </c>
      <c r="F668">
        <f>VLOOKUP(A668,Sheet1!A:B,2,FALSE)</f>
        <v>9930252076</v>
      </c>
      <c r="G668" t="str">
        <f>_xlfn.IFNA(VLOOKUP(C668,CallLog_Latest!A:H,8,FALSE),"")</f>
        <v/>
      </c>
      <c r="H668" t="str">
        <f>VLOOKUP(C668,[1]Sheet1!$F:$H,3,FALSE)</f>
        <v>FLAT NO 702 kaveri C wing  Vasant sagar complex THAKUR VILLAGE kandivali east</v>
      </c>
    </row>
    <row r="669" spans="1:8" x14ac:dyDescent="0.25">
      <c r="A669" t="s">
        <v>88</v>
      </c>
      <c r="B669" t="s">
        <v>709</v>
      </c>
      <c r="C669">
        <v>9322231062</v>
      </c>
      <c r="D669" t="str">
        <f>_xlfn.IFNA(VLOOKUP(C669,CallLog_Latest!A:H,7,FALSE),"Not Called")</f>
        <v>Not Called</v>
      </c>
      <c r="E669" t="str">
        <f>IF(ISNA(VLOOKUP(C669,Registration!A:A,1,FALSE)),"Not Registered","Registered")</f>
        <v>Not Registered</v>
      </c>
      <c r="F669">
        <f>VLOOKUP(A669,Sheet1!A:B,2,FALSE)</f>
        <v>9661270782</v>
      </c>
      <c r="G669" t="str">
        <f>_xlfn.IFNA(VLOOKUP(C669,CallLog_Latest!A:H,8,FALSE),"")</f>
        <v/>
      </c>
      <c r="H669" t="str">
        <f>VLOOKUP(C669,[1]Sheet1!$F:$H,3,FALSE)</f>
        <v>303/B Saraswati Bldg. Vasant Sagar  Thakur Village</v>
      </c>
    </row>
    <row r="670" spans="1:8" x14ac:dyDescent="0.25">
      <c r="A670" t="s">
        <v>90</v>
      </c>
      <c r="B670" t="s">
        <v>710</v>
      </c>
      <c r="C670">
        <v>9619680714</v>
      </c>
      <c r="D670" t="str">
        <f>_xlfn.IFNA(VLOOKUP(C670,CallLog_Latest!A:H,7,FALSE),"Not Called")</f>
        <v>Not Called</v>
      </c>
      <c r="E670" t="str">
        <f>IF(ISNA(VLOOKUP(C670,Registration!A:A,1,FALSE)),"Not Registered","Registered")</f>
        <v>Not Registered</v>
      </c>
      <c r="F670">
        <f>VLOOKUP(A670,Sheet1!A:B,2,FALSE)</f>
        <v>9819128389</v>
      </c>
      <c r="G670" t="str">
        <f>_xlfn.IFNA(VLOOKUP(C670,CallLog_Latest!A:H,8,FALSE),"")</f>
        <v/>
      </c>
      <c r="H670" t="str">
        <f>VLOOKUP(C670,[1]Sheet1!$F:$H,3,FALSE)</f>
        <v>C-703 704 Vasant Sarita Gokul Nagar-1</v>
      </c>
    </row>
    <row r="671" spans="1:8" x14ac:dyDescent="0.25">
      <c r="A671" t="s">
        <v>92</v>
      </c>
      <c r="B671" t="s">
        <v>711</v>
      </c>
      <c r="C671">
        <v>9867174174</v>
      </c>
      <c r="D671" t="str">
        <f>_xlfn.IFNA(VLOOKUP(C671,CallLog_Latest!A:H,7,FALSE),"Not Called")</f>
        <v>Not Called</v>
      </c>
      <c r="E671" t="str">
        <f>IF(ISNA(VLOOKUP(C671,Registration!A:A,1,FALSE)),"Not Registered","Registered")</f>
        <v>Not Registered</v>
      </c>
      <c r="F671">
        <f>VLOOKUP(A671,Sheet1!A:B,2,FALSE)</f>
        <v>8268665777</v>
      </c>
      <c r="G671" t="str">
        <f>_xlfn.IFNA(VLOOKUP(C671,CallLog_Latest!A:H,8,FALSE),"")</f>
        <v/>
      </c>
      <c r="H671" t="str">
        <f>VLOOKUP(C671,[1]Sheet1!$F:$H,3,FALSE)</f>
        <v>C/501, Whispering Palm Bldg. -1 CHS Ltd. Akurli Lokhandwala Township</v>
      </c>
    </row>
    <row r="672" spans="1:8" x14ac:dyDescent="0.25">
      <c r="A672" t="s">
        <v>94</v>
      </c>
      <c r="B672" t="s">
        <v>712</v>
      </c>
      <c r="C672">
        <v>9867712820</v>
      </c>
      <c r="D672" t="str">
        <f>_xlfn.IFNA(VLOOKUP(C672,CallLog_Latest!A:H,7,FALSE),"Not Called")</f>
        <v>Not Called</v>
      </c>
      <c r="E672" t="str">
        <f>IF(ISNA(VLOOKUP(C672,Registration!A:A,1,FALSE)),"Not Registered","Registered")</f>
        <v>Not Registered</v>
      </c>
      <c r="F672">
        <f>VLOOKUP(A672,Sheet1!A:B,2,FALSE)</f>
        <v>9920085455</v>
      </c>
      <c r="G672" t="str">
        <f>_xlfn.IFNA(VLOOKUP(C672,CallLog_Latest!A:H,8,FALSE),"")</f>
        <v/>
      </c>
      <c r="H672" t="str">
        <f>VLOOKUP(C672,[1]Sheet1!$F:$H,3,FALSE)</f>
        <v>2B-302  Phase II   N.G. Suncity Thakur Village   Kandivali  (E</v>
      </c>
    </row>
    <row r="673" spans="1:8" x14ac:dyDescent="0.25">
      <c r="A673" t="s">
        <v>96</v>
      </c>
      <c r="B673" t="s">
        <v>713</v>
      </c>
      <c r="C673">
        <v>9702088221</v>
      </c>
      <c r="D673" t="str">
        <f>_xlfn.IFNA(VLOOKUP(C673,CallLog_Latest!A:H,7,FALSE),"Not Called")</f>
        <v>Confirmed Presence</v>
      </c>
      <c r="E673" t="str">
        <f>IF(ISNA(VLOOKUP(C673,Registration!A:A,1,FALSE)),"Not Registered","Registered")</f>
        <v>Not Registered</v>
      </c>
      <c r="F673">
        <f>VLOOKUP(A673,Sheet1!A:B,2,FALSE)</f>
        <v>9424584007</v>
      </c>
      <c r="G673" t="str">
        <f>_xlfn.IFNA(VLOOKUP(C673,CallLog_Latest!A:H,8,FALSE),"")</f>
        <v>3-4 people and son's marksheet submitted by him</v>
      </c>
      <c r="H673" t="str">
        <f>VLOOKUP(C673,[1]Sheet1!$F:$H,3,FALSE)</f>
        <v>606  Pine Wood  Raheja Willows Chs. Ltd. Nr. Mahindra and Mahindra Gate 4  Akruli Road, Lokhandwala Township, Kandivali (E</v>
      </c>
    </row>
    <row r="674" spans="1:8" x14ac:dyDescent="0.25">
      <c r="A674" t="s">
        <v>3</v>
      </c>
      <c r="B674" t="s">
        <v>714</v>
      </c>
      <c r="C674">
        <v>9820216355</v>
      </c>
      <c r="D674" t="str">
        <f>_xlfn.IFNA(VLOOKUP(C674,CallLog_Latest!A:H,7,FALSE),"Not Called")</f>
        <v>Not Called</v>
      </c>
      <c r="E674" t="str">
        <f>IF(ISNA(VLOOKUP(C674,Registration!A:A,1,FALSE)),"Not Registered","Registered")</f>
        <v>Not Registered</v>
      </c>
      <c r="F674">
        <f>VLOOKUP(A674,Sheet1!A:B,2,FALSE)</f>
        <v>9326379737</v>
      </c>
      <c r="G674" t="str">
        <f>_xlfn.IFNA(VLOOKUP(C674,CallLog_Latest!A:H,8,FALSE),"")</f>
        <v/>
      </c>
      <c r="H674" t="str">
        <f>VLOOKUP(C674,[1]Sheet1!$F:$H,3,FALSE)</f>
        <v>A 504, oberoi garden thakur village</v>
      </c>
    </row>
    <row r="675" spans="1:8" x14ac:dyDescent="0.25">
      <c r="A675" t="s">
        <v>5</v>
      </c>
      <c r="B675" t="s">
        <v>715</v>
      </c>
      <c r="C675">
        <v>9967841114</v>
      </c>
      <c r="D675" t="str">
        <f>_xlfn.IFNA(VLOOKUP(C675,CallLog_Latest!A:H,7,FALSE),"Not Called")</f>
        <v>Not Called</v>
      </c>
      <c r="E675" t="str">
        <f>IF(ISNA(VLOOKUP(C675,Registration!A:A,1,FALSE)),"Not Registered","Registered")</f>
        <v>Registered</v>
      </c>
      <c r="F675">
        <f>VLOOKUP(A675,Sheet1!A:B,2,FALSE)</f>
        <v>9323541634</v>
      </c>
      <c r="G675" t="str">
        <f>_xlfn.IFNA(VLOOKUP(C675,CallLog_Latest!A:H,8,FALSE),"")</f>
        <v/>
      </c>
      <c r="H675" t="str">
        <f>VLOOKUP(C675,[1]Sheet1!$F:$H,3,FALSE)</f>
        <v>Flat No. 1806, Epsilon Towers, Nr. Thakur College, Samta Nagar, Thakur Village, Kandivali (E</v>
      </c>
    </row>
    <row r="676" spans="1:8" x14ac:dyDescent="0.25">
      <c r="A676" t="s">
        <v>7</v>
      </c>
      <c r="B676" t="s">
        <v>716</v>
      </c>
      <c r="C676">
        <v>9223304605</v>
      </c>
      <c r="D676" t="str">
        <f>_xlfn.IFNA(VLOOKUP(C676,CallLog_Latest!A:H,7,FALSE),"Not Called")</f>
        <v>Not Called</v>
      </c>
      <c r="E676" t="str">
        <f>IF(ISNA(VLOOKUP(C676,Registration!A:A,1,FALSE)),"Not Registered","Registered")</f>
        <v>Not Registered</v>
      </c>
      <c r="F676">
        <f>VLOOKUP(A676,Sheet1!A:B,2,FALSE)</f>
        <v>9867015031</v>
      </c>
      <c r="G676" t="str">
        <f>_xlfn.IFNA(VLOOKUP(C676,CallLog_Latest!A:H,8,FALSE),"")</f>
        <v/>
      </c>
      <c r="H676" t="str">
        <f>VLOOKUP(C676,[1]Sheet1!$F:$H,3,FALSE)</f>
        <v>F-1304  Orchid Towers  13th Foor Gundecha Valley Of Flowers  Thakur Village</v>
      </c>
    </row>
    <row r="677" spans="1:8" x14ac:dyDescent="0.25">
      <c r="A677" t="s">
        <v>9</v>
      </c>
      <c r="B677" t="s">
        <v>717</v>
      </c>
      <c r="C677">
        <v>9029066833</v>
      </c>
      <c r="D677" t="str">
        <f>_xlfn.IFNA(VLOOKUP(C677,CallLog_Latest!A:H,7,FALSE),"Not Called")</f>
        <v>Not Called</v>
      </c>
      <c r="E677" t="str">
        <f>IF(ISNA(VLOOKUP(C677,Registration!A:A,1,FALSE)),"Not Registered","Registered")</f>
        <v>Not Registered</v>
      </c>
      <c r="F677">
        <f>VLOOKUP(A677,Sheet1!A:B,2,FALSE)</f>
        <v>9821268271</v>
      </c>
      <c r="G677" t="str">
        <f>_xlfn.IFNA(VLOOKUP(C677,CallLog_Latest!A:H,8,FALSE),"")</f>
        <v/>
      </c>
      <c r="H677" t="str">
        <f>VLOOKUP(C677,[1]Sheet1!$F:$H,3,FALSE)</f>
        <v>306, Spring leaf tower 5, near HDFC Bank Lokhandwala Complex, Kandivali (E</v>
      </c>
    </row>
    <row r="678" spans="1:8" x14ac:dyDescent="0.25">
      <c r="A678" t="s">
        <v>11</v>
      </c>
      <c r="B678" t="s">
        <v>718</v>
      </c>
      <c r="C678">
        <v>9223388791</v>
      </c>
      <c r="D678" t="str">
        <f>_xlfn.IFNA(VLOOKUP(C678,CallLog_Latest!A:H,7,FALSE),"Not Called")</f>
        <v>Not Called</v>
      </c>
      <c r="E678" t="str">
        <f>IF(ISNA(VLOOKUP(C678,Registration!A:A,1,FALSE)),"Not Registered","Registered")</f>
        <v>Not Registered</v>
      </c>
      <c r="F678">
        <f>VLOOKUP(A678,Sheet1!A:B,2,FALSE)</f>
        <v>9322598681</v>
      </c>
      <c r="G678" t="str">
        <f>_xlfn.IFNA(VLOOKUP(C678,CallLog_Latest!A:H,8,FALSE),"")</f>
        <v/>
      </c>
      <c r="H678" t="str">
        <f>VLOOKUP(C678,[1]Sheet1!$F:$H,3,FALSE)</f>
        <v>D-002  Balaji Enclave Plot No.13 Akurli Anamika Chs Neaer Lokhandwala Complex Kandivali (E -</v>
      </c>
    </row>
    <row r="679" spans="1:8" x14ac:dyDescent="0.25">
      <c r="A679" t="s">
        <v>13</v>
      </c>
      <c r="B679" t="s">
        <v>719</v>
      </c>
      <c r="C679">
        <v>7498076883</v>
      </c>
      <c r="D679" t="str">
        <f>_xlfn.IFNA(VLOOKUP(C679,CallLog_Latest!A:H,7,FALSE),"Not Called")</f>
        <v>Not Called</v>
      </c>
      <c r="E679" t="str">
        <f>IF(ISNA(VLOOKUP(C679,Registration!A:A,1,FALSE)),"Not Registered","Registered")</f>
        <v>Not Registered</v>
      </c>
      <c r="F679">
        <f>VLOOKUP(A679,Sheet1!A:B,2,FALSE)</f>
        <v>9969403870</v>
      </c>
      <c r="G679" t="str">
        <f>_xlfn.IFNA(VLOOKUP(C679,CallLog_Latest!A:H,8,FALSE),"")</f>
        <v/>
      </c>
      <c r="H679" t="str">
        <f>VLOOKUP(C679,[1]Sheet1!$F:$H,3,FALSE)</f>
        <v>Raheja Willow  Flat no.1205  BIRCH WOOD Lokhandwala Complex</v>
      </c>
    </row>
    <row r="680" spans="1:8" x14ac:dyDescent="0.25">
      <c r="A680" t="s">
        <v>15</v>
      </c>
      <c r="B680" t="s">
        <v>720</v>
      </c>
      <c r="C680">
        <v>9769992623</v>
      </c>
      <c r="D680" t="str">
        <f>_xlfn.IFNA(VLOOKUP(C680,CallLog_Latest!A:H,7,FALSE),"Not Called")</f>
        <v>Not Called</v>
      </c>
      <c r="E680" t="str">
        <f>IF(ISNA(VLOOKUP(C680,Registration!A:A,1,FALSE)),"Not Registered","Registered")</f>
        <v>Not Registered</v>
      </c>
      <c r="F680">
        <f>VLOOKUP(A680,Sheet1!A:B,2,FALSE)</f>
        <v>9892726278</v>
      </c>
      <c r="G680" t="str">
        <f>_xlfn.IFNA(VLOOKUP(C680,CallLog_Latest!A:H,8,FALSE),"")</f>
        <v/>
      </c>
      <c r="H680" t="str">
        <f>VLOOKUP(C680,[1]Sheet1!$F:$H,3,FALSE)</f>
        <v>Viceroy Park Tower A Flat no 3C  Opp Bhagat Singh Maidan  Thakur Village Kandivali (E</v>
      </c>
    </row>
    <row r="681" spans="1:8" x14ac:dyDescent="0.25">
      <c r="A681" t="s">
        <v>17</v>
      </c>
      <c r="B681" t="s">
        <v>721</v>
      </c>
      <c r="C681">
        <v>9867200070</v>
      </c>
      <c r="D681" t="str">
        <f>_xlfn.IFNA(VLOOKUP(C681,CallLog_Latest!A:H,7,FALSE),"Not Called")</f>
        <v>Confirmed Presence ✅</v>
      </c>
      <c r="E681" t="str">
        <f>IF(ISNA(VLOOKUP(C681,Registration!A:A,1,FALSE)),"Not Registered","Registered")</f>
        <v>Not Registered</v>
      </c>
      <c r="F681">
        <f>VLOOKUP(A681,Sheet1!A:B,2,FALSE)</f>
        <v>9869798705</v>
      </c>
      <c r="G681">
        <f>_xlfn.IFNA(VLOOKUP(C681,CallLog_Latest!A:H,8,FALSE),"")</f>
        <v>0</v>
      </c>
      <c r="H681" t="str">
        <f>VLOOKUP(C681,[1]Sheet1!$F:$H,3,FALSE)</f>
        <v>Viceroy Park  Tower B/13A Thakur Village, Kandivali (E</v>
      </c>
    </row>
    <row r="682" spans="1:8" x14ac:dyDescent="0.25">
      <c r="A682" t="s">
        <v>19</v>
      </c>
      <c r="B682" t="s">
        <v>722</v>
      </c>
      <c r="C682">
        <v>9867297925</v>
      </c>
      <c r="D682" t="str">
        <f>_xlfn.IFNA(VLOOKUP(C682,CallLog_Latest!A:H,7,FALSE),"Not Called")</f>
        <v>Not Called</v>
      </c>
      <c r="E682" t="str">
        <f>IF(ISNA(VLOOKUP(C682,Registration!A:A,1,FALSE)),"Not Registered","Registered")</f>
        <v>Not Registered</v>
      </c>
      <c r="F682">
        <f>VLOOKUP(A682,Sheet1!A:B,2,FALSE)</f>
        <v>9820265640</v>
      </c>
      <c r="G682" t="str">
        <f>_xlfn.IFNA(VLOOKUP(C682,CallLog_Latest!A:H,8,FALSE),"")</f>
        <v/>
      </c>
      <c r="H682" t="str">
        <f>VLOOKUP(C682,[1]Sheet1!$F:$H,3,FALSE)</f>
        <v>Viceroy Park  Tower B/13B Thakur Village, Kandivali (E</v>
      </c>
    </row>
    <row r="683" spans="1:8" x14ac:dyDescent="0.25">
      <c r="A683" t="s">
        <v>21</v>
      </c>
      <c r="B683" t="s">
        <v>723</v>
      </c>
      <c r="C683">
        <v>9967931264</v>
      </c>
      <c r="D683" t="str">
        <f>_xlfn.IFNA(VLOOKUP(C683,CallLog_Latest!A:H,7,FALSE),"Not Called")</f>
        <v>Not Called</v>
      </c>
      <c r="E683" t="str">
        <f>IF(ISNA(VLOOKUP(C683,Registration!A:A,1,FALSE)),"Not Registered","Registered")</f>
        <v>Not Registered</v>
      </c>
      <c r="F683">
        <f>VLOOKUP(A683,Sheet1!A:B,2,FALSE)</f>
        <v>9820636392</v>
      </c>
      <c r="G683" t="str">
        <f>_xlfn.IFNA(VLOOKUP(C683,CallLog_Latest!A:H,8,FALSE),"")</f>
        <v/>
      </c>
      <c r="H683" t="str">
        <f>VLOOKUP(C683,[1]Sheet1!$F:$H,3,FALSE)</f>
        <v>A-Wing  2303 Oberoi Garden  Thakur Village</v>
      </c>
    </row>
    <row r="684" spans="1:8" x14ac:dyDescent="0.25">
      <c r="A684" t="s">
        <v>23</v>
      </c>
      <c r="B684" t="s">
        <v>724</v>
      </c>
      <c r="C684">
        <v>7045652750</v>
      </c>
      <c r="D684" t="str">
        <f>_xlfn.IFNA(VLOOKUP(C684,CallLog_Latest!A:H,7,FALSE),"Not Called")</f>
        <v>Not Called</v>
      </c>
      <c r="E684" t="str">
        <f>IF(ISNA(VLOOKUP(C684,Registration!A:A,1,FALSE)),"Not Registered","Registered")</f>
        <v>Not Registered</v>
      </c>
      <c r="F684">
        <f>VLOOKUP(A684,Sheet1!A:B,2,FALSE)</f>
        <v>7977439717</v>
      </c>
      <c r="G684" t="str">
        <f>_xlfn.IFNA(VLOOKUP(C684,CallLog_Latest!A:H,8,FALSE),"")</f>
        <v/>
      </c>
      <c r="H684" t="str">
        <f>VLOOKUP(C684,[1]Sheet1!$F:$H,3,FALSE)</f>
        <v>2903- Tower 2, Acme Oasis Lokhandwala Township, Kandivali (E</v>
      </c>
    </row>
    <row r="685" spans="1:8" x14ac:dyDescent="0.25">
      <c r="A685" t="s">
        <v>25</v>
      </c>
      <c r="B685" t="s">
        <v>725</v>
      </c>
      <c r="C685">
        <v>9702023242</v>
      </c>
      <c r="D685" t="str">
        <f>_xlfn.IFNA(VLOOKUP(C685,CallLog_Latest!A:H,7,FALSE),"Not Called")</f>
        <v>Not Called</v>
      </c>
      <c r="E685" t="str">
        <f>IF(ISNA(VLOOKUP(C685,Registration!A:A,1,FALSE)),"Not Registered","Registered")</f>
        <v>Not Registered</v>
      </c>
      <c r="F685">
        <f>VLOOKUP(A685,Sheet1!A:B,2,FALSE)</f>
        <v>9967045520</v>
      </c>
      <c r="G685" t="str">
        <f>_xlfn.IFNA(VLOOKUP(C685,CallLog_Latest!A:H,8,FALSE),"")</f>
        <v/>
      </c>
      <c r="H685" t="str">
        <f>VLOOKUP(C685,[1]Sheet1!$F:$H,3,FALSE)</f>
        <v>3-B 1702 Whispering Palms Lokhandwala Township Kanvivali (E -</v>
      </c>
    </row>
    <row r="686" spans="1:8" x14ac:dyDescent="0.25">
      <c r="A686" t="s">
        <v>27</v>
      </c>
      <c r="B686" t="s">
        <v>726</v>
      </c>
      <c r="C686">
        <v>9594014078</v>
      </c>
      <c r="D686" t="str">
        <f>_xlfn.IFNA(VLOOKUP(C686,CallLog_Latest!A:H,7,FALSE),"Not Called")</f>
        <v>Not Called</v>
      </c>
      <c r="E686" t="str">
        <f>IF(ISNA(VLOOKUP(C686,Registration!A:A,1,FALSE)),"Not Registered","Registered")</f>
        <v>Not Registered</v>
      </c>
      <c r="F686">
        <f>VLOOKUP(A686,Sheet1!A:B,2,FALSE)</f>
        <v>9820075931</v>
      </c>
      <c r="G686" t="str">
        <f>_xlfn.IFNA(VLOOKUP(C686,CallLog_Latest!A:H,8,FALSE),"")</f>
        <v/>
      </c>
      <c r="H686" t="str">
        <f>VLOOKUP(C686,[1]Sheet1!$F:$H,3,FALSE)</f>
        <v>1501-A  Hill View Park Nr. Oxford School Thakur Village</v>
      </c>
    </row>
    <row r="687" spans="1:8" x14ac:dyDescent="0.25">
      <c r="A687" t="s">
        <v>29</v>
      </c>
      <c r="B687" t="s">
        <v>727</v>
      </c>
      <c r="C687">
        <v>9820849697</v>
      </c>
      <c r="D687" t="str">
        <f>_xlfn.IFNA(VLOOKUP(C687,CallLog_Latest!A:H,7,FALSE),"Not Called")</f>
        <v>Not Called</v>
      </c>
      <c r="E687" t="str">
        <f>IF(ISNA(VLOOKUP(C687,Registration!A:A,1,FALSE)),"Not Registered","Registered")</f>
        <v>Not Registered</v>
      </c>
      <c r="F687">
        <f>VLOOKUP(A687,Sheet1!A:B,2,FALSE)</f>
        <v>9819364345</v>
      </c>
      <c r="G687" t="str">
        <f>_xlfn.IFNA(VLOOKUP(C687,CallLog_Latest!A:H,8,FALSE),"")</f>
        <v/>
      </c>
      <c r="H687" t="str">
        <f>VLOOKUP(C687,[1]Sheet1!$F:$H,3,FALSE)</f>
        <v>B/2104  Oberoi Gardens Thakur Village</v>
      </c>
    </row>
    <row r="688" spans="1:8" x14ac:dyDescent="0.25">
      <c r="A688" t="s">
        <v>31</v>
      </c>
      <c r="B688" t="s">
        <v>728</v>
      </c>
      <c r="C688">
        <v>9820804282</v>
      </c>
      <c r="D688" t="str">
        <f>_xlfn.IFNA(VLOOKUP(C688,CallLog_Latest!A:H,7,FALSE),"Not Called")</f>
        <v>Confirmed Presence</v>
      </c>
      <c r="E688" t="str">
        <f>IF(ISNA(VLOOKUP(C688,Registration!A:A,1,FALSE)),"Not Registered","Registered")</f>
        <v>Not Registered</v>
      </c>
      <c r="F688">
        <f>VLOOKUP(A688,Sheet1!A:B,2,FALSE)</f>
        <v>9869064553</v>
      </c>
      <c r="G688">
        <f>_xlfn.IFNA(VLOOKUP(C688,CallLog_Latest!A:H,8,FALSE),"")</f>
        <v>0</v>
      </c>
      <c r="H688" t="str">
        <f>VLOOKUP(C688,[1]Sheet1!$F:$H,3,FALSE)</f>
        <v>Flat No. 2402, Tower-2 Acme Oasis, Oasis Chs. Nr. Mahindra Yellow Gate, Akurli Road, Lokhandwala, Kandivali (E,</v>
      </c>
    </row>
    <row r="689" spans="1:8" x14ac:dyDescent="0.25">
      <c r="A689" t="s">
        <v>33</v>
      </c>
      <c r="B689" t="s">
        <v>729</v>
      </c>
      <c r="C689">
        <v>9529611813</v>
      </c>
      <c r="D689" t="str">
        <f>_xlfn.IFNA(VLOOKUP(C689,CallLog_Latest!A:H,7,FALSE),"Not Called")</f>
        <v>Confirmed Presence ✅</v>
      </c>
      <c r="E689" t="str">
        <f>IF(ISNA(VLOOKUP(C689,Registration!A:A,1,FALSE)),"Not Registered","Registered")</f>
        <v>Registered</v>
      </c>
      <c r="F689">
        <f>VLOOKUP(A689,Sheet1!A:B,2,FALSE)</f>
        <v>9930070116</v>
      </c>
      <c r="G689" t="str">
        <f>_xlfn.IFNA(VLOOKUP(C689,CallLog_Latest!A:H,8,FALSE),"")</f>
        <v>3 adult +1 child ll join our program</v>
      </c>
      <c r="H689" t="str">
        <f>VLOOKUP(C689,[1]Sheet1!$F:$H,3,FALSE)</f>
        <v>Whitecity, A wing, 3605 Akurli Road Kandivali Lokhandwala east</v>
      </c>
    </row>
    <row r="690" spans="1:8" x14ac:dyDescent="0.25">
      <c r="A690" t="s">
        <v>35</v>
      </c>
      <c r="B690" t="s">
        <v>730</v>
      </c>
      <c r="C690">
        <v>9664033466</v>
      </c>
      <c r="D690" t="str">
        <f>_xlfn.IFNA(VLOOKUP(C690,CallLog_Latest!A:H,7,FALSE),"Not Called")</f>
        <v>Phone Busy</v>
      </c>
      <c r="E690" t="str">
        <f>IF(ISNA(VLOOKUP(C690,Registration!A:A,1,FALSE)),"Not Registered","Registered")</f>
        <v>Not Registered</v>
      </c>
      <c r="F690">
        <f>VLOOKUP(A690,Sheet1!A:B,2,FALSE)</f>
        <v>9833705425</v>
      </c>
      <c r="G690" t="str">
        <f>_xlfn.IFNA(VLOOKUP(C690,CallLog_Latest!A:H,8,FALSE),"")</f>
        <v>Didn’t pick up</v>
      </c>
      <c r="H690" t="str">
        <f>VLOOKUP(C690,[1]Sheet1!$F:$H,3,FALSE)</f>
        <v>6b/103 spring Leaf  Lokhandwala Township  Akruli Road, Kandivali East</v>
      </c>
    </row>
    <row r="691" spans="1:8" x14ac:dyDescent="0.25">
      <c r="A691" t="s">
        <v>37</v>
      </c>
      <c r="B691" t="s">
        <v>731</v>
      </c>
      <c r="C691">
        <v>9820419060</v>
      </c>
      <c r="D691" t="str">
        <f>_xlfn.IFNA(VLOOKUP(C691,CallLog_Latest!A:H,7,FALSE),"Not Called")</f>
        <v>Not Called</v>
      </c>
      <c r="E691" t="str">
        <f>IF(ISNA(VLOOKUP(C691,Registration!A:A,1,FALSE)),"Not Registered","Registered")</f>
        <v>Not Registered</v>
      </c>
      <c r="F691">
        <f>VLOOKUP(A691,Sheet1!A:B,2,FALSE)</f>
        <v>9167390835</v>
      </c>
      <c r="G691" t="str">
        <f>_xlfn.IFNA(VLOOKUP(C691,CallLog_Latest!A:H,8,FALSE),"")</f>
        <v/>
      </c>
      <c r="H691" t="str">
        <f>VLOOKUP(C691,[1]Sheet1!$F:$H,3,FALSE)</f>
        <v>B-907/908  Highland Towers Lokhandwala Akurli Road</v>
      </c>
    </row>
    <row r="692" spans="1:8" x14ac:dyDescent="0.25">
      <c r="A692" t="s">
        <v>39</v>
      </c>
      <c r="B692" t="s">
        <v>732</v>
      </c>
      <c r="C692">
        <v>9022989405</v>
      </c>
      <c r="D692" t="str">
        <f>_xlfn.IFNA(VLOOKUP(C692,CallLog_Latest!A:H,7,FALSE),"Not Called")</f>
        <v>Not Called</v>
      </c>
      <c r="E692" t="str">
        <f>IF(ISNA(VLOOKUP(C692,Registration!A:A,1,FALSE)),"Not Registered","Registered")</f>
        <v>Not Registered</v>
      </c>
      <c r="F692">
        <f>VLOOKUP(A692,Sheet1!A:B,2,FALSE)</f>
        <v>9820505363</v>
      </c>
      <c r="G692" t="str">
        <f>_xlfn.IFNA(VLOOKUP(C692,CallLog_Latest!A:H,8,FALSE),"")</f>
        <v/>
      </c>
      <c r="H692" t="str">
        <f>VLOOKUP(C692,[1]Sheet1!$F:$H,3,FALSE)</f>
        <v>ROW House  C  Mangalm Apartments  Thakur Complex  Near Cambridge School  Thakur Complex  Kandivli (E</v>
      </c>
    </row>
    <row r="693" spans="1:8" x14ac:dyDescent="0.25">
      <c r="A693" t="s">
        <v>41</v>
      </c>
      <c r="B693" t="s">
        <v>733</v>
      </c>
      <c r="C693">
        <v>7506747155</v>
      </c>
      <c r="D693" t="str">
        <f>_xlfn.IFNA(VLOOKUP(C693,CallLog_Latest!A:H,7,FALSE),"Not Called")</f>
        <v>Not Reachable</v>
      </c>
      <c r="E693" t="str">
        <f>IF(ISNA(VLOOKUP(C693,Registration!A:A,1,FALSE)),"Not Registered","Registered")</f>
        <v>Registered</v>
      </c>
      <c r="F693">
        <f>VLOOKUP(A693,Sheet1!A:B,2,FALSE)</f>
        <v>8058973809</v>
      </c>
      <c r="G693">
        <f>_xlfn.IFNA(VLOOKUP(C693,CallLog_Latest!A:H,8,FALSE),"")</f>
        <v>0</v>
      </c>
      <c r="H693" t="str">
        <f>VLOOKUP(C693,[1]Sheet1!$F:$H,3,FALSE)</f>
        <v>Bangla No 3-C Manglam Co-Op Hsg Soc. Thakur Complex Kandiwali Mum-.</v>
      </c>
    </row>
    <row r="694" spans="1:8" x14ac:dyDescent="0.25">
      <c r="A694" t="s">
        <v>43</v>
      </c>
      <c r="B694" t="s">
        <v>734</v>
      </c>
      <c r="C694">
        <v>9321882437</v>
      </c>
      <c r="D694" t="str">
        <f>_xlfn.IFNA(VLOOKUP(C694,CallLog_Latest!A:H,7,FALSE),"Not Called")</f>
        <v>Not Reachable</v>
      </c>
      <c r="E694" t="str">
        <f>IF(ISNA(VLOOKUP(C694,Registration!A:A,1,FALSE)),"Not Registered","Registered")</f>
        <v>Not Registered</v>
      </c>
      <c r="F694">
        <f>VLOOKUP(A694,Sheet1!A:B,2,FALSE)</f>
        <v>9320683201</v>
      </c>
      <c r="G694" t="str">
        <f>_xlfn.IFNA(VLOOKUP(C694,CallLog_Latest!A:H,8,FALSE),"")</f>
        <v>Mobile switch off number changed</v>
      </c>
      <c r="H694" t="str">
        <f>VLOOKUP(C694,[1]Sheet1!$F:$H,3,FALSE)</f>
        <v>B-401  Gokul Horizon Behind Dattani Park  Thakur Village</v>
      </c>
    </row>
    <row r="695" spans="1:8" x14ac:dyDescent="0.25">
      <c r="A695" t="s">
        <v>45</v>
      </c>
      <c r="B695" t="s">
        <v>735</v>
      </c>
      <c r="C695">
        <v>9820551229</v>
      </c>
      <c r="D695" t="str">
        <f>_xlfn.IFNA(VLOOKUP(C695,CallLog_Latest!A:H,7,FALSE),"Not Called")</f>
        <v>Confirmed Presence ✅</v>
      </c>
      <c r="E695" t="str">
        <f>IF(ISNA(VLOOKUP(C695,Registration!A:A,1,FALSE)),"Not Registered","Registered")</f>
        <v>Not Registered</v>
      </c>
      <c r="F695">
        <f>VLOOKUP(A695,Sheet1!A:B,2,FALSE)</f>
        <v>9967235652</v>
      </c>
      <c r="G695">
        <f>_xlfn.IFNA(VLOOKUP(C695,CallLog_Latest!A:H,8,FALSE),"")</f>
        <v>0</v>
      </c>
      <c r="H695" t="str">
        <f>VLOOKUP(C695,[1]Sheet1!$F:$H,3,FALSE)</f>
        <v>B-601, Burlington Court, Raheja Reflection, Thakur Village, Kandivali (E</v>
      </c>
    </row>
    <row r="696" spans="1:8" x14ac:dyDescent="0.25">
      <c r="A696" t="s">
        <v>47</v>
      </c>
      <c r="B696" t="s">
        <v>736</v>
      </c>
      <c r="C696">
        <v>9967587634</v>
      </c>
      <c r="D696" t="str">
        <f>_xlfn.IFNA(VLOOKUP(C696,CallLog_Latest!A:H,7,FALSE),"Not Called")</f>
        <v>Confirmed Presence ✅</v>
      </c>
      <c r="E696" t="str">
        <f>IF(ISNA(VLOOKUP(C696,Registration!A:A,1,FALSE)),"Not Registered","Registered")</f>
        <v>Not Registered</v>
      </c>
      <c r="F696">
        <f>VLOOKUP(A696,Sheet1!A:B,2,FALSE)</f>
        <v>8108711149</v>
      </c>
      <c r="G696">
        <f>_xlfn.IFNA(VLOOKUP(C696,CallLog_Latest!A:H,8,FALSE),"")</f>
        <v>0</v>
      </c>
      <c r="H696" t="str">
        <f>VLOOKUP(C696,[1]Sheet1!$F:$H,3,FALSE)</f>
        <v>Flat no. A1-44  Kalpataru Garden Off Ashok Chakravarty Road  Nr. East West Flyover</v>
      </c>
    </row>
    <row r="697" spans="1:8" x14ac:dyDescent="0.25">
      <c r="A697" t="s">
        <v>49</v>
      </c>
      <c r="B697" t="s">
        <v>737</v>
      </c>
      <c r="C697">
        <v>9892199169</v>
      </c>
      <c r="D697" t="str">
        <f>_xlfn.IFNA(VLOOKUP(C697,CallLog_Latest!A:H,7,FALSE),"Not Called")</f>
        <v>Confirmed Presence ✅</v>
      </c>
      <c r="E697" t="str">
        <f>IF(ISNA(VLOOKUP(C697,Registration!A:A,1,FALSE)),"Not Registered","Registered")</f>
        <v>Not Registered</v>
      </c>
      <c r="F697">
        <f>VLOOKUP(A697,Sheet1!A:B,2,FALSE)</f>
        <v>9322206108</v>
      </c>
      <c r="G697">
        <f>_xlfn.IFNA(VLOOKUP(C697,CallLog_Latest!A:H,8,FALSE),"")</f>
        <v>0</v>
      </c>
      <c r="H697" t="str">
        <f>VLOOKUP(C697,[1]Sheet1!$F:$H,3,FALSE)</f>
        <v>1506  Challenger Tower No-1 Thakur Village, Kandivali (East</v>
      </c>
    </row>
    <row r="698" spans="1:8" x14ac:dyDescent="0.25">
      <c r="A698" t="s">
        <v>51</v>
      </c>
      <c r="B698" t="s">
        <v>738</v>
      </c>
      <c r="C698">
        <v>9821915177</v>
      </c>
      <c r="D698" t="str">
        <f>_xlfn.IFNA(VLOOKUP(C698,CallLog_Latest!A:H,7,FALSE),"Not Called")</f>
        <v>Not Called</v>
      </c>
      <c r="E698" t="str">
        <f>IF(ISNA(VLOOKUP(C698,Registration!A:A,1,FALSE)),"Not Registered","Registered")</f>
        <v>Not Registered</v>
      </c>
      <c r="F698">
        <f>VLOOKUP(A698,Sheet1!A:B,2,FALSE)</f>
        <v>9967015641</v>
      </c>
      <c r="G698" t="str">
        <f>_xlfn.IFNA(VLOOKUP(C698,CallLog_Latest!A:H,8,FALSE),"")</f>
        <v/>
      </c>
      <c r="H698" t="str">
        <f>VLOOKUP(C698,[1]Sheet1!$F:$H,3,FALSE)</f>
        <v>1-B  144 KALPATARU GARDENS  OPP ASHOK NGR  NEAR FLY OVER</v>
      </c>
    </row>
    <row r="699" spans="1:8" x14ac:dyDescent="0.25">
      <c r="A699" t="s">
        <v>53</v>
      </c>
      <c r="B699" t="s">
        <v>739</v>
      </c>
      <c r="C699">
        <v>9223435716</v>
      </c>
      <c r="D699" t="str">
        <f>_xlfn.IFNA(VLOOKUP(C699,CallLog_Latest!A:H,7,FALSE),"Not Called")</f>
        <v>Not Called</v>
      </c>
      <c r="E699" t="str">
        <f>IF(ISNA(VLOOKUP(C699,Registration!A:A,1,FALSE)),"Not Registered","Registered")</f>
        <v>Not Registered</v>
      </c>
      <c r="F699">
        <f>VLOOKUP(A699,Sheet1!A:B,2,FALSE)</f>
        <v>9820216355</v>
      </c>
      <c r="G699" t="str">
        <f>_xlfn.IFNA(VLOOKUP(C699,CallLog_Latest!A:H,8,FALSE),"")</f>
        <v/>
      </c>
      <c r="H699" t="str">
        <f>VLOOKUP(C699,[1]Sheet1!$F:$H,3,FALSE)</f>
        <v>12-d-503  Spring Leaf Lokhandwala Township</v>
      </c>
    </row>
    <row r="700" spans="1:8" x14ac:dyDescent="0.25">
      <c r="A700" t="s">
        <v>55</v>
      </c>
      <c r="B700" t="s">
        <v>740</v>
      </c>
      <c r="C700">
        <v>9833078523</v>
      </c>
      <c r="D700" t="str">
        <f>_xlfn.IFNA(VLOOKUP(C700,CallLog_Latest!A:H,7,FALSE),"Not Called")</f>
        <v>Not Reachable</v>
      </c>
      <c r="E700" t="str">
        <f>IF(ISNA(VLOOKUP(C700,Registration!A:A,1,FALSE)),"Not Registered","Registered")</f>
        <v>Not Registered</v>
      </c>
      <c r="F700">
        <f>VLOOKUP(A700,Sheet1!A:B,2,FALSE)</f>
        <v>9819083540</v>
      </c>
      <c r="G700" t="str">
        <f>_xlfn.IFNA(VLOOKUP(C700,CallLog_Latest!A:H,8,FALSE),"")</f>
        <v>invalid number</v>
      </c>
      <c r="H700" t="str">
        <f>VLOOKUP(C700,[1]Sheet1!$F:$H,3,FALSE)</f>
        <v>B-33 Priti Vihar CHS  L.T.D Thakur Complex</v>
      </c>
    </row>
    <row r="701" spans="1:8" x14ac:dyDescent="0.25">
      <c r="A701" t="s">
        <v>57</v>
      </c>
      <c r="B701" t="s">
        <v>741</v>
      </c>
      <c r="C701">
        <v>9324607730</v>
      </c>
      <c r="D701">
        <f>_xlfn.IFNA(VLOOKUP(C701,CallLog_Latest!A:H,7,FALSE),"Not Called")</f>
        <v>0</v>
      </c>
      <c r="E701" t="str">
        <f>IF(ISNA(VLOOKUP(C701,Registration!A:A,1,FALSE)),"Not Registered","Registered")</f>
        <v>Not Registered</v>
      </c>
      <c r="F701">
        <f>VLOOKUP(A701,Sheet1!A:B,2,FALSE)</f>
        <v>9101910341</v>
      </c>
      <c r="G701" t="str">
        <f>_xlfn.IFNA(VLOOKUP(C701,CallLog_Latest!A:H,8,FALSE),"")</f>
        <v>Said will be attending</v>
      </c>
      <c r="H701" t="str">
        <f>VLOOKUP(C701,[1]Sheet1!$F:$H,3,FALSE)</f>
        <v>201  Gaurav Shikhar Aakash Bldg. A Wing. Thakur Village, Kandivali (E</v>
      </c>
    </row>
    <row r="702" spans="1:8" x14ac:dyDescent="0.25">
      <c r="A702" t="s">
        <v>59</v>
      </c>
      <c r="B702" t="s">
        <v>742</v>
      </c>
      <c r="C702">
        <v>9820335021</v>
      </c>
      <c r="D702" t="str">
        <f>_xlfn.IFNA(VLOOKUP(C702,CallLog_Latest!A:H,7,FALSE),"Not Called")</f>
        <v>Not Called</v>
      </c>
      <c r="E702" t="str">
        <f>IF(ISNA(VLOOKUP(C702,Registration!A:A,1,FALSE)),"Not Registered","Registered")</f>
        <v>Not Registered</v>
      </c>
      <c r="F702">
        <f>VLOOKUP(A702,Sheet1!A:B,2,FALSE)</f>
        <v>9920121726</v>
      </c>
      <c r="G702" t="str">
        <f>_xlfn.IFNA(VLOOKUP(C702,CallLog_Latest!A:H,8,FALSE),"")</f>
        <v/>
      </c>
      <c r="H702" t="str">
        <f>VLOOKUP(C702,[1]Sheet1!$F:$H,3,FALSE)</f>
        <v>1103/A  Oberoi Gardens Thakur Village, Kandivali (E</v>
      </c>
    </row>
    <row r="703" spans="1:8" x14ac:dyDescent="0.25">
      <c r="A703" t="s">
        <v>61</v>
      </c>
      <c r="B703" t="s">
        <v>743</v>
      </c>
      <c r="C703">
        <v>9820513340</v>
      </c>
      <c r="D703" t="str">
        <f>_xlfn.IFNA(VLOOKUP(C703,CallLog_Latest!A:H,7,FALSE),"Not Called")</f>
        <v>Not Called</v>
      </c>
      <c r="E703" t="str">
        <f>IF(ISNA(VLOOKUP(C703,Registration!A:A,1,FALSE)),"Not Registered","Registered")</f>
        <v>Not Registered</v>
      </c>
      <c r="F703">
        <f>VLOOKUP(A703,Sheet1!A:B,2,FALSE)</f>
        <v>9820779873</v>
      </c>
      <c r="G703" t="str">
        <f>_xlfn.IFNA(VLOOKUP(C703,CallLog_Latest!A:H,8,FALSE),"")</f>
        <v/>
      </c>
      <c r="H703" t="str">
        <f>VLOOKUP(C703,[1]Sheet1!$F:$H,3,FALSE)</f>
        <v>FLAT NO. 601  COSMOS CHS LTD NEAR EVERSHINEDREAM PARK GUNDECHA VALLEY OF FLOWERS  THAKUUR VILLAGE</v>
      </c>
    </row>
    <row r="704" spans="1:8" x14ac:dyDescent="0.25">
      <c r="A704" t="s">
        <v>63</v>
      </c>
      <c r="B704" t="s">
        <v>744</v>
      </c>
      <c r="C704">
        <v>9820064425</v>
      </c>
      <c r="D704" t="str">
        <f>_xlfn.IFNA(VLOOKUP(C704,CallLog_Latest!A:H,7,FALSE),"Not Called")</f>
        <v>Not Called</v>
      </c>
      <c r="E704" t="str">
        <f>IF(ISNA(VLOOKUP(C704,Registration!A:A,1,FALSE)),"Not Registered","Registered")</f>
        <v>Not Registered</v>
      </c>
      <c r="F704">
        <f>VLOOKUP(A704,Sheet1!A:B,2,FALSE)</f>
        <v>9930396709</v>
      </c>
      <c r="G704" t="str">
        <f>_xlfn.IFNA(VLOOKUP(C704,CallLog_Latest!A:H,8,FALSE),"")</f>
        <v/>
      </c>
      <c r="H704" t="str">
        <f>VLOOKUP(C704,[1]Sheet1!$F:$H,3,FALSE)</f>
        <v>Whispering Palms, 1/B, 803 Lokhandwala Township, Kandivali (E</v>
      </c>
    </row>
    <row r="705" spans="1:8" x14ac:dyDescent="0.25">
      <c r="A705" t="s">
        <v>65</v>
      </c>
      <c r="B705" t="s">
        <v>745</v>
      </c>
      <c r="C705">
        <v>9820431506</v>
      </c>
      <c r="D705" t="str">
        <f>_xlfn.IFNA(VLOOKUP(C705,CallLog_Latest!A:H,7,FALSE),"Not Called")</f>
        <v>Not Called</v>
      </c>
      <c r="E705" t="str">
        <f>IF(ISNA(VLOOKUP(C705,Registration!A:A,1,FALSE)),"Not Registered","Registered")</f>
        <v>Not Registered</v>
      </c>
      <c r="F705">
        <f>VLOOKUP(A705,Sheet1!A:B,2,FALSE)</f>
        <v>7738892551</v>
      </c>
      <c r="G705" t="str">
        <f>_xlfn.IFNA(VLOOKUP(C705,CallLog_Latest!A:H,8,FALSE),"")</f>
        <v/>
      </c>
      <c r="H705" t="str">
        <f>VLOOKUP(C705,[1]Sheet1!$F:$H,3,FALSE)</f>
        <v>1 c 2102  Whispering Palms CHS Ltd  Lokhandwala Township</v>
      </c>
    </row>
    <row r="706" spans="1:8" x14ac:dyDescent="0.25">
      <c r="A706" t="s">
        <v>67</v>
      </c>
      <c r="B706" t="s">
        <v>746</v>
      </c>
      <c r="C706">
        <v>9821049895</v>
      </c>
      <c r="D706" t="str">
        <f>_xlfn.IFNA(VLOOKUP(C706,CallLog_Latest!A:H,7,FALSE),"Not Called")</f>
        <v>Not Called</v>
      </c>
      <c r="E706" t="str">
        <f>IF(ISNA(VLOOKUP(C706,Registration!A:A,1,FALSE)),"Not Registered","Registered")</f>
        <v>Not Registered</v>
      </c>
      <c r="F706">
        <f>VLOOKUP(A706,Sheet1!A:B,2,FALSE)</f>
        <v>9820251565</v>
      </c>
      <c r="G706" t="str">
        <f>_xlfn.IFNA(VLOOKUP(C706,CallLog_Latest!A:H,8,FALSE),"")</f>
        <v/>
      </c>
      <c r="H706" t="str">
        <f>VLOOKUP(C706,[1]Sheet1!$F:$H,3,FALSE)</f>
        <v>Lokhandwala Township, Akurli X Road</v>
      </c>
    </row>
    <row r="707" spans="1:8" x14ac:dyDescent="0.25">
      <c r="A707" t="s">
        <v>69</v>
      </c>
      <c r="B707" t="s">
        <v>747</v>
      </c>
      <c r="C707">
        <v>9820313050</v>
      </c>
      <c r="D707" t="str">
        <f>_xlfn.IFNA(VLOOKUP(C707,CallLog_Latest!A:H,7,FALSE),"Not Called")</f>
        <v>Not Called</v>
      </c>
      <c r="E707" t="str">
        <f>IF(ISNA(VLOOKUP(C707,Registration!A:A,1,FALSE)),"Not Registered","Registered")</f>
        <v>Not Registered</v>
      </c>
      <c r="F707">
        <f>VLOOKUP(A707,Sheet1!A:B,2,FALSE)</f>
        <v>9968855475</v>
      </c>
      <c r="G707" t="str">
        <f>_xlfn.IFNA(VLOOKUP(C707,CallLog_Latest!A:H,8,FALSE),"")</f>
        <v/>
      </c>
      <c r="H707" t="str">
        <f>VLOOKUP(C707,[1]Sheet1!$F:$H,3,FALSE)</f>
        <v>A-103/106  Shivalya Tower 90 Feet Road  Thakur Complex, Kandivali (E</v>
      </c>
    </row>
    <row r="708" spans="1:8" x14ac:dyDescent="0.25">
      <c r="A708" t="s">
        <v>71</v>
      </c>
      <c r="B708" t="s">
        <v>748</v>
      </c>
      <c r="C708">
        <v>9819110951</v>
      </c>
      <c r="D708" t="str">
        <f>_xlfn.IFNA(VLOOKUP(C708,CallLog_Latest!A:H,7,FALSE),"Not Called")</f>
        <v>Not Called</v>
      </c>
      <c r="E708" t="str">
        <f>IF(ISNA(VLOOKUP(C708,Registration!A:A,1,FALSE)),"Not Registered","Registered")</f>
        <v>Not Registered</v>
      </c>
      <c r="F708">
        <f>VLOOKUP(A708,Sheet1!A:B,2,FALSE)</f>
        <v>9405263833</v>
      </c>
      <c r="G708" t="str">
        <f>_xlfn.IFNA(VLOOKUP(C708,CallLog_Latest!A:H,8,FALSE),"")</f>
        <v/>
      </c>
      <c r="H708" t="str">
        <f>VLOOKUP(C708,[1]Sheet1!$F:$H,3,FALSE)</f>
        <v>103  Shivalya Appartment 90 Feet Road  Thakurcomplex</v>
      </c>
    </row>
    <row r="709" spans="1:8" x14ac:dyDescent="0.25">
      <c r="A709" t="s">
        <v>73</v>
      </c>
      <c r="B709" t="s">
        <v>749</v>
      </c>
      <c r="C709">
        <v>9869397519</v>
      </c>
      <c r="D709" t="str">
        <f>_xlfn.IFNA(VLOOKUP(C709,CallLog_Latest!A:H,7,FALSE),"Not Called")</f>
        <v>Not Reachable</v>
      </c>
      <c r="E709" t="str">
        <f>IF(ISNA(VLOOKUP(C709,Registration!A:A,1,FALSE)),"Not Registered","Registered")</f>
        <v>Not Registered</v>
      </c>
      <c r="F709">
        <f>VLOOKUP(A709,Sheet1!A:B,2,FALSE)</f>
        <v>8879433174</v>
      </c>
      <c r="G709">
        <f>_xlfn.IFNA(VLOOKUP(C709,CallLog_Latest!A:H,8,FALSE),"")</f>
        <v>0</v>
      </c>
      <c r="H709" t="str">
        <f>VLOOKUP(C709,[1]Sheet1!$F:$H,3,FALSE)</f>
        <v>8-B  703  Alika Nagar Lokhandwala Tounship  Aakurli Road</v>
      </c>
    </row>
    <row r="710" spans="1:8" x14ac:dyDescent="0.25">
      <c r="A710" t="s">
        <v>75</v>
      </c>
      <c r="B710" t="s">
        <v>750</v>
      </c>
      <c r="C710">
        <v>9819045884</v>
      </c>
      <c r="D710" t="str">
        <f>_xlfn.IFNA(VLOOKUP(C710,CallLog_Latest!A:H,7,FALSE),"Not Called")</f>
        <v>Not Called</v>
      </c>
      <c r="E710" t="str">
        <f>IF(ISNA(VLOOKUP(C710,Registration!A:A,1,FALSE)),"Not Registered","Registered")</f>
        <v>Not Registered</v>
      </c>
      <c r="F710">
        <f>VLOOKUP(A710,Sheet1!A:B,2,FALSE)</f>
        <v>9993325021</v>
      </c>
      <c r="G710" t="str">
        <f>_xlfn.IFNA(VLOOKUP(C710,CallLog_Latest!A:H,8,FALSE),"")</f>
        <v/>
      </c>
      <c r="H710" t="str">
        <f>VLOOKUP(C710,[1]Sheet1!$F:$H,3,FALSE)</f>
        <v>A-303  Cosmos Valley Of Flowers Thakur Village</v>
      </c>
    </row>
    <row r="711" spans="1:8" x14ac:dyDescent="0.25">
      <c r="A711" t="s">
        <v>12</v>
      </c>
      <c r="B711" t="s">
        <v>751</v>
      </c>
      <c r="C711">
        <v>8779689904</v>
      </c>
      <c r="D711" t="str">
        <f>_xlfn.IFNA(VLOOKUP(C711,CallLog_Latest!A:H,7,FALSE),"Not Called")</f>
        <v>Not Reachable</v>
      </c>
      <c r="E711" t="str">
        <f>IF(ISNA(VLOOKUP(C711,Registration!A:A,1,FALSE)),"Not Registered","Registered")</f>
        <v>Not Registered</v>
      </c>
      <c r="F711">
        <f>VLOOKUP(A711,Sheet1!A:B,2,FALSE)</f>
        <v>9820454734</v>
      </c>
      <c r="G711" t="str">
        <f>_xlfn.IFNA(VLOOKUP(C711,CallLog_Latest!A:H,8,FALSE),"")</f>
        <v>Number not available</v>
      </c>
      <c r="H711" t="str">
        <f>VLOOKUP(C711,[1]Sheet1!$F:$H,3,FALSE)</f>
        <v>Krishna Gokul Garden CHSL., C-605/606,  Thakur Complex, Kandivali (E</v>
      </c>
    </row>
    <row r="712" spans="1:8" x14ac:dyDescent="0.25">
      <c r="A712" t="s">
        <v>78</v>
      </c>
      <c r="B712" t="s">
        <v>752</v>
      </c>
      <c r="C712">
        <v>9920816543</v>
      </c>
      <c r="D712" t="str">
        <f>_xlfn.IFNA(VLOOKUP(C712,CallLog_Latest!A:H,7,FALSE),"Not Called")</f>
        <v>May be Attending</v>
      </c>
      <c r="E712" t="str">
        <f>IF(ISNA(VLOOKUP(C712,Registration!A:A,1,FALSE)),"Not Registered","Registered")</f>
        <v>Not Registered</v>
      </c>
      <c r="F712">
        <f>VLOOKUP(A712,Sheet1!A:B,2,FALSE)</f>
        <v>9029105124</v>
      </c>
      <c r="G712">
        <f>_xlfn.IFNA(VLOOKUP(C712,CallLog_Latest!A:H,8,FALSE),"")</f>
        <v>0</v>
      </c>
      <c r="H712" t="str">
        <f>VLOOKUP(C712,[1]Sheet1!$F:$H,3,FALSE)</f>
        <v>Krishna Gokul Garden CHSL., C-605/606,  Thakur Complex, Kandivali (E</v>
      </c>
    </row>
    <row r="713" spans="1:8" x14ac:dyDescent="0.25">
      <c r="A713" t="s">
        <v>80</v>
      </c>
      <c r="B713" t="s">
        <v>753</v>
      </c>
      <c r="C713">
        <v>9029051390</v>
      </c>
      <c r="D713" t="str">
        <f>_xlfn.IFNA(VLOOKUP(C713,CallLog_Latest!A:H,7,FALSE),"Not Called")</f>
        <v>Not Called</v>
      </c>
      <c r="E713" t="str">
        <f>IF(ISNA(VLOOKUP(C713,Registration!A:A,1,FALSE)),"Not Registered","Registered")</f>
        <v>Not Registered</v>
      </c>
      <c r="F713">
        <f>VLOOKUP(A713,Sheet1!A:B,2,FALSE)</f>
        <v>9599704370</v>
      </c>
      <c r="G713" t="str">
        <f>_xlfn.IFNA(VLOOKUP(C713,CallLog_Latest!A:H,8,FALSE),"")</f>
        <v/>
      </c>
      <c r="H713" t="str">
        <f>VLOOKUP(C713,[1]Sheet1!$F:$H,3,FALSE)</f>
        <v>Barkha Bahar CHS, A/32 Near Videocon Tower, Thakur Complex, Kandivali (E</v>
      </c>
    </row>
    <row r="714" spans="1:8" x14ac:dyDescent="0.25">
      <c r="A714" t="s">
        <v>82</v>
      </c>
      <c r="B714" t="s">
        <v>754</v>
      </c>
      <c r="C714">
        <v>9920425307</v>
      </c>
      <c r="D714" t="str">
        <f>_xlfn.IFNA(VLOOKUP(C714,CallLog_Latest!A:H,7,FALSE),"Not Called")</f>
        <v>Not Reachable</v>
      </c>
      <c r="E714" t="str">
        <f>IF(ISNA(VLOOKUP(C714,Registration!A:A,1,FALSE)),"Not Registered","Registered")</f>
        <v>Not Registered</v>
      </c>
      <c r="F714">
        <f>VLOOKUP(A714,Sheet1!A:B,2,FALSE)</f>
        <v>9824100412</v>
      </c>
      <c r="G714" t="str">
        <f>_xlfn.IFNA(VLOOKUP(C714,CallLog_Latest!A:H,8,FALSE),"")</f>
        <v>Didn't pick up phone</v>
      </c>
      <c r="H714" t="str">
        <f>VLOOKUP(C714,[1]Sheet1!$F:$H,3,FALSE)</f>
        <v>C- 205, Gayetri Satsang, Near Vishnu Shivam Mall Thakur Village , Kandivali (E</v>
      </c>
    </row>
    <row r="715" spans="1:8" x14ac:dyDescent="0.25">
      <c r="A715" t="s">
        <v>84</v>
      </c>
      <c r="B715" t="s">
        <v>755</v>
      </c>
      <c r="C715">
        <v>9414069059</v>
      </c>
      <c r="D715" t="str">
        <f>_xlfn.IFNA(VLOOKUP(C715,CallLog_Latest!A:H,7,FALSE),"Not Called")</f>
        <v>Not Coming</v>
      </c>
      <c r="E715" t="str">
        <f>IF(ISNA(VLOOKUP(C715,Registration!A:A,1,FALSE)),"Not Registered","Registered")</f>
        <v>Not Registered</v>
      </c>
      <c r="F715">
        <f>VLOOKUP(A715,Sheet1!A:B,2,FALSE)</f>
        <v>9225211083</v>
      </c>
      <c r="G715" t="str">
        <f>_xlfn.IFNA(VLOOKUP(C715,CallLog_Latest!A:H,8,FALSE),"")</f>
        <v>Out of town</v>
      </c>
      <c r="H715" t="str">
        <f>VLOOKUP(C715,[1]Sheet1!$F:$H,3,FALSE)</f>
        <v>30-203  E.M.P. Ph - 2  Thakur Village  Kandivali ( E</v>
      </c>
    </row>
    <row r="716" spans="1:8" x14ac:dyDescent="0.25">
      <c r="A716" t="s">
        <v>86</v>
      </c>
      <c r="B716" t="s">
        <v>756</v>
      </c>
      <c r="C716">
        <v>9892329991</v>
      </c>
      <c r="D716" t="str">
        <f>_xlfn.IFNA(VLOOKUP(C716,CallLog_Latest!A:H,7,FALSE),"Not Called")</f>
        <v>Not Called</v>
      </c>
      <c r="E716" t="str">
        <f>IF(ISNA(VLOOKUP(C716,Registration!A:A,1,FALSE)),"Not Registered","Registered")</f>
        <v>Not Registered</v>
      </c>
      <c r="F716">
        <f>VLOOKUP(A716,Sheet1!A:B,2,FALSE)</f>
        <v>9930252076</v>
      </c>
      <c r="G716" t="str">
        <f>_xlfn.IFNA(VLOOKUP(C716,CallLog_Latest!A:H,8,FALSE),"")</f>
        <v/>
      </c>
      <c r="H716" t="str">
        <f>VLOOKUP(C716,[1]Sheet1!$F:$H,3,FALSE)</f>
        <v>Flat No. 805, Tower No. 3, Kanakia Challengers Chs. Ltd, Thakur Village, Kandivali (E</v>
      </c>
    </row>
    <row r="717" spans="1:8" x14ac:dyDescent="0.25">
      <c r="A717" t="s">
        <v>88</v>
      </c>
      <c r="B717" t="s">
        <v>757</v>
      </c>
      <c r="C717">
        <v>8080477051</v>
      </c>
      <c r="D717" t="str">
        <f>_xlfn.IFNA(VLOOKUP(C717,CallLog_Latest!A:H,7,FALSE),"Not Called")</f>
        <v>Not Called</v>
      </c>
      <c r="E717" t="str">
        <f>IF(ISNA(VLOOKUP(C717,Registration!A:A,1,FALSE)),"Not Registered","Registered")</f>
        <v>Not Registered</v>
      </c>
      <c r="F717">
        <f>VLOOKUP(A717,Sheet1!A:B,2,FALSE)</f>
        <v>9661270782</v>
      </c>
      <c r="G717" t="str">
        <f>_xlfn.IFNA(VLOOKUP(C717,CallLog_Latest!A:H,8,FALSE),"")</f>
        <v/>
      </c>
      <c r="H717" t="str">
        <f>VLOOKUP(C717,[1]Sheet1!$F:$H,3,FALSE)</f>
        <v>D-402  GOKUL HORIZEN CHS  JIVLA PADA HAKUR VILLAGE</v>
      </c>
    </row>
    <row r="718" spans="1:8" x14ac:dyDescent="0.25">
      <c r="A718" t="s">
        <v>90</v>
      </c>
      <c r="B718" t="s">
        <v>758</v>
      </c>
      <c r="C718">
        <v>8692930700</v>
      </c>
      <c r="D718" t="str">
        <f>_xlfn.IFNA(VLOOKUP(C718,CallLog_Latest!A:H,7,FALSE),"Not Called")</f>
        <v>Not Called</v>
      </c>
      <c r="E718" t="str">
        <f>IF(ISNA(VLOOKUP(C718,Registration!A:A,1,FALSE)),"Not Registered","Registered")</f>
        <v>Not Registered</v>
      </c>
      <c r="F718">
        <f>VLOOKUP(A718,Sheet1!A:B,2,FALSE)</f>
        <v>9819128389</v>
      </c>
      <c r="G718" t="str">
        <f>_xlfn.IFNA(VLOOKUP(C718,CallLog_Latest!A:H,8,FALSE),"")</f>
        <v/>
      </c>
      <c r="H718" t="str">
        <f>VLOOKUP(C718,[1]Sheet1!$F:$H,3,FALSE)</f>
        <v>2d /207  Ng Suncity Phase II Farid Estate Thakur Village, Kandivali (E</v>
      </c>
    </row>
    <row r="719" spans="1:8" x14ac:dyDescent="0.25">
      <c r="A719" t="s">
        <v>92</v>
      </c>
      <c r="B719" t="s">
        <v>759</v>
      </c>
      <c r="C719">
        <v>7738254854</v>
      </c>
      <c r="D719" t="str">
        <f>_xlfn.IFNA(VLOOKUP(C719,CallLog_Latest!A:H,7,FALSE),"Not Called")</f>
        <v>Not Called</v>
      </c>
      <c r="E719" t="str">
        <f>IF(ISNA(VLOOKUP(C719,Registration!A:A,1,FALSE)),"Not Registered","Registered")</f>
        <v>Not Registered</v>
      </c>
      <c r="F719">
        <f>VLOOKUP(A719,Sheet1!A:B,2,FALSE)</f>
        <v>8268665777</v>
      </c>
      <c r="G719" t="str">
        <f>_xlfn.IFNA(VLOOKUP(C719,CallLog_Latest!A:H,8,FALSE),"")</f>
        <v/>
      </c>
      <c r="H719" t="str">
        <f>VLOOKUP(C719,[1]Sheet1!$F:$H,3,FALSE)</f>
        <v>Flat No. 1404, Tower No. 3, Challengers CHS, Thakur Village, Kandivali (East Flat No. 1404, Tower No. 3, Challengers CHS, Thakur Village, Kandivali (East</v>
      </c>
    </row>
    <row r="720" spans="1:8" x14ac:dyDescent="0.25">
      <c r="A720" t="s">
        <v>94</v>
      </c>
      <c r="B720" t="s">
        <v>760</v>
      </c>
      <c r="C720">
        <v>9929590248</v>
      </c>
      <c r="D720" t="str">
        <f>_xlfn.IFNA(VLOOKUP(C720,CallLog_Latest!A:H,7,FALSE),"Not Called")</f>
        <v>Not Called</v>
      </c>
      <c r="E720" t="str">
        <f>IF(ISNA(VLOOKUP(C720,Registration!A:A,1,FALSE)),"Not Registered","Registered")</f>
        <v>Not Registered</v>
      </c>
      <c r="F720">
        <f>VLOOKUP(A720,Sheet1!A:B,2,FALSE)</f>
        <v>9920085455</v>
      </c>
      <c r="G720" t="str">
        <f>_xlfn.IFNA(VLOOKUP(C720,CallLog_Latest!A:H,8,FALSE),"")</f>
        <v/>
      </c>
      <c r="H720" t="str">
        <f>VLOOKUP(C720,[1]Sheet1!$F:$H,3,FALSE)</f>
        <v>Cosmos B-Wing  602  Gundachaj Valley Of Flowers Thakur Village Kandivali (E</v>
      </c>
    </row>
    <row r="721" spans="1:8" x14ac:dyDescent="0.25">
      <c r="A721" t="s">
        <v>96</v>
      </c>
      <c r="B721" t="s">
        <v>761</v>
      </c>
      <c r="C721">
        <v>9322896944</v>
      </c>
      <c r="D721" t="str">
        <f>_xlfn.IFNA(VLOOKUP(C721,CallLog_Latest!A:H,7,FALSE),"Not Called")</f>
        <v>May be Attending</v>
      </c>
      <c r="E721" t="str">
        <f>IF(ISNA(VLOOKUP(C721,Registration!A:A,1,FALSE)),"Not Registered","Registered")</f>
        <v>Not Registered</v>
      </c>
      <c r="F721">
        <f>VLOOKUP(A721,Sheet1!A:B,2,FALSE)</f>
        <v>9424584007</v>
      </c>
      <c r="G721" t="str">
        <f>_xlfn.IFNA(VLOOKUP(C721,CallLog_Latest!A:H,8,FALSE),"")</f>
        <v>Daughter in law might attend</v>
      </c>
      <c r="H721" t="str">
        <f>VLOOKUP(C721,[1]Sheet1!$F:$H,3,FALSE)</f>
        <v>D-202/203 Gokul Accord Thakur Compex, Kandivali (E</v>
      </c>
    </row>
    <row r="722" spans="1:8" x14ac:dyDescent="0.25">
      <c r="A722" t="s">
        <v>3</v>
      </c>
      <c r="B722" t="s">
        <v>762</v>
      </c>
      <c r="C722">
        <v>9892864444</v>
      </c>
      <c r="D722" t="str">
        <f>_xlfn.IFNA(VLOOKUP(C722,CallLog_Latest!A:H,7,FALSE),"Not Called")</f>
        <v>Not Called</v>
      </c>
      <c r="E722" t="str">
        <f>IF(ISNA(VLOOKUP(C722,Registration!A:A,1,FALSE)),"Not Registered","Registered")</f>
        <v>Not Registered</v>
      </c>
      <c r="F722">
        <f>VLOOKUP(A722,Sheet1!A:B,2,FALSE)</f>
        <v>9326379737</v>
      </c>
      <c r="G722" t="str">
        <f>_xlfn.IFNA(VLOOKUP(C722,CallLog_Latest!A:H,8,FALSE),"")</f>
        <v/>
      </c>
      <c r="H722" t="str">
        <f>VLOOKUP(C722,[1]Sheet1!$F:$H,3,FALSE)</f>
        <v>G-1304  Octacrest CHS  Lokhandwala Township  Akurli Road</v>
      </c>
    </row>
    <row r="723" spans="1:8" x14ac:dyDescent="0.25">
      <c r="A723" t="s">
        <v>5</v>
      </c>
      <c r="B723" t="s">
        <v>763</v>
      </c>
      <c r="C723">
        <v>9829790501</v>
      </c>
      <c r="D723" t="str">
        <f>_xlfn.IFNA(VLOOKUP(C723,CallLog_Latest!A:H,7,FALSE),"Not Called")</f>
        <v>Not Called</v>
      </c>
      <c r="E723" t="str">
        <f>IF(ISNA(VLOOKUP(C723,Registration!A:A,1,FALSE)),"Not Registered","Registered")</f>
        <v>Not Registered</v>
      </c>
      <c r="F723">
        <f>VLOOKUP(A723,Sheet1!A:B,2,FALSE)</f>
        <v>9323541634</v>
      </c>
      <c r="G723" t="str">
        <f>_xlfn.IFNA(VLOOKUP(C723,CallLog_Latest!A:H,8,FALSE),"")</f>
        <v/>
      </c>
      <c r="H723" t="str">
        <f>VLOOKUP(C723,[1]Sheet1!$F:$H,3,FALSE)</f>
        <v>C -502  Shraddha Building Asha Nagar,   Kandivali (E</v>
      </c>
    </row>
    <row r="724" spans="1:8" x14ac:dyDescent="0.25">
      <c r="A724" t="s">
        <v>7</v>
      </c>
      <c r="B724" t="s">
        <v>764</v>
      </c>
      <c r="C724">
        <v>8383088008</v>
      </c>
      <c r="D724" t="str">
        <f>_xlfn.IFNA(VLOOKUP(C724,CallLog_Latest!A:H,7,FALSE),"Not Called")</f>
        <v>Not Called</v>
      </c>
      <c r="E724" t="str">
        <f>IF(ISNA(VLOOKUP(C724,Registration!A:A,1,FALSE)),"Not Registered","Registered")</f>
        <v>Registered</v>
      </c>
      <c r="F724">
        <f>VLOOKUP(A724,Sheet1!A:B,2,FALSE)</f>
        <v>9867015031</v>
      </c>
      <c r="G724" t="str">
        <f>_xlfn.IFNA(VLOOKUP(C724,CallLog_Latest!A:H,8,FALSE),"")</f>
        <v/>
      </c>
      <c r="H724" t="str">
        <f>VLOOKUP(C724,[1]Sheet1!$F:$H,3,FALSE)</f>
        <v>203-A, Parijat  90 Feet Road, Poonam Complex, Thakur Complex, Kandivali (E</v>
      </c>
    </row>
    <row r="725" spans="1:8" x14ac:dyDescent="0.25">
      <c r="A725" t="s">
        <v>9</v>
      </c>
      <c r="B725" t="s">
        <v>765</v>
      </c>
      <c r="C725">
        <v>9324564402</v>
      </c>
      <c r="D725" t="str">
        <f>_xlfn.IFNA(VLOOKUP(C725,CallLog_Latest!A:H,7,FALSE),"Not Called")</f>
        <v>Not Called</v>
      </c>
      <c r="E725" t="str">
        <f>IF(ISNA(VLOOKUP(C725,Registration!A:A,1,FALSE)),"Not Registered","Registered")</f>
        <v>Not Registered</v>
      </c>
      <c r="F725">
        <f>VLOOKUP(A725,Sheet1!A:B,2,FALSE)</f>
        <v>9821268271</v>
      </c>
      <c r="G725" t="str">
        <f>_xlfn.IFNA(VLOOKUP(C725,CallLog_Latest!A:H,8,FALSE),"")</f>
        <v/>
      </c>
      <c r="H725" t="str">
        <f>VLOOKUP(C725,[1]Sheet1!$F:$H,3,FALSE)</f>
        <v>D/202-201  Gokul Accord Thakur Complex , Kandivali (E</v>
      </c>
    </row>
    <row r="726" spans="1:8" x14ac:dyDescent="0.25">
      <c r="A726" t="s">
        <v>11</v>
      </c>
      <c r="B726" t="s">
        <v>766</v>
      </c>
      <c r="C726">
        <v>9322694897</v>
      </c>
      <c r="D726" t="str">
        <f>_xlfn.IFNA(VLOOKUP(C726,CallLog_Latest!A:H,7,FALSE),"Not Called")</f>
        <v>Not Called</v>
      </c>
      <c r="E726" t="str">
        <f>IF(ISNA(VLOOKUP(C726,Registration!A:A,1,FALSE)),"Not Registered","Registered")</f>
        <v>Not Registered</v>
      </c>
      <c r="F726">
        <f>VLOOKUP(A726,Sheet1!A:B,2,FALSE)</f>
        <v>9322598681</v>
      </c>
      <c r="G726" t="str">
        <f>_xlfn.IFNA(VLOOKUP(C726,CallLog_Latest!A:H,8,FALSE),"")</f>
        <v/>
      </c>
      <c r="H726" t="str">
        <f>VLOOKUP(C726,[1]Sheet1!$F:$H,3,FALSE)</f>
        <v>E-203 / 204, Gokul Residency Thakur Village, Opp.  Oberoi Garden Tower, Kandivali (E</v>
      </c>
    </row>
    <row r="727" spans="1:8" x14ac:dyDescent="0.25">
      <c r="A727" t="s">
        <v>13</v>
      </c>
      <c r="B727" t="s">
        <v>767</v>
      </c>
      <c r="C727">
        <v>9833004194</v>
      </c>
      <c r="D727" t="str">
        <f>_xlfn.IFNA(VLOOKUP(C727,CallLog_Latest!A:H,7,FALSE),"Not Called")</f>
        <v>Not Called</v>
      </c>
      <c r="E727" t="str">
        <f>IF(ISNA(VLOOKUP(C727,Registration!A:A,1,FALSE)),"Not Registered","Registered")</f>
        <v>Not Registered</v>
      </c>
      <c r="F727">
        <f>VLOOKUP(A727,Sheet1!A:B,2,FALSE)</f>
        <v>9969403870</v>
      </c>
      <c r="G727" t="str">
        <f>_xlfn.IFNA(VLOOKUP(C727,CallLog_Latest!A:H,8,FALSE),"")</f>
        <v/>
      </c>
      <c r="H727" t="str">
        <f>VLOOKUP(C727,[1]Sheet1!$F:$H,3,FALSE)</f>
        <v>C-401  Gundecha Trillium Thakur Village Kandivali East</v>
      </c>
    </row>
    <row r="728" spans="1:8" x14ac:dyDescent="0.25">
      <c r="A728" t="s">
        <v>15</v>
      </c>
      <c r="B728" t="s">
        <v>768</v>
      </c>
      <c r="C728">
        <v>9820477296</v>
      </c>
      <c r="D728" t="str">
        <f>_xlfn.IFNA(VLOOKUP(C728,CallLog_Latest!A:H,7,FALSE),"Not Called")</f>
        <v>Not Called</v>
      </c>
      <c r="E728" t="str">
        <f>IF(ISNA(VLOOKUP(C728,Registration!A:A,1,FALSE)),"Not Registered","Registered")</f>
        <v>Not Registered</v>
      </c>
      <c r="F728">
        <f>VLOOKUP(A728,Sheet1!A:B,2,FALSE)</f>
        <v>9892726278</v>
      </c>
      <c r="G728" t="str">
        <f>_xlfn.IFNA(VLOOKUP(C728,CallLog_Latest!A:H,8,FALSE),"")</f>
        <v/>
      </c>
      <c r="H728" t="str">
        <f>VLOOKUP(C728,[1]Sheet1!$F:$H,3,FALSE)</f>
        <v>Sierra Tower, B/1205/06  1702 Whispering Palms, Lokhandwala Township, Kandivali (E</v>
      </c>
    </row>
    <row r="729" spans="1:8" x14ac:dyDescent="0.25">
      <c r="A729" t="s">
        <v>17</v>
      </c>
      <c r="B729" t="s">
        <v>769</v>
      </c>
      <c r="C729">
        <v>9082360561</v>
      </c>
      <c r="D729" t="str">
        <f>_xlfn.IFNA(VLOOKUP(C729,CallLog_Latest!A:H,7,FALSE),"Not Called")</f>
        <v>Confirmed Presence ✅</v>
      </c>
      <c r="E729" t="str">
        <f>IF(ISNA(VLOOKUP(C729,Registration!A:A,1,FALSE)),"Not Registered","Registered")</f>
        <v>Not Registered</v>
      </c>
      <c r="F729">
        <f>VLOOKUP(A729,Sheet1!A:B,2,FALSE)</f>
        <v>9869798705</v>
      </c>
      <c r="G729">
        <f>_xlfn.IFNA(VLOOKUP(C729,CallLog_Latest!A:H,8,FALSE),"")</f>
        <v>0</v>
      </c>
      <c r="H729" t="str">
        <f>VLOOKUP(C729,[1]Sheet1!$F:$H,3,FALSE)</f>
        <v>D- 202/201 Gokul Accord</v>
      </c>
    </row>
    <row r="730" spans="1:8" x14ac:dyDescent="0.25">
      <c r="A730" t="s">
        <v>19</v>
      </c>
      <c r="B730" t="s">
        <v>770</v>
      </c>
      <c r="C730">
        <v>9869064553</v>
      </c>
      <c r="D730" t="str">
        <f>_xlfn.IFNA(VLOOKUP(C730,CallLog_Latest!A:H,7,FALSE),"Not Called")</f>
        <v>Not Called</v>
      </c>
      <c r="E730" t="str">
        <f>IF(ISNA(VLOOKUP(C730,Registration!A:A,1,FALSE)),"Not Registered","Registered")</f>
        <v>Registered</v>
      </c>
      <c r="F730">
        <f>VLOOKUP(A730,Sheet1!A:B,2,FALSE)</f>
        <v>9820265640</v>
      </c>
      <c r="G730" t="str">
        <f>_xlfn.IFNA(VLOOKUP(C730,CallLog_Latest!A:H,8,FALSE),"")</f>
        <v/>
      </c>
      <c r="H730" t="str">
        <f>VLOOKUP(C730,[1]Sheet1!$F:$H,3,FALSE)</f>
        <v>307 SUR, Veena Saaz, Thakur Complex, Kandivali (E</v>
      </c>
    </row>
    <row r="731" spans="1:8" x14ac:dyDescent="0.25">
      <c r="A731" t="s">
        <v>21</v>
      </c>
      <c r="B731" t="s">
        <v>771</v>
      </c>
      <c r="C731">
        <v>9820894257</v>
      </c>
      <c r="D731" t="str">
        <f>_xlfn.IFNA(VLOOKUP(C731,CallLog_Latest!A:H,7,FALSE),"Not Called")</f>
        <v>Not Called</v>
      </c>
      <c r="E731" t="str">
        <f>IF(ISNA(VLOOKUP(C731,Registration!A:A,1,FALSE)),"Not Registered","Registered")</f>
        <v>Not Registered</v>
      </c>
      <c r="F731">
        <f>VLOOKUP(A731,Sheet1!A:B,2,FALSE)</f>
        <v>9820636392</v>
      </c>
      <c r="G731" t="str">
        <f>_xlfn.IFNA(VLOOKUP(C731,CallLog_Latest!A:H,8,FALSE),"")</f>
        <v/>
      </c>
      <c r="H731" t="str">
        <f>VLOOKUP(C731,[1]Sheet1!$F:$H,3,FALSE)</f>
        <v>9/702  Kanakia Sanskruti 90 Feet Road Opp.Lawrence School  Thakur Complex</v>
      </c>
    </row>
    <row r="732" spans="1:8" x14ac:dyDescent="0.25">
      <c r="A732" t="s">
        <v>23</v>
      </c>
      <c r="B732" t="s">
        <v>772</v>
      </c>
      <c r="C732">
        <v>9821111757</v>
      </c>
      <c r="D732" t="str">
        <f>_xlfn.IFNA(VLOOKUP(C732,CallLog_Latest!A:H,7,FALSE),"Not Called")</f>
        <v>Not Called</v>
      </c>
      <c r="E732" t="str">
        <f>IF(ISNA(VLOOKUP(C732,Registration!A:A,1,FALSE)),"Not Registered","Registered")</f>
        <v>Not Registered</v>
      </c>
      <c r="F732">
        <f>VLOOKUP(A732,Sheet1!A:B,2,FALSE)</f>
        <v>7977439717</v>
      </c>
      <c r="G732" t="str">
        <f>_xlfn.IFNA(VLOOKUP(C732,CallLog_Latest!A:H,8,FALSE),"")</f>
        <v/>
      </c>
      <c r="H732" t="str">
        <f>VLOOKUP(C732,[1]Sheet1!$F:$H,3,FALSE)</f>
        <v>Baronet Bldg., A/104  Lokhandwala Township, Akurli Road, Kandivali (E</v>
      </c>
    </row>
    <row r="733" spans="1:8" x14ac:dyDescent="0.25">
      <c r="A733" t="s">
        <v>25</v>
      </c>
      <c r="B733" t="s">
        <v>773</v>
      </c>
      <c r="C733">
        <v>9920442374</v>
      </c>
      <c r="D733" t="str">
        <f>_xlfn.IFNA(VLOOKUP(C733,CallLog_Latest!A:H,7,FALSE),"Not Called")</f>
        <v>Not Called</v>
      </c>
      <c r="E733" t="str">
        <f>IF(ISNA(VLOOKUP(C733,Registration!A:A,1,FALSE)),"Not Registered","Registered")</f>
        <v>Not Registered</v>
      </c>
      <c r="F733">
        <f>VLOOKUP(A733,Sheet1!A:B,2,FALSE)</f>
        <v>9967045520</v>
      </c>
      <c r="G733" t="str">
        <f>_xlfn.IFNA(VLOOKUP(C733,CallLog_Latest!A:H,8,FALSE),"")</f>
        <v/>
      </c>
      <c r="H733" t="str">
        <f>VLOOKUP(C733,[1]Sheet1!$F:$H,3,FALSE)</f>
        <v>Raheja Eternity, C-1504 Thakur Village, Kandivali (E</v>
      </c>
    </row>
    <row r="734" spans="1:8" x14ac:dyDescent="0.25">
      <c r="A734" t="s">
        <v>27</v>
      </c>
      <c r="B734" t="s">
        <v>774</v>
      </c>
      <c r="C734">
        <v>9167669682</v>
      </c>
      <c r="D734" t="str">
        <f>_xlfn.IFNA(VLOOKUP(C734,CallLog_Latest!A:H,7,FALSE),"Not Called")</f>
        <v>Not Called</v>
      </c>
      <c r="E734" t="str">
        <f>IF(ISNA(VLOOKUP(C734,Registration!A:A,1,FALSE)),"Not Registered","Registered")</f>
        <v>Not Registered</v>
      </c>
      <c r="F734">
        <f>VLOOKUP(A734,Sheet1!A:B,2,FALSE)</f>
        <v>9820075931</v>
      </c>
      <c r="G734" t="str">
        <f>_xlfn.IFNA(VLOOKUP(C734,CallLog_Latest!A:H,8,FALSE),"")</f>
        <v/>
      </c>
      <c r="H734" t="str">
        <f>VLOOKUP(C734,[1]Sheet1!$F:$H,3,FALSE)</f>
        <v>A-403  Ganga  Vasant Sagar  Thakur Village</v>
      </c>
    </row>
    <row r="735" spans="1:8" x14ac:dyDescent="0.25">
      <c r="A735" t="s">
        <v>29</v>
      </c>
      <c r="B735" t="s">
        <v>775</v>
      </c>
      <c r="C735">
        <v>9820049848</v>
      </c>
      <c r="D735" t="str">
        <f>_xlfn.IFNA(VLOOKUP(C735,CallLog_Latest!A:H,7,FALSE),"Not Called")</f>
        <v>Not Called</v>
      </c>
      <c r="E735" t="str">
        <f>IF(ISNA(VLOOKUP(C735,Registration!A:A,1,FALSE)),"Not Registered","Registered")</f>
        <v>Not Registered</v>
      </c>
      <c r="F735">
        <f>VLOOKUP(A735,Sheet1!A:B,2,FALSE)</f>
        <v>9819364345</v>
      </c>
      <c r="G735" t="str">
        <f>_xlfn.IFNA(VLOOKUP(C735,CallLog_Latest!A:H,8,FALSE),"")</f>
        <v/>
      </c>
      <c r="H735" t="str">
        <f>VLOOKUP(C735,[1]Sheet1!$F:$H,3,FALSE)</f>
        <v>Octacrest, 901 -A Wing,  Lokhandwala Township, Kandivali (E</v>
      </c>
    </row>
    <row r="736" spans="1:8" x14ac:dyDescent="0.25">
      <c r="A736" t="s">
        <v>31</v>
      </c>
      <c r="B736" t="s">
        <v>776</v>
      </c>
      <c r="C736">
        <v>9821070860</v>
      </c>
      <c r="D736" t="str">
        <f>_xlfn.IFNA(VLOOKUP(C736,CallLog_Latest!A:H,7,FALSE),"Not Called")</f>
        <v>Confirmed Presence</v>
      </c>
      <c r="E736" t="str">
        <f>IF(ISNA(VLOOKUP(C736,Registration!A:A,1,FALSE)),"Not Registered","Registered")</f>
        <v>Not Registered</v>
      </c>
      <c r="F736">
        <f>VLOOKUP(A736,Sheet1!A:B,2,FALSE)</f>
        <v>9869064553</v>
      </c>
      <c r="G736">
        <f>_xlfn.IFNA(VLOOKUP(C736,CallLog_Latest!A:H,8,FALSE),"")</f>
        <v>0</v>
      </c>
      <c r="H736" t="str">
        <f>VLOOKUP(C736,[1]Sheet1!$F:$H,3,FALSE)</f>
        <v>A-1801, Oberoi Garden CHS Thakur Village Off Western Express Highway Kandivali (E .</v>
      </c>
    </row>
    <row r="737" spans="1:8" x14ac:dyDescent="0.25">
      <c r="A737" t="s">
        <v>33</v>
      </c>
      <c r="B737" t="s">
        <v>777</v>
      </c>
      <c r="C737">
        <v>9223427892</v>
      </c>
      <c r="D737" t="str">
        <f>_xlfn.IFNA(VLOOKUP(C737,CallLog_Latest!A:H,7,FALSE),"Not Called")</f>
        <v>Not Reachable</v>
      </c>
      <c r="E737" t="str">
        <f>IF(ISNA(VLOOKUP(C737,Registration!A:A,1,FALSE)),"Not Registered","Registered")</f>
        <v>Not Registered</v>
      </c>
      <c r="F737">
        <f>VLOOKUP(A737,Sheet1!A:B,2,FALSE)</f>
        <v>9930070116</v>
      </c>
      <c r="G737" t="str">
        <f>_xlfn.IFNA(VLOOKUP(C737,CallLog_Latest!A:H,8,FALSE),"")</f>
        <v>Phone no is not in use</v>
      </c>
      <c r="H737" t="str">
        <f>VLOOKUP(C737,[1]Sheet1!$F:$H,3,FALSE)</f>
        <v>A/804 Vasant Smruti  Thakur Complex 90 Ft.Road  Opp Saint Lawrence High School</v>
      </c>
    </row>
    <row r="738" spans="1:8" x14ac:dyDescent="0.25">
      <c r="A738" t="s">
        <v>35</v>
      </c>
      <c r="B738" t="s">
        <v>778</v>
      </c>
      <c r="C738">
        <v>9815222337</v>
      </c>
      <c r="D738" t="str">
        <f>_xlfn.IFNA(VLOOKUP(C738,CallLog_Latest!A:H,7,FALSE),"Not Called")</f>
        <v>Not Reachable</v>
      </c>
      <c r="E738" t="str">
        <f>IF(ISNA(VLOOKUP(C738,Registration!A:A,1,FALSE)),"Not Registered","Registered")</f>
        <v>Not Registered</v>
      </c>
      <c r="F738">
        <f>VLOOKUP(A738,Sheet1!A:B,2,FALSE)</f>
        <v>9833705425</v>
      </c>
      <c r="G738" t="str">
        <f>_xlfn.IFNA(VLOOKUP(C738,CallLog_Latest!A:H,8,FALSE),"")</f>
        <v>Seems incorrect number</v>
      </c>
      <c r="H738" t="str">
        <f>VLOOKUP(C738,[1]Sheet1!$F:$H,3,FALSE)</f>
        <v>A - 1101  Silver Leaf  Near Growels Mall Akruli Raod</v>
      </c>
    </row>
    <row r="739" spans="1:8" x14ac:dyDescent="0.25">
      <c r="A739" t="s">
        <v>37</v>
      </c>
      <c r="B739" t="s">
        <v>779</v>
      </c>
      <c r="C739">
        <v>9820899735</v>
      </c>
      <c r="D739" t="str">
        <f>_xlfn.IFNA(VLOOKUP(C739,CallLog_Latest!A:H,7,FALSE),"Not Called")</f>
        <v>Not Called</v>
      </c>
      <c r="E739" t="str">
        <f>IF(ISNA(VLOOKUP(C739,Registration!A:A,1,FALSE)),"Not Registered","Registered")</f>
        <v>Not Registered</v>
      </c>
      <c r="F739">
        <f>VLOOKUP(A739,Sheet1!A:B,2,FALSE)</f>
        <v>9167390835</v>
      </c>
      <c r="G739" t="str">
        <f>_xlfn.IFNA(VLOOKUP(C739,CallLog_Latest!A:H,8,FALSE),"")</f>
        <v/>
      </c>
      <c r="H739" t="str">
        <f>VLOOKUP(C739,[1]Sheet1!$F:$H,3,FALSE)</f>
        <v>411  Taal Veena Saaz  Videocon Tower Thakur Complex</v>
      </c>
    </row>
    <row r="740" spans="1:8" x14ac:dyDescent="0.25">
      <c r="A740" t="s">
        <v>39</v>
      </c>
      <c r="B740" t="s">
        <v>780</v>
      </c>
      <c r="C740">
        <v>9892686153</v>
      </c>
      <c r="D740" t="str">
        <f>_xlfn.IFNA(VLOOKUP(C740,CallLog_Latest!A:H,7,FALSE),"Not Called")</f>
        <v>Confirmed Presence</v>
      </c>
      <c r="E740" t="str">
        <f>IF(ISNA(VLOOKUP(C740,Registration!A:A,1,FALSE)),"Not Registered","Registered")</f>
        <v>Not Registered</v>
      </c>
      <c r="F740">
        <f>VLOOKUP(A740,Sheet1!A:B,2,FALSE)</f>
        <v>9820505363</v>
      </c>
      <c r="G740" t="str">
        <f>_xlfn.IFNA(VLOOKUP(C740,CallLog_Latest!A:H,8,FALSE),"")</f>
        <v>Will register</v>
      </c>
      <c r="H740">
        <f>VLOOKUP(C740,[1]Sheet1!$F:$H,3,FALSE)</f>
        <v>0</v>
      </c>
    </row>
    <row r="741" spans="1:8" x14ac:dyDescent="0.25">
      <c r="A741" t="s">
        <v>41</v>
      </c>
      <c r="B741" t="s">
        <v>781</v>
      </c>
      <c r="C741">
        <v>9324051973</v>
      </c>
      <c r="D741" t="str">
        <f>_xlfn.IFNA(VLOOKUP(C741,CallLog_Latest!A:H,7,FALSE),"Not Called")</f>
        <v>Not Coming</v>
      </c>
      <c r="E741" t="str">
        <f>IF(ISNA(VLOOKUP(C741,Registration!A:A,1,FALSE)),"Not Registered","Registered")</f>
        <v>Not Registered</v>
      </c>
      <c r="F741">
        <f>VLOOKUP(A741,Sheet1!A:B,2,FALSE)</f>
        <v>8058973809</v>
      </c>
      <c r="G741">
        <f>_xlfn.IFNA(VLOOKUP(C741,CallLog_Latest!A:H,8,FALSE),"")</f>
        <v>0</v>
      </c>
      <c r="H741" t="str">
        <f>VLOOKUP(C741,[1]Sheet1!$F:$H,3,FALSE)</f>
        <v>Unnat Nagar Road No 1 Goregaon West</v>
      </c>
    </row>
    <row r="742" spans="1:8" x14ac:dyDescent="0.25">
      <c r="A742" t="s">
        <v>782</v>
      </c>
      <c r="B742" t="s">
        <v>783</v>
      </c>
      <c r="C742">
        <v>7208190170</v>
      </c>
      <c r="D742" t="str">
        <f>_xlfn.IFNA(VLOOKUP(C742,CallLog_Latest!A:H,7,FALSE),"Not Called")</f>
        <v>Not Called</v>
      </c>
      <c r="E742" t="str">
        <f>IF(ISNA(VLOOKUP(C742,Registration!A:A,1,FALSE)),"Not Registered","Registered")</f>
        <v>Not Registered</v>
      </c>
      <c r="F742">
        <f>VLOOKUP(A742,Sheet1!A:B,2,FALSE)</f>
        <v>9819004363</v>
      </c>
      <c r="G742" t="str">
        <f>_xlfn.IFNA(VLOOKUP(C742,CallLog_Latest!A:H,8,FALSE),"")</f>
        <v/>
      </c>
      <c r="H742" t="str">
        <f>VLOOKUP(C742,[1]Sheet1!$F:$H,3,FALSE)</f>
        <v>Galaxy Apartment B/205   Mith Chowki, Marve Road, Malad (W</v>
      </c>
    </row>
    <row r="743" spans="1:8" x14ac:dyDescent="0.25">
      <c r="A743" t="s">
        <v>784</v>
      </c>
      <c r="B743" t="s">
        <v>785</v>
      </c>
      <c r="C743">
        <v>9930396192</v>
      </c>
      <c r="D743" t="str">
        <f>_xlfn.IFNA(VLOOKUP(C743,CallLog_Latest!A:H,7,FALSE),"Not Called")</f>
        <v>Not Called</v>
      </c>
      <c r="E743" t="str">
        <f>IF(ISNA(VLOOKUP(C743,Registration!A:A,1,FALSE)),"Not Registered","Registered")</f>
        <v>Not Registered</v>
      </c>
      <c r="F743">
        <f>VLOOKUP(A743,Sheet1!A:B,2,FALSE)</f>
        <v>9321133166</v>
      </c>
      <c r="G743" t="str">
        <f>_xlfn.IFNA(VLOOKUP(C743,CallLog_Latest!A:H,8,FALSE),"")</f>
        <v/>
      </c>
      <c r="H743" t="str">
        <f>VLOOKUP(C743,[1]Sheet1!$F:$H,3,FALSE)</f>
        <v>P1/2, Deep Sadan Society, Sunder Nagar, S.V.Road, Malad (W</v>
      </c>
    </row>
    <row r="744" spans="1:8" x14ac:dyDescent="0.25">
      <c r="A744" t="s">
        <v>786</v>
      </c>
      <c r="B744" t="s">
        <v>787</v>
      </c>
      <c r="C744">
        <v>9869136046</v>
      </c>
      <c r="D744" t="str">
        <f>_xlfn.IFNA(VLOOKUP(C744,CallLog_Latest!A:H,7,FALSE),"Not Called")</f>
        <v>Not Coming</v>
      </c>
      <c r="E744" t="str">
        <f>IF(ISNA(VLOOKUP(C744,Registration!A:A,1,FALSE)),"Not Registered","Registered")</f>
        <v>Not Registered</v>
      </c>
      <c r="F744">
        <f>VLOOKUP(A744,Sheet1!A:B,2,FALSE)</f>
        <v>9321532327</v>
      </c>
      <c r="G744" t="str">
        <f>_xlfn.IFNA(VLOOKUP(C744,CallLog_Latest!A:H,8,FALSE),"")</f>
        <v>Will be out of station that time</v>
      </c>
      <c r="H744" t="str">
        <f>VLOOKUP(C744,[1]Sheet1!$F:$H,3,FALSE)</f>
        <v>K-106  Kanchan Nalanda CHS Ltd.  Sunder Nagar  S.V. Road  Malad (W</v>
      </c>
    </row>
    <row r="745" spans="1:8" x14ac:dyDescent="0.25">
      <c r="A745" t="s">
        <v>788</v>
      </c>
      <c r="B745" t="s">
        <v>789</v>
      </c>
      <c r="C745">
        <v>7506795317</v>
      </c>
      <c r="D745" t="str">
        <f>_xlfn.IFNA(VLOOKUP(C745,CallLog_Latest!A:H,7,FALSE),"Not Called")</f>
        <v>Not Called</v>
      </c>
      <c r="E745" t="str">
        <f>IF(ISNA(VLOOKUP(C745,Registration!A:A,1,FALSE)),"Not Registered","Registered")</f>
        <v>Not Registered</v>
      </c>
      <c r="F745">
        <f>VLOOKUP(A745,Sheet1!A:B,2,FALSE)</f>
        <v>8879785324</v>
      </c>
      <c r="G745" t="str">
        <f>_xlfn.IFNA(VLOOKUP(C745,CallLog_Latest!A:H,8,FALSE),"")</f>
        <v/>
      </c>
      <c r="H745" t="str">
        <f>VLOOKUP(C745,[1]Sheet1!$F:$H,3,FALSE)</f>
        <v>106, Kanchan Nalanda Soc.</v>
      </c>
    </row>
    <row r="746" spans="1:8" x14ac:dyDescent="0.25">
      <c r="A746" t="s">
        <v>790</v>
      </c>
      <c r="B746" t="s">
        <v>791</v>
      </c>
      <c r="C746">
        <v>9920151221</v>
      </c>
      <c r="D746" t="str">
        <f>_xlfn.IFNA(VLOOKUP(C746,CallLog_Latest!A:H,7,FALSE),"Not Called")</f>
        <v>Not Reachable</v>
      </c>
      <c r="E746" t="str">
        <f>IF(ISNA(VLOOKUP(C746,Registration!A:A,1,FALSE)),"Not Registered","Registered")</f>
        <v>Not Registered</v>
      </c>
      <c r="F746">
        <f>VLOOKUP(A746,Sheet1!A:B,2,FALSE)</f>
        <v>9702260383</v>
      </c>
      <c r="G746">
        <f>_xlfn.IFNA(VLOOKUP(C746,CallLog_Latest!A:H,8,FALSE),"")</f>
        <v>0</v>
      </c>
      <c r="H746" t="str">
        <f>VLOOKUP(C746,[1]Sheet1!$F:$H,3,FALSE)</f>
        <v>B-701, Aruna Residency, Behind Sundar Nagar Opp. Krishna Residency, Nr. Dalmia College, Malad (W</v>
      </c>
    </row>
    <row r="747" spans="1:8" x14ac:dyDescent="0.25">
      <c r="A747" t="s">
        <v>792</v>
      </c>
      <c r="B747" t="s">
        <v>793</v>
      </c>
      <c r="C747">
        <v>8879004775</v>
      </c>
      <c r="D747" t="str">
        <f>_xlfn.IFNA(VLOOKUP(C747,CallLog_Latest!A:H,7,FALSE),"Not Called")</f>
        <v>Not Called</v>
      </c>
      <c r="E747" t="str">
        <f>IF(ISNA(VLOOKUP(C747,Registration!A:A,1,FALSE)),"Not Registered","Registered")</f>
        <v>Not Registered</v>
      </c>
      <c r="F747">
        <f>VLOOKUP(A747,Sheet1!A:B,2,FALSE)</f>
        <v>9322066124</v>
      </c>
      <c r="G747" t="str">
        <f>_xlfn.IFNA(VLOOKUP(C747,CallLog_Latest!A:H,8,FALSE),"")</f>
        <v/>
      </c>
      <c r="H747" t="str">
        <f>VLOOKUP(C747,[1]Sheet1!$F:$H,3,FALSE)</f>
        <v>G-1106  Palm Court New Link Road</v>
      </c>
    </row>
    <row r="748" spans="1:8" x14ac:dyDescent="0.25">
      <c r="A748" t="s">
        <v>794</v>
      </c>
      <c r="B748" t="s">
        <v>795</v>
      </c>
      <c r="C748">
        <v>9820745508</v>
      </c>
      <c r="D748" t="str">
        <f>_xlfn.IFNA(VLOOKUP(C748,CallLog_Latest!A:H,7,FALSE),"Not Called")</f>
        <v>Not Called</v>
      </c>
      <c r="E748" t="str">
        <f>IF(ISNA(VLOOKUP(C748,Registration!A:A,1,FALSE)),"Not Registered","Registered")</f>
        <v>Not Registered</v>
      </c>
      <c r="F748">
        <f>VLOOKUP(A748,Sheet1!A:B,2,FALSE)</f>
        <v>9892303256</v>
      </c>
      <c r="G748" t="str">
        <f>_xlfn.IFNA(VLOOKUP(C748,CallLog_Latest!A:H,8,FALSE),"")</f>
        <v/>
      </c>
      <c r="H748" t="str">
        <f>VLOOKUP(C748,[1]Sheet1!$F:$H,3,FALSE)</f>
        <v>303  Lemidas Building Opp. Allahabad Bank  Ramchandra Lane</v>
      </c>
    </row>
    <row r="749" spans="1:8" x14ac:dyDescent="0.25">
      <c r="A749" t="s">
        <v>796</v>
      </c>
      <c r="B749" t="s">
        <v>797</v>
      </c>
      <c r="C749">
        <v>9820745508</v>
      </c>
      <c r="D749" t="str">
        <f>_xlfn.IFNA(VLOOKUP(C749,CallLog_Latest!A:H,7,FALSE),"Not Called")</f>
        <v>Not Called</v>
      </c>
      <c r="E749" t="str">
        <f>IF(ISNA(VLOOKUP(C749,Registration!A:A,1,FALSE)),"Not Registered","Registered")</f>
        <v>Not Registered</v>
      </c>
      <c r="F749">
        <f>VLOOKUP(A749,Sheet1!A:B,2,FALSE)</f>
        <v>9920145200</v>
      </c>
      <c r="G749" t="str">
        <f>_xlfn.IFNA(VLOOKUP(C749,CallLog_Latest!A:H,8,FALSE),"")</f>
        <v/>
      </c>
      <c r="H749" t="str">
        <f>VLOOKUP(C749,[1]Sheet1!$F:$H,3,FALSE)</f>
        <v>303  Lemidas Building Opp. Allahabad Bank  Ramchandra Lane</v>
      </c>
    </row>
    <row r="750" spans="1:8" x14ac:dyDescent="0.25">
      <c r="A750" t="s">
        <v>798</v>
      </c>
      <c r="B750" t="s">
        <v>799</v>
      </c>
      <c r="C750">
        <v>9322335162</v>
      </c>
      <c r="D750" t="str">
        <f>_xlfn.IFNA(VLOOKUP(C750,CallLog_Latest!A:H,7,FALSE),"Not Called")</f>
        <v>Not Reachable</v>
      </c>
      <c r="E750" t="str">
        <f>IF(ISNA(VLOOKUP(C750,Registration!A:A,1,FALSE)),"Not Registered","Registered")</f>
        <v>Not Registered</v>
      </c>
      <c r="F750">
        <f>VLOOKUP(A750,Sheet1!A:B,2,FALSE)</f>
        <v>9320309630</v>
      </c>
      <c r="G750" t="str">
        <f>_xlfn.IFNA(VLOOKUP(C750,CallLog_Latest!A:H,8,FALSE),"")</f>
        <v>Not picked up</v>
      </c>
      <c r="H750" t="str">
        <f>VLOOKUP(C750,[1]Sheet1!$F:$H,3,FALSE)</f>
        <v>B-502  Abrol Vastu Park Evershine Nagar, Malad (W</v>
      </c>
    </row>
    <row r="751" spans="1:8" x14ac:dyDescent="0.25">
      <c r="A751" t="s">
        <v>800</v>
      </c>
      <c r="B751" t="s">
        <v>801</v>
      </c>
      <c r="C751">
        <v>9920233447</v>
      </c>
      <c r="D751" t="str">
        <f>_xlfn.IFNA(VLOOKUP(C751,CallLog_Latest!A:H,7,FALSE),"Not Called")</f>
        <v>Maybe Attending 🤔</v>
      </c>
      <c r="E751" t="str">
        <f>IF(ISNA(VLOOKUP(C751,Registration!A:A,1,FALSE)),"Not Registered","Registered")</f>
        <v>Not Registered</v>
      </c>
      <c r="F751">
        <f>VLOOKUP(A751,Sheet1!A:B,2,FALSE)</f>
        <v>9324233820</v>
      </c>
      <c r="G751">
        <f>_xlfn.IFNA(VLOOKUP(C751,CallLog_Latest!A:H,8,FALSE),"")</f>
        <v>0</v>
      </c>
      <c r="H751" t="str">
        <f>VLOOKUP(C751,[1]Sheet1!$F:$H,3,FALSE)</f>
        <v>302  Snehal Building  Adarsh lane, Malad west</v>
      </c>
    </row>
    <row r="752" spans="1:8" x14ac:dyDescent="0.25">
      <c r="A752" t="s">
        <v>802</v>
      </c>
      <c r="B752" t="s">
        <v>803</v>
      </c>
      <c r="C752">
        <v>9867240043</v>
      </c>
      <c r="D752" t="str">
        <f>_xlfn.IFNA(VLOOKUP(C752,CallLog_Latest!A:H,7,FALSE),"Not Called")</f>
        <v>Not Called</v>
      </c>
      <c r="E752" t="str">
        <f>IF(ISNA(VLOOKUP(C752,Registration!A:A,1,FALSE)),"Not Registered","Registered")</f>
        <v>Not Registered</v>
      </c>
      <c r="F752">
        <f>VLOOKUP(A752,Sheet1!A:B,2,FALSE)</f>
        <v>8879333966</v>
      </c>
      <c r="G752" t="str">
        <f>_xlfn.IFNA(VLOOKUP(C752,CallLog_Latest!A:H,8,FALSE),"")</f>
        <v/>
      </c>
      <c r="H752" t="str">
        <f>VLOOKUP(C752,[1]Sheet1!$F:$H,3,FALSE)</f>
        <v>E-803  Krishna Residency  Sundar Nagar</v>
      </c>
    </row>
    <row r="753" spans="1:8" x14ac:dyDescent="0.25">
      <c r="A753" t="s">
        <v>804</v>
      </c>
      <c r="B753" t="s">
        <v>805</v>
      </c>
      <c r="C753">
        <v>9320106997</v>
      </c>
      <c r="D753" t="str">
        <f>_xlfn.IFNA(VLOOKUP(C753,CallLog_Latest!A:H,7,FALSE),"Not Called")</f>
        <v>Not Called</v>
      </c>
      <c r="E753" t="str">
        <f>IF(ISNA(VLOOKUP(C753,Registration!A:A,1,FALSE)),"Not Registered","Registered")</f>
        <v>Not Registered</v>
      </c>
      <c r="F753">
        <f>VLOOKUP(A753,Sheet1!A:B,2,FALSE)</f>
        <v>9323826288</v>
      </c>
      <c r="G753" t="str">
        <f>_xlfn.IFNA(VLOOKUP(C753,CallLog_Latest!A:H,8,FALSE),"")</f>
        <v/>
      </c>
      <c r="H753" t="str">
        <f>VLOOKUP(C753,[1]Sheet1!$F:$H,3,FALSE)</f>
        <v>A-104  Evershine Grandeur CHS. Behind Inorbit Mall  Near Rustomjee Elanza  Mindspace , Malad (W</v>
      </c>
    </row>
    <row r="754" spans="1:8" x14ac:dyDescent="0.25">
      <c r="A754" t="s">
        <v>806</v>
      </c>
      <c r="B754" t="s">
        <v>807</v>
      </c>
      <c r="C754">
        <v>9321169646</v>
      </c>
      <c r="D754" t="str">
        <f>_xlfn.IFNA(VLOOKUP(C754,CallLog_Latest!A:H,7,FALSE),"Not Called")</f>
        <v>May be Attending</v>
      </c>
      <c r="E754" t="str">
        <f>IF(ISNA(VLOOKUP(C754,Registration!A:A,1,FALSE)),"Not Registered","Registered")</f>
        <v>Not Registered</v>
      </c>
      <c r="F754">
        <f>VLOOKUP(A754,Sheet1!A:B,2,FALSE)</f>
        <v>9320770849</v>
      </c>
      <c r="G754">
        <f>_xlfn.IFNA(VLOOKUP(C754,CallLog_Latest!A:H,8,FALSE),"")</f>
        <v>0</v>
      </c>
      <c r="H754" t="str">
        <f>VLOOKUP(C754,[1]Sheet1!$F:$H,3,FALSE)</f>
        <v>504 Bharat Apartmant  Bhadran Nagar Khajurya Tank Road</v>
      </c>
    </row>
    <row r="755" spans="1:8" x14ac:dyDescent="0.25">
      <c r="A755" t="s">
        <v>808</v>
      </c>
      <c r="B755" t="s">
        <v>809</v>
      </c>
      <c r="C755">
        <v>7016638956</v>
      </c>
      <c r="D755" t="str">
        <f>_xlfn.IFNA(VLOOKUP(C755,CallLog_Latest!A:H,7,FALSE),"Not Called")</f>
        <v>Not Called</v>
      </c>
      <c r="E755" t="str">
        <f>IF(ISNA(VLOOKUP(C755,Registration!A:A,1,FALSE)),"Not Registered","Registered")</f>
        <v>Not Registered</v>
      </c>
      <c r="F755">
        <f>VLOOKUP(A755,Sheet1!A:B,2,FALSE)</f>
        <v>9321694896</v>
      </c>
      <c r="G755" t="str">
        <f>_xlfn.IFNA(VLOOKUP(C755,CallLog_Latest!A:H,8,FALSE),"")</f>
        <v/>
      </c>
      <c r="H755" t="str">
        <f>VLOOKUP(C755,[1]Sheet1!$F:$H,3,FALSE)</f>
        <v>Asmita Sand Dunes, 802, Sunder Nager,  Near Dalmiya College,  Malad (W</v>
      </c>
    </row>
    <row r="756" spans="1:8" x14ac:dyDescent="0.25">
      <c r="A756" t="s">
        <v>810</v>
      </c>
      <c r="B756" t="s">
        <v>811</v>
      </c>
      <c r="C756">
        <v>9820087304</v>
      </c>
      <c r="D756" t="str">
        <f>_xlfn.IFNA(VLOOKUP(C756,CallLog_Latest!A:H,7,FALSE),"Not Called")</f>
        <v>Not Called</v>
      </c>
      <c r="E756" t="str">
        <f>IF(ISNA(VLOOKUP(C756,Registration!A:A,1,FALSE)),"Not Registered","Registered")</f>
        <v>Not Registered</v>
      </c>
      <c r="F756">
        <f>VLOOKUP(A756,Sheet1!A:B,2,FALSE)</f>
        <v>9619090608</v>
      </c>
      <c r="G756" t="str">
        <f>_xlfn.IFNA(VLOOKUP(C756,CallLog_Latest!A:H,8,FALSE),"")</f>
        <v/>
      </c>
      <c r="H756" t="str">
        <f>VLOOKUP(C756,[1]Sheet1!$F:$H,3,FALSE)</f>
        <v>Whispering Heights, Mind Space Complex, A/503 Chincholi Bunder Road, Off Malad Link Road, Malad (W</v>
      </c>
    </row>
    <row r="757" spans="1:8" x14ac:dyDescent="0.25">
      <c r="A757" t="s">
        <v>812</v>
      </c>
      <c r="B757" t="s">
        <v>813</v>
      </c>
      <c r="C757">
        <v>9819624488</v>
      </c>
      <c r="D757" t="str">
        <f>_xlfn.IFNA(VLOOKUP(C757,CallLog_Latest!A:H,7,FALSE),"Not Called")</f>
        <v>Not Called</v>
      </c>
      <c r="E757" t="str">
        <f>IF(ISNA(VLOOKUP(C757,Registration!A:A,1,FALSE)),"Not Registered","Registered")</f>
        <v>Not Registered</v>
      </c>
      <c r="F757">
        <f>VLOOKUP(A757,Sheet1!A:B,2,FALSE)</f>
        <v>9320269488</v>
      </c>
      <c r="G757" t="str">
        <f>_xlfn.IFNA(VLOOKUP(C757,CallLog_Latest!A:H,8,FALSE),"")</f>
        <v/>
      </c>
      <c r="H757" t="str">
        <f>VLOOKUP(C757,[1]Sheet1!$F:$H,3,FALSE)</f>
        <v>Arkade Serene, 1403,  Sunder Nagar, S.V.Road, Malad (W</v>
      </c>
    </row>
    <row r="758" spans="1:8" x14ac:dyDescent="0.25">
      <c r="A758" t="s">
        <v>814</v>
      </c>
      <c r="B758" t="s">
        <v>815</v>
      </c>
      <c r="C758">
        <v>7738444456</v>
      </c>
      <c r="D758" t="str">
        <f>_xlfn.IFNA(VLOOKUP(C758,CallLog_Latest!A:H,7,FALSE),"Not Called")</f>
        <v>Not Called</v>
      </c>
      <c r="E758" t="str">
        <f>IF(ISNA(VLOOKUP(C758,Registration!A:A,1,FALSE)),"Not Registered","Registered")</f>
        <v>Not Registered</v>
      </c>
      <c r="F758">
        <f>VLOOKUP(A758,Sheet1!A:B,2,FALSE)</f>
        <v>9320624230</v>
      </c>
      <c r="G758" t="str">
        <f>_xlfn.IFNA(VLOOKUP(C758,CallLog_Latest!A:H,8,FALSE),"")</f>
        <v/>
      </c>
      <c r="H758" t="str">
        <f>VLOOKUP(C758,[1]Sheet1!$F:$H,3,FALSE)</f>
        <v>1904, Ashmita Sand Dunes,Corner of Ahimsha Road, Near Dalmia College, Sunder Nagar, Malad (W</v>
      </c>
    </row>
    <row r="759" spans="1:8" x14ac:dyDescent="0.25">
      <c r="A759" t="s">
        <v>782</v>
      </c>
      <c r="B759" t="s">
        <v>816</v>
      </c>
      <c r="C759">
        <v>9867344466</v>
      </c>
      <c r="D759" t="str">
        <f>_xlfn.IFNA(VLOOKUP(C759,CallLog_Latest!A:H,7,FALSE),"Not Called")</f>
        <v>Not Called</v>
      </c>
      <c r="E759" t="str">
        <f>IF(ISNA(VLOOKUP(C759,Registration!A:A,1,FALSE)),"Not Registered","Registered")</f>
        <v>Not Registered</v>
      </c>
      <c r="F759">
        <f>VLOOKUP(A759,Sheet1!A:B,2,FALSE)</f>
        <v>9819004363</v>
      </c>
      <c r="G759" t="str">
        <f>_xlfn.IFNA(VLOOKUP(C759,CallLog_Latest!A:H,8,FALSE),"")</f>
        <v/>
      </c>
      <c r="H759" t="str">
        <f>VLOOKUP(C759,[1]Sheet1!$F:$H,3,FALSE)</f>
        <v>Arkade Serene, 1403,  Sunder Nagar, S.V.Road, Malad (W</v>
      </c>
    </row>
    <row r="760" spans="1:8" x14ac:dyDescent="0.25">
      <c r="A760" t="s">
        <v>784</v>
      </c>
      <c r="B760" t="s">
        <v>817</v>
      </c>
      <c r="C760">
        <v>9029508913</v>
      </c>
      <c r="D760" t="str">
        <f>_xlfn.IFNA(VLOOKUP(C760,CallLog_Latest!A:H,7,FALSE),"Not Called")</f>
        <v>Not Called</v>
      </c>
      <c r="E760" t="str">
        <f>IF(ISNA(VLOOKUP(C760,Registration!A:A,1,FALSE)),"Not Registered","Registered")</f>
        <v>Not Registered</v>
      </c>
      <c r="F760">
        <f>VLOOKUP(A760,Sheet1!A:B,2,FALSE)</f>
        <v>9321133166</v>
      </c>
      <c r="G760" t="str">
        <f>_xlfn.IFNA(VLOOKUP(C760,CallLog_Latest!A:H,8,FALSE),"")</f>
        <v/>
      </c>
      <c r="H760" t="str">
        <f>VLOOKUP(C760,[1]Sheet1!$F:$H,3,FALSE)</f>
        <v>A302/303, Usha Garden Hsg. Soc. Ahimsa Marg, Malad Link Road, Malad (W</v>
      </c>
    </row>
    <row r="761" spans="1:8" x14ac:dyDescent="0.25">
      <c r="A761" t="s">
        <v>786</v>
      </c>
      <c r="B761" t="s">
        <v>818</v>
      </c>
      <c r="C761">
        <v>9920324167</v>
      </c>
      <c r="D761" t="str">
        <f>_xlfn.IFNA(VLOOKUP(C761,CallLog_Latest!A:H,7,FALSE),"Not Called")</f>
        <v>Not Called</v>
      </c>
      <c r="E761" t="str">
        <f>IF(ISNA(VLOOKUP(C761,Registration!A:A,1,FALSE)),"Not Registered","Registered")</f>
        <v>Not Registered</v>
      </c>
      <c r="F761">
        <f>VLOOKUP(A761,Sheet1!A:B,2,FALSE)</f>
        <v>9321532327</v>
      </c>
      <c r="G761" t="str">
        <f>_xlfn.IFNA(VLOOKUP(C761,CallLog_Latest!A:H,8,FALSE),"")</f>
        <v/>
      </c>
      <c r="H761" t="str">
        <f>VLOOKUP(C761,[1]Sheet1!$F:$H,3,FALSE)</f>
        <v>C-402, Krishna Residency Behind Sunder Nagar, S. V. Road, Malad (W</v>
      </c>
    </row>
    <row r="762" spans="1:8" x14ac:dyDescent="0.25">
      <c r="A762" t="s">
        <v>788</v>
      </c>
      <c r="B762" t="s">
        <v>819</v>
      </c>
      <c r="C762">
        <v>9821205695</v>
      </c>
      <c r="D762" t="str">
        <f>_xlfn.IFNA(VLOOKUP(C762,CallLog_Latest!A:H,7,FALSE),"Not Called")</f>
        <v>Not Called</v>
      </c>
      <c r="E762" t="str">
        <f>IF(ISNA(VLOOKUP(C762,Registration!A:A,1,FALSE)),"Not Registered","Registered")</f>
        <v>Not Registered</v>
      </c>
      <c r="F762">
        <f>VLOOKUP(A762,Sheet1!A:B,2,FALSE)</f>
        <v>8879785324</v>
      </c>
      <c r="G762" t="str">
        <f>_xlfn.IFNA(VLOOKUP(C762,CallLog_Latest!A:H,8,FALSE),"")</f>
        <v/>
      </c>
      <c r="H762" t="str">
        <f>VLOOKUP(C762,[1]Sheet1!$F:$H,3,FALSE)</f>
        <v>A-401  Dheeraj Jamuna Chincholi Bunder Road</v>
      </c>
    </row>
    <row r="763" spans="1:8" x14ac:dyDescent="0.25">
      <c r="A763" t="s">
        <v>790</v>
      </c>
      <c r="B763" t="s">
        <v>820</v>
      </c>
      <c r="C763">
        <v>9757272073</v>
      </c>
      <c r="D763" t="str">
        <f>_xlfn.IFNA(VLOOKUP(C763,CallLog_Latest!A:H,7,FALSE),"Not Called")</f>
        <v>Maybe Attending 🤔</v>
      </c>
      <c r="E763" t="str">
        <f>IF(ISNA(VLOOKUP(C763,Registration!A:A,1,FALSE)),"Not Registered","Registered")</f>
        <v>Not Registered</v>
      </c>
      <c r="F763">
        <f>VLOOKUP(A763,Sheet1!A:B,2,FALSE)</f>
        <v>9702260383</v>
      </c>
      <c r="G763">
        <f>_xlfn.IFNA(VLOOKUP(C763,CallLog_Latest!A:H,8,FALSE),"")</f>
        <v>0</v>
      </c>
      <c r="H763" t="str">
        <f>VLOOKUP(C763,[1]Sheet1!$F:$H,3,FALSE)</f>
        <v>Asmita Sand Dune, 302 Above Global Chemist, Sunder Nagar, Malad (W</v>
      </c>
    </row>
    <row r="764" spans="1:8" x14ac:dyDescent="0.25">
      <c r="A764" t="s">
        <v>792</v>
      </c>
      <c r="B764" t="s">
        <v>821</v>
      </c>
      <c r="C764">
        <v>7666802112</v>
      </c>
      <c r="D764" t="str">
        <f>_xlfn.IFNA(VLOOKUP(C764,CallLog_Latest!A:H,7,FALSE),"Not Called")</f>
        <v>Not Called</v>
      </c>
      <c r="E764" t="str">
        <f>IF(ISNA(VLOOKUP(C764,Registration!A:A,1,FALSE)),"Not Registered","Registered")</f>
        <v>Not Registered</v>
      </c>
      <c r="F764">
        <f>VLOOKUP(A764,Sheet1!A:B,2,FALSE)</f>
        <v>9322066124</v>
      </c>
      <c r="G764" t="str">
        <f>_xlfn.IFNA(VLOOKUP(C764,CallLog_Latest!A:H,8,FALSE),"")</f>
        <v/>
      </c>
      <c r="H764" t="str">
        <f>VLOOKUP(C764,[1]Sheet1!$F:$H,3,FALSE)</f>
        <v>Asmita Sand Dune, 302 Above Global Chemist, Sunder Nagar, Malad (W</v>
      </c>
    </row>
    <row r="765" spans="1:8" x14ac:dyDescent="0.25">
      <c r="A765" t="s">
        <v>794</v>
      </c>
      <c r="B765" t="s">
        <v>822</v>
      </c>
      <c r="C765">
        <v>9920046785</v>
      </c>
      <c r="D765" t="str">
        <f>_xlfn.IFNA(VLOOKUP(C765,CallLog_Latest!A:H,7,FALSE),"Not Called")</f>
        <v>Not Called</v>
      </c>
      <c r="E765" t="str">
        <f>IF(ISNA(VLOOKUP(C765,Registration!A:A,1,FALSE)),"Not Registered","Registered")</f>
        <v>Not Registered</v>
      </c>
      <c r="F765">
        <f>VLOOKUP(A765,Sheet1!A:B,2,FALSE)</f>
        <v>9892303256</v>
      </c>
      <c r="G765" t="str">
        <f>_xlfn.IFNA(VLOOKUP(C765,CallLog_Latest!A:H,8,FALSE),"")</f>
        <v/>
      </c>
      <c r="H765" t="str">
        <f>VLOOKUP(C765,[1]Sheet1!$F:$H,3,FALSE)</f>
        <v>Asmita Sand Dune, 302 Above Global Chemist, Sunder Nagar, Malad (W</v>
      </c>
    </row>
    <row r="766" spans="1:8" x14ac:dyDescent="0.25">
      <c r="A766" t="s">
        <v>796</v>
      </c>
      <c r="B766" t="s">
        <v>823</v>
      </c>
      <c r="C766">
        <v>989258055</v>
      </c>
      <c r="D766" t="str">
        <f>_xlfn.IFNA(VLOOKUP(C766,CallLog_Latest!A:H,7,FALSE),"Not Called")</f>
        <v>Not Called</v>
      </c>
      <c r="E766" t="str">
        <f>IF(ISNA(VLOOKUP(C766,Registration!A:A,1,FALSE)),"Not Registered","Registered")</f>
        <v>Not Registered</v>
      </c>
      <c r="F766">
        <f>VLOOKUP(A766,Sheet1!A:B,2,FALSE)</f>
        <v>9920145200</v>
      </c>
      <c r="G766" t="str">
        <f>_xlfn.IFNA(VLOOKUP(C766,CallLog_Latest!A:H,8,FALSE),"")</f>
        <v/>
      </c>
      <c r="H766" t="e">
        <f>VLOOKUP(C766,[1]Sheet1!$F:$H,3,FALSE)</f>
        <v>#N/A</v>
      </c>
    </row>
    <row r="767" spans="1:8" x14ac:dyDescent="0.25">
      <c r="A767" t="s">
        <v>798</v>
      </c>
      <c r="B767" t="s">
        <v>790</v>
      </c>
      <c r="C767">
        <v>9702260383</v>
      </c>
      <c r="D767" t="str">
        <f>_xlfn.IFNA(VLOOKUP(C767,CallLog_Latest!A:H,7,FALSE),"Not Called")</f>
        <v>Confirmed Presence</v>
      </c>
      <c r="E767" t="str">
        <f>IF(ISNA(VLOOKUP(C767,Registration!A:A,1,FALSE)),"Not Registered","Registered")</f>
        <v>Not Registered</v>
      </c>
      <c r="F767">
        <f>VLOOKUP(A767,Sheet1!A:B,2,FALSE)</f>
        <v>9320309630</v>
      </c>
      <c r="G767">
        <f>_xlfn.IFNA(VLOOKUP(C767,CallLog_Latest!A:H,8,FALSE),"")</f>
        <v>0</v>
      </c>
      <c r="H767" t="str">
        <f>VLOOKUP(C767,[1]Sheet1!$F:$H,3,FALSE)</f>
        <v>17-A  Shyamkunj, 6th Road, Mamledarwadi, Malad (W</v>
      </c>
    </row>
    <row r="768" spans="1:8" x14ac:dyDescent="0.25">
      <c r="A768" t="s">
        <v>800</v>
      </c>
      <c r="B768" t="s">
        <v>84</v>
      </c>
      <c r="C768">
        <v>9225211083</v>
      </c>
      <c r="D768" t="str">
        <f>_xlfn.IFNA(VLOOKUP(C768,CallLog_Latest!A:H,7,FALSE),"Not Called")</f>
        <v>Confirmed Presence ✅</v>
      </c>
      <c r="E768" t="str">
        <f>IF(ISNA(VLOOKUP(C768,Registration!A:A,1,FALSE)),"Not Registered","Registered")</f>
        <v>Not Registered</v>
      </c>
      <c r="F768">
        <f>VLOOKUP(A768,Sheet1!A:B,2,FALSE)</f>
        <v>9324233820</v>
      </c>
      <c r="G768">
        <f>_xlfn.IFNA(VLOOKUP(C768,CallLog_Latest!A:H,8,FALSE),"")</f>
        <v>0</v>
      </c>
      <c r="H768" t="str">
        <f>VLOOKUP(C768,[1]Sheet1!$F:$H,3,FALSE)</f>
        <v>Asmita Sand Dunes, 1804, Ahimsa Marg, Sunder Nagar, Malad (W</v>
      </c>
    </row>
    <row r="769" spans="1:8" x14ac:dyDescent="0.25">
      <c r="A769" t="s">
        <v>802</v>
      </c>
      <c r="B769" t="s">
        <v>824</v>
      </c>
      <c r="C769">
        <v>9004928430</v>
      </c>
      <c r="D769" t="str">
        <f>_xlfn.IFNA(VLOOKUP(C769,CallLog_Latest!A:H,7,FALSE),"Not Called")</f>
        <v>Not Called</v>
      </c>
      <c r="E769" t="str">
        <f>IF(ISNA(VLOOKUP(C769,Registration!A:A,1,FALSE)),"Not Registered","Registered")</f>
        <v>Registered</v>
      </c>
      <c r="F769">
        <f>VLOOKUP(A769,Sheet1!A:B,2,FALSE)</f>
        <v>8879333966</v>
      </c>
      <c r="G769" t="str">
        <f>_xlfn.IFNA(VLOOKUP(C769,CallLog_Latest!A:H,8,FALSE),"")</f>
        <v/>
      </c>
      <c r="H769" t="str">
        <f>VLOOKUP(C769,[1]Sheet1!$F:$H,3,FALSE)</f>
        <v>B-703, Krishna Regency, Opp. DG Khetan School Above HDFC Bank, Malad (W</v>
      </c>
    </row>
    <row r="770" spans="1:8" x14ac:dyDescent="0.25">
      <c r="A770" t="s">
        <v>804</v>
      </c>
      <c r="B770" t="s">
        <v>825</v>
      </c>
      <c r="C770">
        <v>9820747070</v>
      </c>
      <c r="D770" t="str">
        <f>_xlfn.IFNA(VLOOKUP(C770,CallLog_Latest!A:H,7,FALSE),"Not Called")</f>
        <v>Not Called</v>
      </c>
      <c r="E770" t="str">
        <f>IF(ISNA(VLOOKUP(C770,Registration!A:A,1,FALSE)),"Not Registered","Registered")</f>
        <v>Registered</v>
      </c>
      <c r="F770">
        <f>VLOOKUP(A770,Sheet1!A:B,2,FALSE)</f>
        <v>9323826288</v>
      </c>
      <c r="G770" t="str">
        <f>_xlfn.IFNA(VLOOKUP(C770,CallLog_Latest!A:H,8,FALSE),"")</f>
        <v/>
      </c>
      <c r="H770" t="str">
        <f>VLOOKUP(C770,[1]Sheet1!$F:$H,3,FALSE)</f>
        <v>C-4/5  Sunder Nagar S.V. Road</v>
      </c>
    </row>
    <row r="771" spans="1:8" x14ac:dyDescent="0.25">
      <c r="A771" t="s">
        <v>806</v>
      </c>
      <c r="B771" t="s">
        <v>826</v>
      </c>
      <c r="C771">
        <v>9004063131</v>
      </c>
      <c r="D771" t="str">
        <f>_xlfn.IFNA(VLOOKUP(C771,CallLog_Latest!A:H,7,FALSE),"Not Called")</f>
        <v>Not Called</v>
      </c>
      <c r="E771" t="str">
        <f>IF(ISNA(VLOOKUP(C771,Registration!A:A,1,FALSE)),"Not Registered","Registered")</f>
        <v>Not Registered</v>
      </c>
      <c r="F771">
        <f>VLOOKUP(A771,Sheet1!A:B,2,FALSE)</f>
        <v>9320770849</v>
      </c>
      <c r="G771" t="str">
        <f>_xlfn.IFNA(VLOOKUP(C771,CallLog_Latest!A:H,8,FALSE),"")</f>
        <v/>
      </c>
      <c r="H771" t="str">
        <f>VLOOKUP(C771,[1]Sheet1!$F:$H,3,FALSE)</f>
        <v>D-503  Krishna Residency  B/h Sunder Nagar Near D. G. Khetan International School</v>
      </c>
    </row>
    <row r="772" spans="1:8" x14ac:dyDescent="0.25">
      <c r="A772" t="s">
        <v>808</v>
      </c>
      <c r="B772" t="s">
        <v>827</v>
      </c>
      <c r="C772">
        <v>9022169649</v>
      </c>
      <c r="D772" t="str">
        <f>_xlfn.IFNA(VLOOKUP(C772,CallLog_Latest!A:H,7,FALSE),"Not Called")</f>
        <v>Not Called</v>
      </c>
      <c r="E772" t="str">
        <f>IF(ISNA(VLOOKUP(C772,Registration!A:A,1,FALSE)),"Not Registered","Registered")</f>
        <v>Not Registered</v>
      </c>
      <c r="F772">
        <f>VLOOKUP(A772,Sheet1!A:B,2,FALSE)</f>
        <v>9321694896</v>
      </c>
      <c r="G772" t="str">
        <f>_xlfn.IFNA(VLOOKUP(C772,CallLog_Latest!A:H,8,FALSE),"")</f>
        <v/>
      </c>
      <c r="H772" t="str">
        <f>VLOOKUP(C772,[1]Sheet1!$F:$H,3,FALSE)</f>
        <v>D-503  Krishna Residency  B/h Sunder Nagar Near D. G. Khetan International School</v>
      </c>
    </row>
    <row r="773" spans="1:8" x14ac:dyDescent="0.25">
      <c r="A773" t="s">
        <v>810</v>
      </c>
      <c r="B773" t="s">
        <v>828</v>
      </c>
      <c r="C773">
        <v>9769702128</v>
      </c>
      <c r="D773" t="str">
        <f>_xlfn.IFNA(VLOOKUP(C773,CallLog_Latest!A:H,7,FALSE),"Not Called")</f>
        <v>Not Called</v>
      </c>
      <c r="E773" t="str">
        <f>IF(ISNA(VLOOKUP(C773,Registration!A:A,1,FALSE)),"Not Registered","Registered")</f>
        <v>Not Registered</v>
      </c>
      <c r="F773">
        <f>VLOOKUP(A773,Sheet1!A:B,2,FALSE)</f>
        <v>9619090608</v>
      </c>
      <c r="G773" t="str">
        <f>_xlfn.IFNA(VLOOKUP(C773,CallLog_Latest!A:H,8,FALSE),"")</f>
        <v/>
      </c>
      <c r="H773" t="str">
        <f>VLOOKUP(C773,[1]Sheet1!$F:$H,3,FALSE)</f>
        <v>606, Agarwal Trinity Tower, Kanchpada, Malad (W</v>
      </c>
    </row>
    <row r="774" spans="1:8" x14ac:dyDescent="0.25">
      <c r="A774" t="s">
        <v>812</v>
      </c>
      <c r="B774" t="s">
        <v>829</v>
      </c>
      <c r="C774">
        <v>7021950592</v>
      </c>
      <c r="D774" t="str">
        <f>_xlfn.IFNA(VLOOKUP(C774,CallLog_Latest!A:H,7,FALSE),"Not Called")</f>
        <v>Not Called</v>
      </c>
      <c r="E774" t="str">
        <f>IF(ISNA(VLOOKUP(C774,Registration!A:A,1,FALSE)),"Not Registered","Registered")</f>
        <v>Not Registered</v>
      </c>
      <c r="F774">
        <f>VLOOKUP(A774,Sheet1!A:B,2,FALSE)</f>
        <v>9320269488</v>
      </c>
      <c r="G774" t="str">
        <f>_xlfn.IFNA(VLOOKUP(C774,CallLog_Latest!A:H,8,FALSE),"")</f>
        <v/>
      </c>
      <c r="H774" t="str">
        <f>VLOOKUP(C774,[1]Sheet1!$F:$H,3,FALSE)</f>
        <v>B-31  Rustomjee Adarsh Regal  B Chs. Adarsh Lane  Goras Wadi  Off Marve Road, Malad (W  .-400064</v>
      </c>
    </row>
    <row r="775" spans="1:8" x14ac:dyDescent="0.25">
      <c r="A775" t="s">
        <v>814</v>
      </c>
      <c r="B775" t="s">
        <v>830</v>
      </c>
      <c r="C775">
        <v>9987549740</v>
      </c>
      <c r="D775" t="str">
        <f>_xlfn.IFNA(VLOOKUP(C775,CallLog_Latest!A:H,7,FALSE),"Not Called")</f>
        <v>Not Called</v>
      </c>
      <c r="E775" t="str">
        <f>IF(ISNA(VLOOKUP(C775,Registration!A:A,1,FALSE)),"Not Registered","Registered")</f>
        <v>Not Registered</v>
      </c>
      <c r="F775">
        <f>VLOOKUP(A775,Sheet1!A:B,2,FALSE)</f>
        <v>9320624230</v>
      </c>
      <c r="G775" t="str">
        <f>_xlfn.IFNA(VLOOKUP(C775,CallLog_Latest!A:H,8,FALSE),"")</f>
        <v/>
      </c>
      <c r="H775" t="str">
        <f>VLOOKUP(C775,[1]Sheet1!$F:$H,3,FALSE)</f>
        <v>B-31  Rustomjee Adarsh Regal  B Chs. Adarsh Lane  Goras Wadi  Off Marve Road, Malad (W  .-400064</v>
      </c>
    </row>
    <row r="776" spans="1:8" x14ac:dyDescent="0.25">
      <c r="A776" t="s">
        <v>782</v>
      </c>
      <c r="B776" t="s">
        <v>831</v>
      </c>
      <c r="C776">
        <v>9004559412</v>
      </c>
      <c r="D776" t="str">
        <f>_xlfn.IFNA(VLOOKUP(C776,CallLog_Latest!A:H,7,FALSE),"Not Called")</f>
        <v>Not Called</v>
      </c>
      <c r="E776" t="str">
        <f>IF(ISNA(VLOOKUP(C776,Registration!A:A,1,FALSE)),"Not Registered","Registered")</f>
        <v>Not Registered</v>
      </c>
      <c r="F776">
        <f>VLOOKUP(A776,Sheet1!A:B,2,FALSE)</f>
        <v>9819004363</v>
      </c>
      <c r="G776" t="str">
        <f>_xlfn.IFNA(VLOOKUP(C776,CallLog_Latest!A:H,8,FALSE),"")</f>
        <v/>
      </c>
      <c r="H776" t="str">
        <f>VLOOKUP(C776,[1]Sheet1!$F:$H,3,FALSE)</f>
        <v>B-31  Rustomjee Adarsh Regal  B Chs. Adarsh Lane  Goras Wadi  Off Marve Road, Malad (W  .-400064</v>
      </c>
    </row>
    <row r="777" spans="1:8" x14ac:dyDescent="0.25">
      <c r="A777" t="s">
        <v>784</v>
      </c>
      <c r="B777" t="s">
        <v>832</v>
      </c>
      <c r="C777">
        <v>9821634500</v>
      </c>
      <c r="D777" t="str">
        <f>_xlfn.IFNA(VLOOKUP(C777,CallLog_Latest!A:H,7,FALSE),"Not Called")</f>
        <v>Not Called</v>
      </c>
      <c r="E777" t="str">
        <f>IF(ISNA(VLOOKUP(C777,Registration!A:A,1,FALSE)),"Not Registered","Registered")</f>
        <v>Not Registered</v>
      </c>
      <c r="F777">
        <f>VLOOKUP(A777,Sheet1!A:B,2,FALSE)</f>
        <v>9321133166</v>
      </c>
      <c r="G777" t="str">
        <f>_xlfn.IFNA(VLOOKUP(C777,CallLog_Latest!A:H,8,FALSE),"")</f>
        <v/>
      </c>
      <c r="H777" t="str">
        <f>VLOOKUP(C777,[1]Sheet1!$F:$H,3,FALSE)</f>
        <v>B-801, Vini Tower, Next to Infant Jesus School Chincholi Bunder Road, Malad (W</v>
      </c>
    </row>
    <row r="778" spans="1:8" x14ac:dyDescent="0.25">
      <c r="A778" t="s">
        <v>786</v>
      </c>
      <c r="B778" t="s">
        <v>833</v>
      </c>
      <c r="C778">
        <v>9867346502</v>
      </c>
      <c r="D778" t="str">
        <f>_xlfn.IFNA(VLOOKUP(C778,CallLog_Latest!A:H,7,FALSE),"Not Called")</f>
        <v>Not Called</v>
      </c>
      <c r="E778" t="str">
        <f>IF(ISNA(VLOOKUP(C778,Registration!A:A,1,FALSE)),"Not Registered","Registered")</f>
        <v>Not Registered</v>
      </c>
      <c r="F778">
        <f>VLOOKUP(A778,Sheet1!A:B,2,FALSE)</f>
        <v>9321532327</v>
      </c>
      <c r="G778" t="str">
        <f>_xlfn.IFNA(VLOOKUP(C778,CallLog_Latest!A:H,8,FALSE),"")</f>
        <v/>
      </c>
      <c r="H778" t="str">
        <f>VLOOKUP(C778,[1]Sheet1!$F:$H,3,FALSE)</f>
        <v>Advent Palazzo CHSL, 1303 Rambaug Lane, Off S.V.Road, Behind State Bank of India, Malad (W</v>
      </c>
    </row>
    <row r="779" spans="1:8" x14ac:dyDescent="0.25">
      <c r="A779" t="s">
        <v>788</v>
      </c>
      <c r="B779" t="s">
        <v>834</v>
      </c>
      <c r="C779">
        <v>9930652725</v>
      </c>
      <c r="D779" t="str">
        <f>_xlfn.IFNA(VLOOKUP(C779,CallLog_Latest!A:H,7,FALSE),"Not Called")</f>
        <v>Not Called</v>
      </c>
      <c r="E779" t="str">
        <f>IF(ISNA(VLOOKUP(C779,Registration!A:A,1,FALSE)),"Not Registered","Registered")</f>
        <v>Not Registered</v>
      </c>
      <c r="F779">
        <f>VLOOKUP(A779,Sheet1!A:B,2,FALSE)</f>
        <v>8879785324</v>
      </c>
      <c r="G779" t="str">
        <f>_xlfn.IFNA(VLOOKUP(C779,CallLog_Latest!A:H,8,FALSE),"")</f>
        <v/>
      </c>
      <c r="H779" t="str">
        <f>VLOOKUP(C779,[1]Sheet1!$F:$H,3,FALSE)</f>
        <v>404  Girnar Aartment  Near Sapana Hotel S.V Road &amp; Marve Road</v>
      </c>
    </row>
    <row r="780" spans="1:8" x14ac:dyDescent="0.25">
      <c r="A780" t="s">
        <v>790</v>
      </c>
      <c r="B780" t="s">
        <v>835</v>
      </c>
      <c r="C780">
        <v>9819086999</v>
      </c>
      <c r="D780" t="str">
        <f>_xlfn.IFNA(VLOOKUP(C780,CallLog_Latest!A:H,7,FALSE),"Not Called")</f>
        <v>Phone Busy</v>
      </c>
      <c r="E780" t="str">
        <f>IF(ISNA(VLOOKUP(C780,Registration!A:A,1,FALSE)),"Not Registered","Registered")</f>
        <v>Not Registered</v>
      </c>
      <c r="F780">
        <f>VLOOKUP(A780,Sheet1!A:B,2,FALSE)</f>
        <v>9702260383</v>
      </c>
      <c r="G780">
        <f>_xlfn.IFNA(VLOOKUP(C780,CallLog_Latest!A:H,8,FALSE),"")</f>
        <v>0</v>
      </c>
      <c r="H780" t="str">
        <f>VLOOKUP(C780,[1]Sheet1!$F:$H,3,FALSE)</f>
        <v>1102, 11th Floor, Shankar Smruti, Opp. Sun Flower, Lab Above Kotak Bank, Marve Road, Malad (W</v>
      </c>
    </row>
    <row r="781" spans="1:8" x14ac:dyDescent="0.25">
      <c r="A781" t="s">
        <v>792</v>
      </c>
      <c r="B781" t="s">
        <v>836</v>
      </c>
      <c r="C781">
        <v>7977147591</v>
      </c>
      <c r="D781" t="str">
        <f>_xlfn.IFNA(VLOOKUP(C781,CallLog_Latest!A:H,7,FALSE),"Not Called")</f>
        <v>Not Called</v>
      </c>
      <c r="E781" t="str">
        <f>IF(ISNA(VLOOKUP(C781,Registration!A:A,1,FALSE)),"Not Registered","Registered")</f>
        <v>Not Registered</v>
      </c>
      <c r="F781">
        <f>VLOOKUP(A781,Sheet1!A:B,2,FALSE)</f>
        <v>9322066124</v>
      </c>
      <c r="G781" t="str">
        <f>_xlfn.IFNA(VLOOKUP(C781,CallLog_Latest!A:H,8,FALSE),"")</f>
        <v/>
      </c>
      <c r="H781" t="str">
        <f>VLOOKUP(C781,[1]Sheet1!$F:$H,3,FALSE)</f>
        <v>801, Simplex khush Aangan, Vijaykarwadi, S. V. Road, Malad (W</v>
      </c>
    </row>
    <row r="782" spans="1:8" x14ac:dyDescent="0.25">
      <c r="A782" t="s">
        <v>794</v>
      </c>
      <c r="B782" t="s">
        <v>837</v>
      </c>
      <c r="C782">
        <v>9833062516</v>
      </c>
      <c r="D782" t="str">
        <f>_xlfn.IFNA(VLOOKUP(C782,CallLog_Latest!A:H,7,FALSE),"Not Called")</f>
        <v>Not Called</v>
      </c>
      <c r="E782" t="str">
        <f>IF(ISNA(VLOOKUP(C782,Registration!A:A,1,FALSE)),"Not Registered","Registered")</f>
        <v>Not Registered</v>
      </c>
      <c r="F782">
        <f>VLOOKUP(A782,Sheet1!A:B,2,FALSE)</f>
        <v>9892303256</v>
      </c>
      <c r="G782" t="str">
        <f>_xlfn.IFNA(VLOOKUP(C782,CallLog_Latest!A:H,8,FALSE),"")</f>
        <v/>
      </c>
      <c r="H782" t="str">
        <f>VLOOKUP(C782,[1]Sheet1!$F:$H,3,FALSE)</f>
        <v>1102, 11th Floor, Shankar Smruti, Opp. Sun Flower Lab, Above Kotak Bank, Marve Road, Malad (W</v>
      </c>
    </row>
    <row r="783" spans="1:8" x14ac:dyDescent="0.25">
      <c r="A783" t="s">
        <v>796</v>
      </c>
      <c r="B783" t="s">
        <v>838</v>
      </c>
      <c r="C783">
        <v>9820164241</v>
      </c>
      <c r="D783" t="str">
        <f>_xlfn.IFNA(VLOOKUP(C783,CallLog_Latest!A:H,7,FALSE),"Not Called")</f>
        <v>Not Called</v>
      </c>
      <c r="E783" t="str">
        <f>IF(ISNA(VLOOKUP(C783,Registration!A:A,1,FALSE)),"Not Registered","Registered")</f>
        <v>Not Registered</v>
      </c>
      <c r="F783">
        <f>VLOOKUP(A783,Sheet1!A:B,2,FALSE)</f>
        <v>9920145200</v>
      </c>
      <c r="G783" t="str">
        <f>_xlfn.IFNA(VLOOKUP(C783,CallLog_Latest!A:H,8,FALSE),"")</f>
        <v/>
      </c>
      <c r="H783" t="str">
        <f>VLOOKUP(C783,[1]Sheet1!$F:$H,3,FALSE)</f>
        <v>B/504 Kingston Classic, Chincholi Bunder Road,</v>
      </c>
    </row>
    <row r="784" spans="1:8" x14ac:dyDescent="0.25">
      <c r="A784" t="s">
        <v>798</v>
      </c>
      <c r="B784" t="s">
        <v>839</v>
      </c>
      <c r="C784">
        <v>9664188608</v>
      </c>
      <c r="D784" t="str">
        <f>_xlfn.IFNA(VLOOKUP(C784,CallLog_Latest!A:H,7,FALSE),"Not Called")</f>
        <v>Not Reachable</v>
      </c>
      <c r="E784" t="str">
        <f>IF(ISNA(VLOOKUP(C784,Registration!A:A,1,FALSE)),"Not Registered","Registered")</f>
        <v>Not Registered</v>
      </c>
      <c r="F784">
        <f>VLOOKUP(A784,Sheet1!A:B,2,FALSE)</f>
        <v>9320309630</v>
      </c>
      <c r="G784" t="str">
        <f>_xlfn.IFNA(VLOOKUP(C784,CallLog_Latest!A:H,8,FALSE),"")</f>
        <v>On Voice mail</v>
      </c>
      <c r="H784" t="str">
        <f>VLOOKUP(C784,[1]Sheet1!$F:$H,3,FALSE)</f>
        <v>F-805/806  Sonmarg  S V. Road</v>
      </c>
    </row>
    <row r="785" spans="1:8" x14ac:dyDescent="0.25">
      <c r="A785" t="s">
        <v>800</v>
      </c>
      <c r="B785" t="s">
        <v>840</v>
      </c>
      <c r="C785">
        <v>9920341990</v>
      </c>
      <c r="D785" t="str">
        <f>_xlfn.IFNA(VLOOKUP(C785,CallLog_Latest!A:H,7,FALSE),"Not Called")</f>
        <v>Maybe Attending 🤔</v>
      </c>
      <c r="E785" t="str">
        <f>IF(ISNA(VLOOKUP(C785,Registration!A:A,1,FALSE)),"Not Registered","Registered")</f>
        <v>Not Registered</v>
      </c>
      <c r="F785">
        <f>VLOOKUP(A785,Sheet1!A:B,2,FALSE)</f>
        <v>9324233820</v>
      </c>
      <c r="G785">
        <f>_xlfn.IFNA(VLOOKUP(C785,CallLog_Latest!A:H,8,FALSE),"")</f>
        <v>0</v>
      </c>
      <c r="H785" t="str">
        <f>VLOOKUP(C785,[1]Sheet1!$F:$H,3,FALSE)</f>
        <v>F/805-806  Sonmarg  S V. Road</v>
      </c>
    </row>
    <row r="786" spans="1:8" x14ac:dyDescent="0.25">
      <c r="A786" t="s">
        <v>802</v>
      </c>
      <c r="B786" t="s">
        <v>841</v>
      </c>
      <c r="C786">
        <v>9920962924</v>
      </c>
      <c r="D786" t="str">
        <f>_xlfn.IFNA(VLOOKUP(C786,CallLog_Latest!A:H,7,FALSE),"Not Called")</f>
        <v>Not Called</v>
      </c>
      <c r="E786" t="str">
        <f>IF(ISNA(VLOOKUP(C786,Registration!A:A,1,FALSE)),"Not Registered","Registered")</f>
        <v>Not Registered</v>
      </c>
      <c r="F786">
        <f>VLOOKUP(A786,Sheet1!A:B,2,FALSE)</f>
        <v>8879333966</v>
      </c>
      <c r="G786" t="str">
        <f>_xlfn.IFNA(VLOOKUP(C786,CallLog_Latest!A:H,8,FALSE),"")</f>
        <v/>
      </c>
      <c r="H786" t="str">
        <f>VLOOKUP(C786,[1]Sheet1!$F:$H,3,FALSE)</f>
        <v>B/504 Kingston Classic, Chincholi Bunder Road, Malad (West</v>
      </c>
    </row>
    <row r="787" spans="1:8" x14ac:dyDescent="0.25">
      <c r="A787" t="s">
        <v>804</v>
      </c>
      <c r="B787" t="s">
        <v>814</v>
      </c>
      <c r="C787">
        <v>9320624230</v>
      </c>
      <c r="D787" t="str">
        <f>_xlfn.IFNA(VLOOKUP(C787,CallLog_Latest!A:H,7,FALSE),"Not Called")</f>
        <v>Not Called</v>
      </c>
      <c r="E787" t="str">
        <f>IF(ISNA(VLOOKUP(C787,Registration!A:A,1,FALSE)),"Not Registered","Registered")</f>
        <v>Not Registered</v>
      </c>
      <c r="F787">
        <f>VLOOKUP(A787,Sheet1!A:B,2,FALSE)</f>
        <v>9323826288</v>
      </c>
      <c r="G787" t="str">
        <f>_xlfn.IFNA(VLOOKUP(C787,CallLog_Latest!A:H,8,FALSE),"")</f>
        <v/>
      </c>
      <c r="H787" t="str">
        <f>VLOOKUP(C787,[1]Sheet1!$F:$H,3,FALSE)</f>
        <v>B-1903, Shiv  Darshan Tower, Ahimsa Marg, Opp. Municipal Garden, Malad (W</v>
      </c>
    </row>
    <row r="788" spans="1:8" x14ac:dyDescent="0.25">
      <c r="A788" t="s">
        <v>806</v>
      </c>
      <c r="B788" t="s">
        <v>842</v>
      </c>
      <c r="C788">
        <v>9820151778</v>
      </c>
      <c r="D788" t="str">
        <f>_xlfn.IFNA(VLOOKUP(C788,CallLog_Latest!A:H,7,FALSE),"Not Called")</f>
        <v>Not Called</v>
      </c>
      <c r="E788" t="str">
        <f>IF(ISNA(VLOOKUP(C788,Registration!A:A,1,FALSE)),"Not Registered","Registered")</f>
        <v>Not Registered</v>
      </c>
      <c r="F788">
        <f>VLOOKUP(A788,Sheet1!A:B,2,FALSE)</f>
        <v>9320770849</v>
      </c>
      <c r="G788" t="str">
        <f>_xlfn.IFNA(VLOOKUP(C788,CallLog_Latest!A:H,8,FALSE),"")</f>
        <v/>
      </c>
      <c r="H788" t="str">
        <f>VLOOKUP(C788,[1]Sheet1!$F:$H,3,FALSE)</f>
        <v>A-Wing  702 Evershine Grandeur  Behind Inorbit Mind Space</v>
      </c>
    </row>
    <row r="789" spans="1:8" x14ac:dyDescent="0.25">
      <c r="A789" t="s">
        <v>808</v>
      </c>
      <c r="B789" t="s">
        <v>843</v>
      </c>
      <c r="C789">
        <v>9323171200</v>
      </c>
      <c r="D789" t="str">
        <f>_xlfn.IFNA(VLOOKUP(C789,CallLog_Latest!A:H,7,FALSE),"Not Called")</f>
        <v>Not Called</v>
      </c>
      <c r="E789" t="str">
        <f>IF(ISNA(VLOOKUP(C789,Registration!A:A,1,FALSE)),"Not Registered","Registered")</f>
        <v>Not Registered</v>
      </c>
      <c r="F789">
        <f>VLOOKUP(A789,Sheet1!A:B,2,FALSE)</f>
        <v>9321694896</v>
      </c>
      <c r="G789" t="str">
        <f>_xlfn.IFNA(VLOOKUP(C789,CallLog_Latest!A:H,8,FALSE),"")</f>
        <v/>
      </c>
      <c r="H789" t="str">
        <f>VLOOKUP(C789,[1]Sheet1!$F:$H,3,FALSE)</f>
        <v>G-Wing, Flat No. 403 Palm Court Complex, Link Road, Malad (W,</v>
      </c>
    </row>
    <row r="790" spans="1:8" x14ac:dyDescent="0.25">
      <c r="A790" t="s">
        <v>810</v>
      </c>
      <c r="B790" t="s">
        <v>844</v>
      </c>
      <c r="C790">
        <v>9322260359</v>
      </c>
      <c r="D790" t="str">
        <f>_xlfn.IFNA(VLOOKUP(C790,CallLog_Latest!A:H,7,FALSE),"Not Called")</f>
        <v>Not Called</v>
      </c>
      <c r="E790" t="str">
        <f>IF(ISNA(VLOOKUP(C790,Registration!A:A,1,FALSE)),"Not Registered","Registered")</f>
        <v>Not Registered</v>
      </c>
      <c r="F790">
        <f>VLOOKUP(A790,Sheet1!A:B,2,FALSE)</f>
        <v>9619090608</v>
      </c>
      <c r="G790" t="str">
        <f>_xlfn.IFNA(VLOOKUP(C790,CallLog_Latest!A:H,8,FALSE),"")</f>
        <v/>
      </c>
      <c r="H790" t="str">
        <f>VLOOKUP(C790,[1]Sheet1!$F:$H,3,FALSE)</f>
        <v>D-301  Sanmarg Soc S.V Road</v>
      </c>
    </row>
    <row r="791" spans="1:8" x14ac:dyDescent="0.25">
      <c r="A791" t="s">
        <v>812</v>
      </c>
      <c r="B791" t="s">
        <v>845</v>
      </c>
      <c r="C791">
        <v>8879127080</v>
      </c>
      <c r="D791" t="str">
        <f>_xlfn.IFNA(VLOOKUP(C791,CallLog_Latest!A:H,7,FALSE),"Not Called")</f>
        <v>Not Called</v>
      </c>
      <c r="E791" t="str">
        <f>IF(ISNA(VLOOKUP(C791,Registration!A:A,1,FALSE)),"Not Registered","Registered")</f>
        <v>Not Registered</v>
      </c>
      <c r="F791">
        <f>VLOOKUP(A791,Sheet1!A:B,2,FALSE)</f>
        <v>9320269488</v>
      </c>
      <c r="G791" t="str">
        <f>_xlfn.IFNA(VLOOKUP(C791,CallLog_Latest!A:H,8,FALSE),"")</f>
        <v/>
      </c>
      <c r="H791" t="str">
        <f>VLOOKUP(C791,[1]Sheet1!$F:$H,3,FALSE)</f>
        <v>E-406  Veena Nagar S. V. Road</v>
      </c>
    </row>
    <row r="792" spans="1:8" x14ac:dyDescent="0.25">
      <c r="A792" t="s">
        <v>814</v>
      </c>
      <c r="B792" t="s">
        <v>846</v>
      </c>
      <c r="C792">
        <v>9967031830</v>
      </c>
      <c r="D792" t="str">
        <f>_xlfn.IFNA(VLOOKUP(C792,CallLog_Latest!A:H,7,FALSE),"Not Called")</f>
        <v>Not Called</v>
      </c>
      <c r="E792" t="str">
        <f>IF(ISNA(VLOOKUP(C792,Registration!A:A,1,FALSE)),"Not Registered","Registered")</f>
        <v>Registered</v>
      </c>
      <c r="F792">
        <f>VLOOKUP(A792,Sheet1!A:B,2,FALSE)</f>
        <v>9320624230</v>
      </c>
      <c r="G792" t="str">
        <f>_xlfn.IFNA(VLOOKUP(C792,CallLog_Latest!A:H,8,FALSE),"")</f>
        <v/>
      </c>
      <c r="H792" t="str">
        <f>VLOOKUP(C792,[1]Sheet1!$F:$H,3,FALSE)</f>
        <v>Krishna Residency, E-701 ,  Near D.G. Khetan School Behind Sunder Nagar</v>
      </c>
    </row>
    <row r="793" spans="1:8" x14ac:dyDescent="0.25">
      <c r="A793" t="s">
        <v>782</v>
      </c>
      <c r="B793" t="s">
        <v>847</v>
      </c>
      <c r="C793">
        <v>9833022243</v>
      </c>
      <c r="D793" t="str">
        <f>_xlfn.IFNA(VLOOKUP(C793,CallLog_Latest!A:H,7,FALSE),"Not Called")</f>
        <v>Not Called</v>
      </c>
      <c r="E793" t="str">
        <f>IF(ISNA(VLOOKUP(C793,Registration!A:A,1,FALSE)),"Not Registered","Registered")</f>
        <v>Not Registered</v>
      </c>
      <c r="F793">
        <f>VLOOKUP(A793,Sheet1!A:B,2,FALSE)</f>
        <v>9819004363</v>
      </c>
      <c r="G793" t="str">
        <f>_xlfn.IFNA(VLOOKUP(C793,CallLog_Latest!A:H,8,FALSE),"")</f>
        <v/>
      </c>
      <c r="H793" t="str">
        <f>VLOOKUP(C793,[1]Sheet1!$F:$H,3,FALSE)</f>
        <v>D--301/302  Sonmarg Society S V. Road</v>
      </c>
    </row>
    <row r="794" spans="1:8" x14ac:dyDescent="0.25">
      <c r="A794" t="s">
        <v>784</v>
      </c>
      <c r="B794" t="s">
        <v>848</v>
      </c>
      <c r="C794">
        <v>9820341990</v>
      </c>
      <c r="D794" t="str">
        <f>_xlfn.IFNA(VLOOKUP(C794,CallLog_Latest!A:H,7,FALSE),"Not Called")</f>
        <v>Not Called</v>
      </c>
      <c r="E794" t="str">
        <f>IF(ISNA(VLOOKUP(C794,Registration!A:A,1,FALSE)),"Not Registered","Registered")</f>
        <v>Not Registered</v>
      </c>
      <c r="F794">
        <f>VLOOKUP(A794,Sheet1!A:B,2,FALSE)</f>
        <v>9321133166</v>
      </c>
      <c r="G794" t="str">
        <f>_xlfn.IFNA(VLOOKUP(C794,CallLog_Latest!A:H,8,FALSE),"")</f>
        <v/>
      </c>
      <c r="H794" t="str">
        <f>VLOOKUP(C794,[1]Sheet1!$F:$H,3,FALSE)</f>
        <v>Sonmarg  F-Wing /805-806 S. V Road</v>
      </c>
    </row>
    <row r="795" spans="1:8" x14ac:dyDescent="0.25">
      <c r="A795" t="s">
        <v>786</v>
      </c>
      <c r="B795" t="s">
        <v>782</v>
      </c>
      <c r="C795">
        <v>9819004363</v>
      </c>
      <c r="D795" t="str">
        <f>_xlfn.IFNA(VLOOKUP(C795,CallLog_Latest!A:H,7,FALSE),"Not Called")</f>
        <v>Not Called</v>
      </c>
      <c r="E795" t="str">
        <f>IF(ISNA(VLOOKUP(C795,Registration!A:A,1,FALSE)),"Not Registered","Registered")</f>
        <v>Not Registered</v>
      </c>
      <c r="F795">
        <f>VLOOKUP(A795,Sheet1!A:B,2,FALSE)</f>
        <v>9321532327</v>
      </c>
      <c r="G795" t="str">
        <f>_xlfn.IFNA(VLOOKUP(C795,CallLog_Latest!A:H,8,FALSE),"")</f>
        <v/>
      </c>
      <c r="H795" t="str">
        <f>VLOOKUP(C795,[1]Sheet1!$F:$H,3,FALSE)</f>
        <v>D-301/302,  Sonmarg Soc., Opp. Bajaj Hall, S.V Road, Malad (W</v>
      </c>
    </row>
    <row r="796" spans="1:8" x14ac:dyDescent="0.25">
      <c r="A796" t="s">
        <v>788</v>
      </c>
      <c r="B796" t="s">
        <v>849</v>
      </c>
      <c r="C796">
        <v>9604788872</v>
      </c>
      <c r="D796" t="str">
        <f>_xlfn.IFNA(VLOOKUP(C796,CallLog_Latest!A:H,7,FALSE),"Not Called")</f>
        <v>Not Called</v>
      </c>
      <c r="E796" t="str">
        <f>IF(ISNA(VLOOKUP(C796,Registration!A:A,1,FALSE)),"Not Registered","Registered")</f>
        <v>Not Registered</v>
      </c>
      <c r="F796">
        <f>VLOOKUP(A796,Sheet1!A:B,2,FALSE)</f>
        <v>8879785324</v>
      </c>
      <c r="G796" t="str">
        <f>_xlfn.IFNA(VLOOKUP(C796,CallLog_Latest!A:H,8,FALSE),"")</f>
        <v/>
      </c>
      <c r="H796" t="str">
        <f>VLOOKUP(C796,[1]Sheet1!$F:$H,3,FALSE)</f>
        <v>Flat no. 503  B-Wing  Shital Chaya Opp. New Era Petrol Pump  S.V. Road</v>
      </c>
    </row>
    <row r="797" spans="1:8" x14ac:dyDescent="0.25">
      <c r="A797" t="s">
        <v>790</v>
      </c>
      <c r="B797" t="s">
        <v>850</v>
      </c>
      <c r="C797">
        <v>7506371178</v>
      </c>
      <c r="D797" t="str">
        <f>_xlfn.IFNA(VLOOKUP(C797,CallLog_Latest!A:H,7,FALSE),"Not Called")</f>
        <v>Maybe Attending 🤔</v>
      </c>
      <c r="E797" t="str">
        <f>IF(ISNA(VLOOKUP(C797,Registration!A:A,1,FALSE)),"Not Registered","Registered")</f>
        <v>Not Registered</v>
      </c>
      <c r="F797">
        <f>VLOOKUP(A797,Sheet1!A:B,2,FALSE)</f>
        <v>9702260383</v>
      </c>
      <c r="G797">
        <f>_xlfn.IFNA(VLOOKUP(C797,CallLog_Latest!A:H,8,FALSE),"")</f>
        <v>0</v>
      </c>
      <c r="H797" t="str">
        <f>VLOOKUP(C797,[1]Sheet1!$F:$H,3,FALSE)</f>
        <v>B-1401  Rustomjee Elanza Nr. Inorbit Mall</v>
      </c>
    </row>
    <row r="798" spans="1:8" x14ac:dyDescent="0.25">
      <c r="A798" t="s">
        <v>792</v>
      </c>
      <c r="B798" t="s">
        <v>851</v>
      </c>
      <c r="C798">
        <v>7977117206</v>
      </c>
      <c r="D798" t="str">
        <f>_xlfn.IFNA(VLOOKUP(C798,CallLog_Latest!A:H,7,FALSE),"Not Called")</f>
        <v>Not Called</v>
      </c>
      <c r="E798" t="str">
        <f>IF(ISNA(VLOOKUP(C798,Registration!A:A,1,FALSE)),"Not Registered","Registered")</f>
        <v>Not Registered</v>
      </c>
      <c r="F798">
        <f>VLOOKUP(A798,Sheet1!A:B,2,FALSE)</f>
        <v>9322066124</v>
      </c>
      <c r="G798" t="str">
        <f>_xlfn.IFNA(VLOOKUP(C798,CallLog_Latest!A:H,8,FALSE),"")</f>
        <v/>
      </c>
      <c r="H798" t="str">
        <f>VLOOKUP(C798,[1]Sheet1!$F:$H,3,FALSE)</f>
        <v>603  Gautam Apartment Narsing Lane  Opp. N.L. High School  S.V. Road</v>
      </c>
    </row>
    <row r="799" spans="1:8" x14ac:dyDescent="0.25">
      <c r="A799" t="s">
        <v>794</v>
      </c>
      <c r="B799" t="s">
        <v>852</v>
      </c>
      <c r="C799">
        <v>9867762388</v>
      </c>
      <c r="D799" t="str">
        <f>_xlfn.IFNA(VLOOKUP(C799,CallLog_Latest!A:H,7,FALSE),"Not Called")</f>
        <v>Not Called</v>
      </c>
      <c r="E799" t="str">
        <f>IF(ISNA(VLOOKUP(C799,Registration!A:A,1,FALSE)),"Not Registered","Registered")</f>
        <v>Not Registered</v>
      </c>
      <c r="F799">
        <f>VLOOKUP(A799,Sheet1!A:B,2,FALSE)</f>
        <v>9892303256</v>
      </c>
      <c r="G799" t="str">
        <f>_xlfn.IFNA(VLOOKUP(C799,CallLog_Latest!A:H,8,FALSE),"")</f>
        <v/>
      </c>
      <c r="H799" t="str">
        <f>VLOOKUP(C799,[1]Sheet1!$F:$H,3,FALSE)</f>
        <v>F/201  Pleasant Park  Evershine Nagar</v>
      </c>
    </row>
    <row r="800" spans="1:8" x14ac:dyDescent="0.25">
      <c r="A800" t="s">
        <v>796</v>
      </c>
      <c r="B800" t="s">
        <v>853</v>
      </c>
      <c r="C800">
        <v>9967772280</v>
      </c>
      <c r="D800" t="str">
        <f>_xlfn.IFNA(VLOOKUP(C800,CallLog_Latest!A:H,7,FALSE),"Not Called")</f>
        <v>Not Called</v>
      </c>
      <c r="E800" t="str">
        <f>IF(ISNA(VLOOKUP(C800,Registration!A:A,1,FALSE)),"Not Registered","Registered")</f>
        <v>Registered</v>
      </c>
      <c r="F800">
        <f>VLOOKUP(A800,Sheet1!A:B,2,FALSE)</f>
        <v>9920145200</v>
      </c>
      <c r="G800" t="str">
        <f>_xlfn.IFNA(VLOOKUP(C800,CallLog_Latest!A:H,8,FALSE),"")</f>
        <v/>
      </c>
      <c r="H800" t="str">
        <f>VLOOKUP(C800,[1]Sheet1!$F:$H,3,FALSE)</f>
        <v>E-201  Dhiraj Jamuna Chincholi Bunder Road</v>
      </c>
    </row>
    <row r="801" spans="1:8" x14ac:dyDescent="0.25">
      <c r="A801" t="s">
        <v>798</v>
      </c>
      <c r="B801" t="s">
        <v>854</v>
      </c>
      <c r="C801">
        <v>9322177718</v>
      </c>
      <c r="D801">
        <f>_xlfn.IFNA(VLOOKUP(C801,CallLog_Latest!A:H,7,FALSE),"Not Called")</f>
        <v>0</v>
      </c>
      <c r="E801" t="str">
        <f>IF(ISNA(VLOOKUP(C801,Registration!A:A,1,FALSE)),"Not Registered","Registered")</f>
        <v>Not Registered</v>
      </c>
      <c r="F801">
        <f>VLOOKUP(A801,Sheet1!A:B,2,FALSE)</f>
        <v>9320309630</v>
      </c>
      <c r="G801" t="str">
        <f>_xlfn.IFNA(VLOOKUP(C801,CallLog_Latest!A:H,8,FALSE),"")</f>
        <v>Wrong number</v>
      </c>
      <c r="H801" t="str">
        <f>VLOOKUP(C801,[1]Sheet1!$F:$H,3,FALSE)</f>
        <v>Beaumonde Plot no. 1 Flat No.5 Sunder Nagar S. V. Road, Dalmia College, Malad (W</v>
      </c>
    </row>
    <row r="802" spans="1:8" x14ac:dyDescent="0.25">
      <c r="A802" t="s">
        <v>800</v>
      </c>
      <c r="B802" t="s">
        <v>788</v>
      </c>
      <c r="C802">
        <v>8879785324</v>
      </c>
      <c r="D802" t="str">
        <f>_xlfn.IFNA(VLOOKUP(C802,CallLog_Latest!A:H,7,FALSE),"Not Called")</f>
        <v>Not Called</v>
      </c>
      <c r="E802" t="str">
        <f>IF(ISNA(VLOOKUP(C802,Registration!A:A,1,FALSE)),"Not Registered","Registered")</f>
        <v>Not Registered</v>
      </c>
      <c r="F802">
        <f>VLOOKUP(A802,Sheet1!A:B,2,FALSE)</f>
        <v>9324233820</v>
      </c>
      <c r="G802" t="str">
        <f>_xlfn.IFNA(VLOOKUP(C802,CallLog_Latest!A:H,8,FALSE),"")</f>
        <v/>
      </c>
      <c r="H802" t="str">
        <f>VLOOKUP(C802,[1]Sheet1!$F:$H,3,FALSE)</f>
        <v>Kingston Jewel, A wing 303 Chincholi bunder, Malad west</v>
      </c>
    </row>
    <row r="803" spans="1:8" x14ac:dyDescent="0.25">
      <c r="A803" t="s">
        <v>802</v>
      </c>
      <c r="B803" t="s">
        <v>855</v>
      </c>
      <c r="C803">
        <v>9819040397</v>
      </c>
      <c r="D803" t="str">
        <f>_xlfn.IFNA(VLOOKUP(C803,CallLog_Latest!A:H,7,FALSE),"Not Called")</f>
        <v>Not Called</v>
      </c>
      <c r="E803" t="str">
        <f>IF(ISNA(VLOOKUP(C803,Registration!A:A,1,FALSE)),"Not Registered","Registered")</f>
        <v>Not Registered</v>
      </c>
      <c r="F803">
        <f>VLOOKUP(A803,Sheet1!A:B,2,FALSE)</f>
        <v>8879333966</v>
      </c>
      <c r="G803" t="str">
        <f>_xlfn.IFNA(VLOOKUP(C803,CallLog_Latest!A:H,8,FALSE),"")</f>
        <v/>
      </c>
      <c r="H803" t="str">
        <f>VLOOKUP(C803,[1]Sheet1!$F:$H,3,FALSE)</f>
        <v>A-701  Krishna Regency Sunder Nagar</v>
      </c>
    </row>
    <row r="804" spans="1:8" x14ac:dyDescent="0.25">
      <c r="A804" t="s">
        <v>804</v>
      </c>
      <c r="B804" t="s">
        <v>856</v>
      </c>
      <c r="C804">
        <v>9969608250</v>
      </c>
      <c r="D804" t="str">
        <f>_xlfn.IFNA(VLOOKUP(C804,CallLog_Latest!A:H,7,FALSE),"Not Called")</f>
        <v>Not Called</v>
      </c>
      <c r="E804" t="str">
        <f>IF(ISNA(VLOOKUP(C804,Registration!A:A,1,FALSE)),"Not Registered","Registered")</f>
        <v>Not Registered</v>
      </c>
      <c r="F804">
        <f>VLOOKUP(A804,Sheet1!A:B,2,FALSE)</f>
        <v>9323826288</v>
      </c>
      <c r="G804" t="str">
        <f>_xlfn.IFNA(VLOOKUP(C804,CallLog_Latest!A:H,8,FALSE),"")</f>
        <v/>
      </c>
      <c r="H804" t="str">
        <f>VLOOKUP(C804,[1]Sheet1!$F:$H,3,FALSE)</f>
        <v>9  Anandi Bldg., 3drd Floor Nadiawala Colony no.2  S V Road, Malad (W</v>
      </c>
    </row>
    <row r="805" spans="1:8" x14ac:dyDescent="0.25">
      <c r="A805" t="s">
        <v>806</v>
      </c>
      <c r="B805" t="s">
        <v>784</v>
      </c>
      <c r="C805">
        <v>9321133166</v>
      </c>
      <c r="D805" t="str">
        <f>_xlfn.IFNA(VLOOKUP(C805,CallLog_Latest!A:H,7,FALSE),"Not Called")</f>
        <v>Not Called</v>
      </c>
      <c r="E805" t="str">
        <f>IF(ISNA(VLOOKUP(C805,Registration!A:A,1,FALSE)),"Not Registered","Registered")</f>
        <v>Not Registered</v>
      </c>
      <c r="F805">
        <f>VLOOKUP(A805,Sheet1!A:B,2,FALSE)</f>
        <v>9320770849</v>
      </c>
      <c r="G805" t="str">
        <f>_xlfn.IFNA(VLOOKUP(C805,CallLog_Latest!A:H,8,FALSE),"")</f>
        <v/>
      </c>
      <c r="H805" t="str">
        <f>VLOOKUP(C805,[1]Sheet1!$F:$H,3,FALSE)</f>
        <v>E-303  Sonmarg Building, Opp. Bajaj Hall  Chincholi   S.V. Road, Malad (W</v>
      </c>
    </row>
    <row r="806" spans="1:8" x14ac:dyDescent="0.25">
      <c r="A806" t="s">
        <v>808</v>
      </c>
      <c r="B806" t="s">
        <v>857</v>
      </c>
      <c r="C806">
        <v>9967024173</v>
      </c>
      <c r="D806" t="str">
        <f>_xlfn.IFNA(VLOOKUP(C806,CallLog_Latest!A:H,7,FALSE),"Not Called")</f>
        <v>Not Called</v>
      </c>
      <c r="E806" t="str">
        <f>IF(ISNA(VLOOKUP(C806,Registration!A:A,1,FALSE)),"Not Registered","Registered")</f>
        <v>Not Registered</v>
      </c>
      <c r="F806">
        <f>VLOOKUP(A806,Sheet1!A:B,2,FALSE)</f>
        <v>9321694896</v>
      </c>
      <c r="G806" t="str">
        <f>_xlfn.IFNA(VLOOKUP(C806,CallLog_Latest!A:H,8,FALSE),"")</f>
        <v/>
      </c>
      <c r="H806" t="str">
        <f>VLOOKUP(C806,[1]Sheet1!$F:$H,3,FALSE)</f>
        <v>B-403 Pam court   behind D-mart Link Road ,Malad(w</v>
      </c>
    </row>
    <row r="807" spans="1:8" x14ac:dyDescent="0.25">
      <c r="A807" t="s">
        <v>810</v>
      </c>
      <c r="B807" t="s">
        <v>858</v>
      </c>
      <c r="C807">
        <v>9892106661</v>
      </c>
      <c r="D807" t="str">
        <f>_xlfn.IFNA(VLOOKUP(C807,CallLog_Latest!A:H,7,FALSE),"Not Called")</f>
        <v>Not Called</v>
      </c>
      <c r="E807" t="str">
        <f>IF(ISNA(VLOOKUP(C807,Registration!A:A,1,FALSE)),"Not Registered","Registered")</f>
        <v>Not Registered</v>
      </c>
      <c r="F807">
        <f>VLOOKUP(A807,Sheet1!A:B,2,FALSE)</f>
        <v>9619090608</v>
      </c>
      <c r="G807" t="str">
        <f>_xlfn.IFNA(VLOOKUP(C807,CallLog_Latest!A:H,8,FALSE),"")</f>
        <v/>
      </c>
      <c r="H807" t="str">
        <f>VLOOKUP(C807,[1]Sheet1!$F:$H,3,FALSE)</f>
        <v>B - 704  Kingston Classic  Chincholi Bundar Road</v>
      </c>
    </row>
    <row r="808" spans="1:8" x14ac:dyDescent="0.25">
      <c r="A808" t="s">
        <v>812</v>
      </c>
      <c r="B808" t="s">
        <v>859</v>
      </c>
      <c r="C808">
        <v>9819421249</v>
      </c>
      <c r="D808" t="str">
        <f>_xlfn.IFNA(VLOOKUP(C808,CallLog_Latest!A:H,7,FALSE),"Not Called")</f>
        <v>Not Called</v>
      </c>
      <c r="E808" t="str">
        <f>IF(ISNA(VLOOKUP(C808,Registration!A:A,1,FALSE)),"Not Registered","Registered")</f>
        <v>Not Registered</v>
      </c>
      <c r="F808">
        <f>VLOOKUP(A808,Sheet1!A:B,2,FALSE)</f>
        <v>9320269488</v>
      </c>
      <c r="G808" t="str">
        <f>_xlfn.IFNA(VLOOKUP(C808,CallLog_Latest!A:H,8,FALSE),"")</f>
        <v/>
      </c>
      <c r="H808" t="str">
        <f>VLOOKUP(C808,[1]Sheet1!$F:$H,3,FALSE)</f>
        <v>703,  Daffodil Tower,  Pawan Baug Lane, Near Chincholi Phatak, Malad (W</v>
      </c>
    </row>
    <row r="809" spans="1:8" x14ac:dyDescent="0.25">
      <c r="A809" t="s">
        <v>814</v>
      </c>
      <c r="B809" t="s">
        <v>860</v>
      </c>
      <c r="C809">
        <v>8108611149</v>
      </c>
      <c r="D809" t="str">
        <f>_xlfn.IFNA(VLOOKUP(C809,CallLog_Latest!A:H,7,FALSE),"Not Called")</f>
        <v>Not Called</v>
      </c>
      <c r="E809" t="str">
        <f>IF(ISNA(VLOOKUP(C809,Registration!A:A,1,FALSE)),"Not Registered","Registered")</f>
        <v>Not Registered</v>
      </c>
      <c r="F809">
        <f>VLOOKUP(A809,Sheet1!A:B,2,FALSE)</f>
        <v>9320624230</v>
      </c>
      <c r="G809" t="str">
        <f>_xlfn.IFNA(VLOOKUP(C809,CallLog_Latest!A:H,8,FALSE),"")</f>
        <v/>
      </c>
      <c r="H809" t="str">
        <f>VLOOKUP(C809,[1]Sheet1!$F:$H,3,FALSE)</f>
        <v>Tower 1-4601, Auris Serenity, Opp. Land Mark Restaurant, Link Road, Malad (W</v>
      </c>
    </row>
    <row r="810" spans="1:8" x14ac:dyDescent="0.25">
      <c r="A810" t="s">
        <v>782</v>
      </c>
      <c r="B810" t="s">
        <v>861</v>
      </c>
      <c r="C810">
        <v>7000414471</v>
      </c>
      <c r="D810" t="str">
        <f>_xlfn.IFNA(VLOOKUP(C810,CallLog_Latest!A:H,7,FALSE),"Not Called")</f>
        <v>Not Called</v>
      </c>
      <c r="E810" t="str">
        <f>IF(ISNA(VLOOKUP(C810,Registration!A:A,1,FALSE)),"Not Registered","Registered")</f>
        <v>Not Registered</v>
      </c>
      <c r="F810">
        <f>VLOOKUP(A810,Sheet1!A:B,2,FALSE)</f>
        <v>9819004363</v>
      </c>
      <c r="G810" t="str">
        <f>_xlfn.IFNA(VLOOKUP(C810,CallLog_Latest!A:H,8,FALSE),"")</f>
        <v/>
      </c>
      <c r="H810" t="str">
        <f>VLOOKUP(C810,[1]Sheet1!$F:$H,3,FALSE)</f>
        <v>Landmark Tower Chs, 21/22,  New Link Road, Mith Chowki, Malad (W</v>
      </c>
    </row>
    <row r="811" spans="1:8" x14ac:dyDescent="0.25">
      <c r="A811" t="s">
        <v>784</v>
      </c>
      <c r="B811" t="s">
        <v>862</v>
      </c>
      <c r="C811">
        <v>9594447031</v>
      </c>
      <c r="D811" t="str">
        <f>_xlfn.IFNA(VLOOKUP(C811,CallLog_Latest!A:H,7,FALSE),"Not Called")</f>
        <v>Not Called</v>
      </c>
      <c r="E811" t="str">
        <f>IF(ISNA(VLOOKUP(C811,Registration!A:A,1,FALSE)),"Not Registered","Registered")</f>
        <v>Not Registered</v>
      </c>
      <c r="F811">
        <f>VLOOKUP(A811,Sheet1!A:B,2,FALSE)</f>
        <v>9321133166</v>
      </c>
      <c r="G811" t="str">
        <f>_xlfn.IFNA(VLOOKUP(C811,CallLog_Latest!A:H,8,FALSE),"")</f>
        <v/>
      </c>
      <c r="H811" t="str">
        <f>VLOOKUP(C811,[1]Sheet1!$F:$H,3,FALSE)</f>
        <v>Evershine Grandeur, A/301,  Mindspace, Malad (W, Mumbai - 400064</v>
      </c>
    </row>
    <row r="812" spans="1:8" x14ac:dyDescent="0.25">
      <c r="A812" t="s">
        <v>786</v>
      </c>
      <c r="B812" t="s">
        <v>863</v>
      </c>
      <c r="C812">
        <v>9323173089</v>
      </c>
      <c r="D812" t="str">
        <f>_xlfn.IFNA(VLOOKUP(C812,CallLog_Latest!A:H,7,FALSE),"Not Called")</f>
        <v>Not Called</v>
      </c>
      <c r="E812" t="str">
        <f>IF(ISNA(VLOOKUP(C812,Registration!A:A,1,FALSE)),"Not Registered","Registered")</f>
        <v>Not Registered</v>
      </c>
      <c r="F812">
        <f>VLOOKUP(A812,Sheet1!A:B,2,FALSE)</f>
        <v>9321532327</v>
      </c>
      <c r="G812" t="str">
        <f>_xlfn.IFNA(VLOOKUP(C812,CallLog_Latest!A:H,8,FALSE),"")</f>
        <v/>
      </c>
      <c r="H812" t="str">
        <f>VLOOKUP(C812,[1]Sheet1!$F:$H,3,FALSE)</f>
        <v>B-605  Kingston Complex Chincholi Bunder Road</v>
      </c>
    </row>
    <row r="813" spans="1:8" x14ac:dyDescent="0.25">
      <c r="A813" t="s">
        <v>788</v>
      </c>
      <c r="B813" t="s">
        <v>864</v>
      </c>
      <c r="C813">
        <v>9320034414</v>
      </c>
      <c r="D813" t="str">
        <f>_xlfn.IFNA(VLOOKUP(C813,CallLog_Latest!A:H,7,FALSE),"Not Called")</f>
        <v>Not Called</v>
      </c>
      <c r="E813" t="str">
        <f>IF(ISNA(VLOOKUP(C813,Registration!A:A,1,FALSE)),"Not Registered","Registered")</f>
        <v>Not Registered</v>
      </c>
      <c r="F813">
        <f>VLOOKUP(A813,Sheet1!A:B,2,FALSE)</f>
        <v>8879785324</v>
      </c>
      <c r="G813" t="str">
        <f>_xlfn.IFNA(VLOOKUP(C813,CallLog_Latest!A:H,8,FALSE),"")</f>
        <v/>
      </c>
      <c r="H813" t="str">
        <f>VLOOKUP(C813,[1]Sheet1!$F:$H,3,FALSE)</f>
        <v>Flat No 4405-06, 44th Floor, Tower -2,  Auris Serenity, Kanchanpada, Link Road, Malda (W</v>
      </c>
    </row>
    <row r="814" spans="1:8" x14ac:dyDescent="0.25">
      <c r="A814" t="s">
        <v>790</v>
      </c>
      <c r="B814" t="s">
        <v>865</v>
      </c>
      <c r="C814">
        <v>8446381106</v>
      </c>
      <c r="D814" t="str">
        <f>_xlfn.IFNA(VLOOKUP(C814,CallLog_Latest!A:H,7,FALSE),"Not Called")</f>
        <v>Maybe Attending 🤔</v>
      </c>
      <c r="E814" t="str">
        <f>IF(ISNA(VLOOKUP(C814,Registration!A:A,1,FALSE)),"Not Registered","Registered")</f>
        <v>Not Registered</v>
      </c>
      <c r="F814">
        <f>VLOOKUP(A814,Sheet1!A:B,2,FALSE)</f>
        <v>9702260383</v>
      </c>
      <c r="G814">
        <f>_xlfn.IFNA(VLOOKUP(C814,CallLog_Latest!A:H,8,FALSE),"")</f>
        <v>0</v>
      </c>
      <c r="H814" t="str">
        <f>VLOOKUP(C814,[1]Sheet1!$F:$H,3,FALSE)</f>
        <v>Arkade Serene, Flat 2105-2106, Abhanga Samata CHSL., Sunder Nagar, S.V. Road, Near Dalmia College, Malad (W,</v>
      </c>
    </row>
    <row r="815" spans="1:8" x14ac:dyDescent="0.25">
      <c r="A815" t="s">
        <v>792</v>
      </c>
      <c r="B815" t="s">
        <v>866</v>
      </c>
      <c r="C815">
        <v>9920997978</v>
      </c>
      <c r="D815" t="str">
        <f>_xlfn.IFNA(VLOOKUP(C815,CallLog_Latest!A:H,7,FALSE),"Not Called")</f>
        <v>Not Called</v>
      </c>
      <c r="E815" t="str">
        <f>IF(ISNA(VLOOKUP(C815,Registration!A:A,1,FALSE)),"Not Registered","Registered")</f>
        <v>Not Registered</v>
      </c>
      <c r="F815">
        <f>VLOOKUP(A815,Sheet1!A:B,2,FALSE)</f>
        <v>9322066124</v>
      </c>
      <c r="G815" t="str">
        <f>_xlfn.IFNA(VLOOKUP(C815,CallLog_Latest!A:H,8,FALSE),"")</f>
        <v/>
      </c>
      <c r="H815" t="str">
        <f>VLOOKUP(C815,[1]Sheet1!$F:$H,3,FALSE)</f>
        <v>Palm Spring C-808 Link Road  Nr. D. Mart &amp; Infinity Mall</v>
      </c>
    </row>
    <row r="816" spans="1:8" x14ac:dyDescent="0.25">
      <c r="A816" t="s">
        <v>794</v>
      </c>
      <c r="B816" t="s">
        <v>867</v>
      </c>
      <c r="C816">
        <v>9376726888</v>
      </c>
      <c r="D816" t="str">
        <f>_xlfn.IFNA(VLOOKUP(C816,CallLog_Latest!A:H,7,FALSE),"Not Called")</f>
        <v>Not Called</v>
      </c>
      <c r="E816" t="str">
        <f>IF(ISNA(VLOOKUP(C816,Registration!A:A,1,FALSE)),"Not Registered","Registered")</f>
        <v>Not Registered</v>
      </c>
      <c r="F816">
        <f>VLOOKUP(A816,Sheet1!A:B,2,FALSE)</f>
        <v>9892303256</v>
      </c>
      <c r="G816" t="str">
        <f>_xlfn.IFNA(VLOOKUP(C816,CallLog_Latest!A:H,8,FALSE),"")</f>
        <v/>
      </c>
      <c r="H816" t="str">
        <f>VLOOKUP(C816,[1]Sheet1!$F:$H,3,FALSE)</f>
        <v>Shailja Apartment, 604 Evershine Nagar, Khandelwal Layout, Malad (W</v>
      </c>
    </row>
    <row r="817" spans="1:8" x14ac:dyDescent="0.25">
      <c r="A817" t="s">
        <v>796</v>
      </c>
      <c r="B817" t="s">
        <v>868</v>
      </c>
      <c r="C817">
        <v>9320606061</v>
      </c>
      <c r="D817" t="str">
        <f>_xlfn.IFNA(VLOOKUP(C817,CallLog_Latest!A:H,7,FALSE),"Not Called")</f>
        <v>Not Called</v>
      </c>
      <c r="E817" t="str">
        <f>IF(ISNA(VLOOKUP(C817,Registration!A:A,1,FALSE)),"Not Registered","Registered")</f>
        <v>Not Registered</v>
      </c>
      <c r="F817">
        <f>VLOOKUP(A817,Sheet1!A:B,2,FALSE)</f>
        <v>9920145200</v>
      </c>
      <c r="G817" t="str">
        <f>_xlfn.IFNA(VLOOKUP(C817,CallLog_Latest!A:H,8,FALSE),"")</f>
        <v/>
      </c>
      <c r="H817" t="str">
        <f>VLOOKUP(C817,[1]Sheet1!$F:$H,3,FALSE)</f>
        <v>SHANTI SADAN   4TH FLR  MARVE ROAD  JUNCTION ABOVE MANIRATAN JEWELLERS</v>
      </c>
    </row>
    <row r="818" spans="1:8" x14ac:dyDescent="0.25">
      <c r="A818" t="s">
        <v>798</v>
      </c>
      <c r="B818" t="s">
        <v>67</v>
      </c>
      <c r="C818">
        <v>9820251565</v>
      </c>
      <c r="D818">
        <f>_xlfn.IFNA(VLOOKUP(C818,CallLog_Latest!A:H,7,FALSE),"Not Called")</f>
        <v>0</v>
      </c>
      <c r="E818" t="str">
        <f>IF(ISNA(VLOOKUP(C818,Registration!A:A,1,FALSE)),"Not Registered","Registered")</f>
        <v>Not Registered</v>
      </c>
      <c r="F818">
        <f>VLOOKUP(A818,Sheet1!A:B,2,FALSE)</f>
        <v>9320309630</v>
      </c>
      <c r="G818" t="str">
        <f>_xlfn.IFNA(VLOOKUP(C818,CallLog_Latest!A:H,8,FALSE),"")</f>
        <v>Not picked up</v>
      </c>
      <c r="H818" t="str">
        <f>VLOOKUP(C818,[1]Sheet1!$F:$H,3,FALSE)</f>
        <v>C-709. Dheeraj Pooja CHS. Ltd. Chincholi Bunder Road,  Near Infant Jesus School, Malad West</v>
      </c>
    </row>
    <row r="819" spans="1:8" x14ac:dyDescent="0.25">
      <c r="A819" t="s">
        <v>800</v>
      </c>
      <c r="B819" t="s">
        <v>869</v>
      </c>
      <c r="C819">
        <v>9377709189</v>
      </c>
      <c r="D819" t="str">
        <f>_xlfn.IFNA(VLOOKUP(C819,CallLog_Latest!A:H,7,FALSE),"Not Called")</f>
        <v>Not Called</v>
      </c>
      <c r="E819" t="str">
        <f>IF(ISNA(VLOOKUP(C819,Registration!A:A,1,FALSE)),"Not Registered","Registered")</f>
        <v>Not Registered</v>
      </c>
      <c r="F819">
        <f>VLOOKUP(A819,Sheet1!A:B,2,FALSE)</f>
        <v>9324233820</v>
      </c>
      <c r="G819" t="str">
        <f>_xlfn.IFNA(VLOOKUP(C819,CallLog_Latest!A:H,8,FALSE),"")</f>
        <v/>
      </c>
      <c r="H819" t="str">
        <f>VLOOKUP(C819,[1]Sheet1!$F:$H,3,FALSE)</f>
        <v>Shailja Apartment, 604 Evershine Nagar, Khandelwal Layout, Malad (W</v>
      </c>
    </row>
    <row r="820" spans="1:8" x14ac:dyDescent="0.25">
      <c r="A820" t="s">
        <v>802</v>
      </c>
      <c r="B820" t="s">
        <v>870</v>
      </c>
      <c r="C820">
        <v>9920230862</v>
      </c>
      <c r="D820" t="str">
        <f>_xlfn.IFNA(VLOOKUP(C820,CallLog_Latest!A:H,7,FALSE),"Not Called")</f>
        <v>Not Called</v>
      </c>
      <c r="E820" t="str">
        <f>IF(ISNA(VLOOKUP(C820,Registration!A:A,1,FALSE)),"Not Registered","Registered")</f>
        <v>Not Registered</v>
      </c>
      <c r="F820">
        <f>VLOOKUP(A820,Sheet1!A:B,2,FALSE)</f>
        <v>8879333966</v>
      </c>
      <c r="G820" t="str">
        <f>_xlfn.IFNA(VLOOKUP(C820,CallLog_Latest!A:H,8,FALSE),"")</f>
        <v/>
      </c>
      <c r="H820" t="str">
        <f>VLOOKUP(C820,[1]Sheet1!$F:$H,3,FALSE)</f>
        <v>302/03  Ashmita Abhishek Society, Sunder Nagar  Opp. Dalmiya College  S.V. Road, Malad (W</v>
      </c>
    </row>
    <row r="821" spans="1:8" x14ac:dyDescent="0.25">
      <c r="A821" t="s">
        <v>804</v>
      </c>
      <c r="B821" t="s">
        <v>871</v>
      </c>
      <c r="C821">
        <v>9324906655</v>
      </c>
      <c r="D821" t="str">
        <f>_xlfn.IFNA(VLOOKUP(C821,CallLog_Latest!A:H,7,FALSE),"Not Called")</f>
        <v>Not Called</v>
      </c>
      <c r="E821" t="str">
        <f>IF(ISNA(VLOOKUP(C821,Registration!A:A,1,FALSE)),"Not Registered","Registered")</f>
        <v>Not Registered</v>
      </c>
      <c r="F821">
        <f>VLOOKUP(A821,Sheet1!A:B,2,FALSE)</f>
        <v>9323826288</v>
      </c>
      <c r="G821" t="str">
        <f>_xlfn.IFNA(VLOOKUP(C821,CallLog_Latest!A:H,8,FALSE),"")</f>
        <v/>
      </c>
      <c r="H821" t="str">
        <f>VLOOKUP(C821,[1]Sheet1!$F:$H,3,FALSE)</f>
        <v>605 A-Wing  Flamingo CHS. Rajanpada, Near Mittal College, Off Link Road</v>
      </c>
    </row>
    <row r="822" spans="1:8" x14ac:dyDescent="0.25">
      <c r="A822" t="s">
        <v>806</v>
      </c>
      <c r="B822" t="s">
        <v>872</v>
      </c>
      <c r="C822">
        <v>8368650140</v>
      </c>
      <c r="D822" t="str">
        <f>_xlfn.IFNA(VLOOKUP(C822,CallLog_Latest!A:H,7,FALSE),"Not Called")</f>
        <v>Not Called</v>
      </c>
      <c r="E822" t="str">
        <f>IF(ISNA(VLOOKUP(C822,Registration!A:A,1,FALSE)),"Not Registered","Registered")</f>
        <v>Not Registered</v>
      </c>
      <c r="F822">
        <f>VLOOKUP(A822,Sheet1!A:B,2,FALSE)</f>
        <v>9320770849</v>
      </c>
      <c r="G822" t="str">
        <f>_xlfn.IFNA(VLOOKUP(C822,CallLog_Latest!A:H,8,FALSE),"")</f>
        <v/>
      </c>
      <c r="H822" t="str">
        <f>VLOOKUP(C822,[1]Sheet1!$F:$H,3,FALSE)</f>
        <v>901-902  Acme Enclave Vasari Hill  Off Link Road, Malad (W</v>
      </c>
    </row>
    <row r="823" spans="1:8" x14ac:dyDescent="0.25">
      <c r="A823" t="s">
        <v>808</v>
      </c>
      <c r="B823" t="s">
        <v>810</v>
      </c>
      <c r="C823">
        <v>9619090608</v>
      </c>
      <c r="D823" t="str">
        <f>_xlfn.IFNA(VLOOKUP(C823,CallLog_Latest!A:H,7,FALSE),"Not Called")</f>
        <v>Not Called</v>
      </c>
      <c r="E823" t="str">
        <f>IF(ISNA(VLOOKUP(C823,Registration!A:A,1,FALSE)),"Not Registered","Registered")</f>
        <v>Not Registered</v>
      </c>
      <c r="F823">
        <f>VLOOKUP(A823,Sheet1!A:B,2,FALSE)</f>
        <v>9321694896</v>
      </c>
      <c r="G823" t="str">
        <f>_xlfn.IFNA(VLOOKUP(C823,CallLog_Latest!A:H,8,FALSE),"")</f>
        <v/>
      </c>
      <c r="H823" t="str">
        <f>VLOOKUP(C823,[1]Sheet1!$F:$H,3,FALSE)</f>
        <v>E/1 Veena Nagar, Opp. SBI Bank, S.V.Road, Malad (W</v>
      </c>
    </row>
    <row r="824" spans="1:8" x14ac:dyDescent="0.25">
      <c r="A824" t="s">
        <v>810</v>
      </c>
      <c r="B824" t="s">
        <v>798</v>
      </c>
      <c r="C824">
        <v>9320309630</v>
      </c>
      <c r="D824" t="str">
        <f>_xlfn.IFNA(VLOOKUP(C824,CallLog_Latest!A:H,7,FALSE),"Not Called")</f>
        <v>Not Called</v>
      </c>
      <c r="E824" t="str">
        <f>IF(ISNA(VLOOKUP(C824,Registration!A:A,1,FALSE)),"Not Registered","Registered")</f>
        <v>Not Registered</v>
      </c>
      <c r="F824">
        <f>VLOOKUP(A824,Sheet1!A:B,2,FALSE)</f>
        <v>9619090608</v>
      </c>
      <c r="G824" t="str">
        <f>_xlfn.IFNA(VLOOKUP(C824,CallLog_Latest!A:H,8,FALSE),"")</f>
        <v/>
      </c>
      <c r="H824" t="str">
        <f>VLOOKUP(C824,[1]Sheet1!$F:$H,3,FALSE)</f>
        <v>D-203  Dhirajganga Society, Chincholi Bunder Road, Malad (West</v>
      </c>
    </row>
    <row r="825" spans="1:8" x14ac:dyDescent="0.25">
      <c r="A825" t="s">
        <v>812</v>
      </c>
      <c r="B825" t="s">
        <v>873</v>
      </c>
      <c r="C825">
        <v>9892324255</v>
      </c>
      <c r="D825" t="str">
        <f>_xlfn.IFNA(VLOOKUP(C825,CallLog_Latest!A:H,7,FALSE),"Not Called")</f>
        <v>Not Called</v>
      </c>
      <c r="E825" t="str">
        <f>IF(ISNA(VLOOKUP(C825,Registration!A:A,1,FALSE)),"Not Registered","Registered")</f>
        <v>Not Registered</v>
      </c>
      <c r="F825">
        <f>VLOOKUP(A825,Sheet1!A:B,2,FALSE)</f>
        <v>9320269488</v>
      </c>
      <c r="G825" t="str">
        <f>_xlfn.IFNA(VLOOKUP(C825,CallLog_Latest!A:H,8,FALSE),"")</f>
        <v/>
      </c>
      <c r="H825" t="str">
        <f>VLOOKUP(C825,[1]Sheet1!$F:$H,3,FALSE)</f>
        <v>E-303, Pleasant Park, Movie Time, Malad (W</v>
      </c>
    </row>
    <row r="826" spans="1:8" x14ac:dyDescent="0.25">
      <c r="A826" t="s">
        <v>814</v>
      </c>
      <c r="B826" t="s">
        <v>874</v>
      </c>
      <c r="C826">
        <v>9619127276</v>
      </c>
      <c r="D826" t="str">
        <f>_xlfn.IFNA(VLOOKUP(C826,CallLog_Latest!A:H,7,FALSE),"Not Called")</f>
        <v>Not Called</v>
      </c>
      <c r="E826" t="str">
        <f>IF(ISNA(VLOOKUP(C826,Registration!A:A,1,FALSE)),"Not Registered","Registered")</f>
        <v>Not Registered</v>
      </c>
      <c r="F826">
        <f>VLOOKUP(A826,Sheet1!A:B,2,FALSE)</f>
        <v>9320624230</v>
      </c>
      <c r="G826" t="str">
        <f>_xlfn.IFNA(VLOOKUP(C826,CallLog_Latest!A:H,8,FALSE),"")</f>
        <v/>
      </c>
      <c r="H826" t="str">
        <f>VLOOKUP(C826,[1]Sheet1!$F:$H,3,FALSE)</f>
        <v>G-204 Krishna Residency  Opp Dalmiya College Sunder Nagar</v>
      </c>
    </row>
    <row r="827" spans="1:8" x14ac:dyDescent="0.25">
      <c r="A827" t="s">
        <v>782</v>
      </c>
      <c r="B827" t="s">
        <v>875</v>
      </c>
      <c r="C827">
        <v>7738892551</v>
      </c>
      <c r="D827" t="str">
        <f>_xlfn.IFNA(VLOOKUP(C827,CallLog_Latest!A:H,7,FALSE),"Not Called")</f>
        <v>Not Called</v>
      </c>
      <c r="E827" t="str">
        <f>IF(ISNA(VLOOKUP(C827,Registration!A:A,1,FALSE)),"Not Registered","Registered")</f>
        <v>Not Registered</v>
      </c>
      <c r="F827">
        <f>VLOOKUP(A827,Sheet1!A:B,2,FALSE)</f>
        <v>9819004363</v>
      </c>
      <c r="G827" t="str">
        <f>_xlfn.IFNA(VLOOKUP(C827,CallLog_Latest!A:H,8,FALSE),"")</f>
        <v/>
      </c>
      <c r="H827" t="str">
        <f>VLOOKUP(C827,[1]Sheet1!$F:$H,3,FALSE)</f>
        <v>K-Nalanda, 507  Sundar Nagar, S.V.Road, Malad (W</v>
      </c>
    </row>
    <row r="828" spans="1:8" x14ac:dyDescent="0.25">
      <c r="A828" t="s">
        <v>784</v>
      </c>
      <c r="B828" t="s">
        <v>876</v>
      </c>
      <c r="C828">
        <v>9833401628</v>
      </c>
      <c r="D828" t="str">
        <f>_xlfn.IFNA(VLOOKUP(C828,CallLog_Latest!A:H,7,FALSE),"Not Called")</f>
        <v>Not Called</v>
      </c>
      <c r="E828" t="str">
        <f>IF(ISNA(VLOOKUP(C828,Registration!A:A,1,FALSE)),"Not Registered","Registered")</f>
        <v>Not Registered</v>
      </c>
      <c r="F828">
        <f>VLOOKUP(A828,Sheet1!A:B,2,FALSE)</f>
        <v>9321133166</v>
      </c>
      <c r="G828" t="str">
        <f>_xlfn.IFNA(VLOOKUP(C828,CallLog_Latest!A:H,8,FALSE),"")</f>
        <v/>
      </c>
      <c r="H828" t="str">
        <f>VLOOKUP(C828,[1]Sheet1!$F:$H,3,FALSE)</f>
        <v>T-2  2606 Auris serenity Kachapada Malad (W</v>
      </c>
    </row>
    <row r="829" spans="1:8" x14ac:dyDescent="0.25">
      <c r="A829" t="s">
        <v>786</v>
      </c>
      <c r="B829" t="s">
        <v>877</v>
      </c>
      <c r="C829">
        <v>9619535256</v>
      </c>
      <c r="D829" t="str">
        <f>_xlfn.IFNA(VLOOKUP(C829,CallLog_Latest!A:H,7,FALSE),"Not Called")</f>
        <v>Not Called</v>
      </c>
      <c r="E829" t="str">
        <f>IF(ISNA(VLOOKUP(C829,Registration!A:A,1,FALSE)),"Not Registered","Registered")</f>
        <v>Not Registered</v>
      </c>
      <c r="F829">
        <f>VLOOKUP(A829,Sheet1!A:B,2,FALSE)</f>
        <v>9321532327</v>
      </c>
      <c r="G829" t="str">
        <f>_xlfn.IFNA(VLOOKUP(C829,CallLog_Latest!A:H,8,FALSE),"")</f>
        <v/>
      </c>
      <c r="H829" t="str">
        <f>VLOOKUP(C829,[1]Sheet1!$F:$H,3,FALSE)</f>
        <v>15, 3rd Floor, Wing -1 Bhagwati Apartment Chincholi Phatak Road, Nr. Bajaj Hall Malad (W</v>
      </c>
    </row>
    <row r="830" spans="1:8" x14ac:dyDescent="0.25">
      <c r="A830" t="s">
        <v>788</v>
      </c>
      <c r="B830" t="s">
        <v>878</v>
      </c>
      <c r="C830">
        <v>9427329820</v>
      </c>
      <c r="D830" t="str">
        <f>_xlfn.IFNA(VLOOKUP(C830,CallLog_Latest!A:H,7,FALSE),"Not Called")</f>
        <v>Not Called</v>
      </c>
      <c r="E830" t="str">
        <f>IF(ISNA(VLOOKUP(C830,Registration!A:A,1,FALSE)),"Not Registered","Registered")</f>
        <v>Not Registered</v>
      </c>
      <c r="F830">
        <f>VLOOKUP(A830,Sheet1!A:B,2,FALSE)</f>
        <v>8879785324</v>
      </c>
      <c r="G830" t="str">
        <f>_xlfn.IFNA(VLOOKUP(C830,CallLog_Latest!A:H,8,FALSE),"")</f>
        <v/>
      </c>
      <c r="H830" t="str">
        <f>VLOOKUP(C830,[1]Sheet1!$F:$H,3,FALSE)</f>
        <v>601  Paramratna Building Jakaria Road  Opp. Post Office  Malad (W</v>
      </c>
    </row>
    <row r="831" spans="1:8" x14ac:dyDescent="0.25">
      <c r="A831" t="s">
        <v>790</v>
      </c>
      <c r="B831" t="s">
        <v>796</v>
      </c>
      <c r="C831">
        <v>9920145200</v>
      </c>
      <c r="D831" t="str">
        <f>_xlfn.IFNA(VLOOKUP(C831,CallLog_Latest!A:H,7,FALSE),"Not Called")</f>
        <v>Phone Busy</v>
      </c>
      <c r="E831" t="str">
        <f>IF(ISNA(VLOOKUP(C831,Registration!A:A,1,FALSE)),"Not Registered","Registered")</f>
        <v>Not Registered</v>
      </c>
      <c r="F831">
        <f>VLOOKUP(A831,Sheet1!A:B,2,FALSE)</f>
        <v>9702260383</v>
      </c>
      <c r="G831">
        <f>_xlfn.IFNA(VLOOKUP(C831,CallLog_Latest!A:H,8,FALSE),"")</f>
        <v>0</v>
      </c>
      <c r="H831" t="str">
        <f>VLOOKUP(C831,[1]Sheet1!$F:$H,3,FALSE)</f>
        <v>C/409  Dheeraj Pooja, Chincholi Bunder Road, Malad (West</v>
      </c>
    </row>
    <row r="832" spans="1:8" x14ac:dyDescent="0.25">
      <c r="A832" t="s">
        <v>792</v>
      </c>
      <c r="B832" t="s">
        <v>879</v>
      </c>
      <c r="C832">
        <v>9320636392</v>
      </c>
      <c r="D832" t="str">
        <f>_xlfn.IFNA(VLOOKUP(C832,CallLog_Latest!A:H,7,FALSE),"Not Called")</f>
        <v>Not Called</v>
      </c>
      <c r="E832" t="str">
        <f>IF(ISNA(VLOOKUP(C832,Registration!A:A,1,FALSE)),"Not Registered","Registered")</f>
        <v>Not Registered</v>
      </c>
      <c r="F832">
        <f>VLOOKUP(A832,Sheet1!A:B,2,FALSE)</f>
        <v>9322066124</v>
      </c>
      <c r="G832" t="str">
        <f>_xlfn.IFNA(VLOOKUP(C832,CallLog_Latest!A:H,8,FALSE),"")</f>
        <v/>
      </c>
      <c r="H832" t="str">
        <f>VLOOKUP(C832,[1]Sheet1!$F:$H,3,FALSE)</f>
        <v>Vini Tower,  A/1003,  Near Infant Jesus School Off Chincholi Bunder Road, Malad (W</v>
      </c>
    </row>
    <row r="833" spans="1:8" x14ac:dyDescent="0.25">
      <c r="A833" t="s">
        <v>794</v>
      </c>
      <c r="B833" t="s">
        <v>880</v>
      </c>
      <c r="C833">
        <v>9930635599</v>
      </c>
      <c r="D833" t="str">
        <f>_xlfn.IFNA(VLOOKUP(C833,CallLog_Latest!A:H,7,FALSE),"Not Called")</f>
        <v>Not Called</v>
      </c>
      <c r="E833" t="str">
        <f>IF(ISNA(VLOOKUP(C833,Registration!A:A,1,FALSE)),"Not Registered","Registered")</f>
        <v>Not Registered</v>
      </c>
      <c r="F833">
        <f>VLOOKUP(A833,Sheet1!A:B,2,FALSE)</f>
        <v>9892303256</v>
      </c>
      <c r="G833" t="str">
        <f>_xlfn.IFNA(VLOOKUP(C833,CallLog_Latest!A:H,8,FALSE),"")</f>
        <v/>
      </c>
      <c r="H833" t="str">
        <f>VLOOKUP(C833,[1]Sheet1!$F:$H,3,FALSE)</f>
        <v>1001  A-wing  Ashok Enclave  Chincholi Bunder Road  Opp  Evershine Mall</v>
      </c>
    </row>
    <row r="834" spans="1:8" x14ac:dyDescent="0.25">
      <c r="A834" t="s">
        <v>796</v>
      </c>
      <c r="B834" t="s">
        <v>881</v>
      </c>
      <c r="C834">
        <v>9999104545</v>
      </c>
      <c r="D834" t="str">
        <f>_xlfn.IFNA(VLOOKUP(C834,CallLog_Latest!A:H,7,FALSE),"Not Called")</f>
        <v>Not Called</v>
      </c>
      <c r="E834" t="str">
        <f>IF(ISNA(VLOOKUP(C834,Registration!A:A,1,FALSE)),"Not Registered","Registered")</f>
        <v>Not Registered</v>
      </c>
      <c r="F834">
        <f>VLOOKUP(A834,Sheet1!A:B,2,FALSE)</f>
        <v>9920145200</v>
      </c>
      <c r="G834" t="str">
        <f>_xlfn.IFNA(VLOOKUP(C834,CallLog_Latest!A:H,8,FALSE),"")</f>
        <v/>
      </c>
      <c r="H834" t="str">
        <f>VLOOKUP(C834,[1]Sheet1!$F:$H,3,FALSE)</f>
        <v>C-1004  Rna Royal Park M.G Road</v>
      </c>
    </row>
    <row r="835" spans="1:8" x14ac:dyDescent="0.25">
      <c r="A835" t="s">
        <v>798</v>
      </c>
      <c r="B835" t="s">
        <v>882</v>
      </c>
      <c r="C835">
        <v>8999747002</v>
      </c>
      <c r="D835" t="str">
        <f>_xlfn.IFNA(VLOOKUP(C835,CallLog_Latest!A:H,7,FALSE),"Not Called")</f>
        <v>Confirmed Presence</v>
      </c>
      <c r="E835" t="str">
        <f>IF(ISNA(VLOOKUP(C835,Registration!A:A,1,FALSE)),"Not Registered","Registered")</f>
        <v>Not Registered</v>
      </c>
      <c r="F835">
        <f>VLOOKUP(A835,Sheet1!A:B,2,FALSE)</f>
        <v>9320309630</v>
      </c>
      <c r="G835" t="str">
        <f>_xlfn.IFNA(VLOOKUP(C835,CallLog_Latest!A:H,8,FALSE),"")</f>
        <v>Coming</v>
      </c>
      <c r="H835" t="str">
        <f>VLOOKUP(C835,[1]Sheet1!$F:$H,3,FALSE)</f>
        <v>Rock Enclave A-503,Plot C,above Yes bank  Hindustan Naka, Kandivali west</v>
      </c>
    </row>
    <row r="836" spans="1:8" x14ac:dyDescent="0.25">
      <c r="A836" t="s">
        <v>800</v>
      </c>
      <c r="B836" t="s">
        <v>883</v>
      </c>
      <c r="C836">
        <v>9994144544</v>
      </c>
      <c r="D836" t="str">
        <f>_xlfn.IFNA(VLOOKUP(C836,CallLog_Latest!A:H,7,FALSE),"Not Called")</f>
        <v>Not Reachable</v>
      </c>
      <c r="E836" t="str">
        <f>IF(ISNA(VLOOKUP(C836,Registration!A:A,1,FALSE)),"Not Registered","Registered")</f>
        <v>Not Registered</v>
      </c>
      <c r="F836">
        <f>VLOOKUP(A836,Sheet1!A:B,2,FALSE)</f>
        <v>9324233820</v>
      </c>
      <c r="G836" t="str">
        <f>_xlfn.IFNA(VLOOKUP(C836,CallLog_Latest!A:H,8,FALSE),"")</f>
        <v>Wrong no</v>
      </c>
      <c r="H836" t="str">
        <f>VLOOKUP(C836,[1]Sheet1!$F:$H,3,FALSE)</f>
        <v>A-101 Mahavir Darshan  Plot No-2 Charkop  Sec-Ii  Rd.P-1</v>
      </c>
    </row>
    <row r="837" spans="1:8" x14ac:dyDescent="0.25">
      <c r="A837" t="s">
        <v>802</v>
      </c>
      <c r="B837" t="s">
        <v>884</v>
      </c>
      <c r="C837">
        <v>9969772566</v>
      </c>
      <c r="D837" t="str">
        <f>_xlfn.IFNA(VLOOKUP(C837,CallLog_Latest!A:H,7,FALSE),"Not Called")</f>
        <v>Not Called</v>
      </c>
      <c r="E837" t="str">
        <f>IF(ISNA(VLOOKUP(C837,Registration!A:A,1,FALSE)),"Not Registered","Registered")</f>
        <v>Not Registered</v>
      </c>
      <c r="F837">
        <f>VLOOKUP(A837,Sheet1!A:B,2,FALSE)</f>
        <v>8879333966</v>
      </c>
      <c r="G837" t="str">
        <f>_xlfn.IFNA(VLOOKUP(C837,CallLog_Latest!A:H,8,FALSE),"")</f>
        <v/>
      </c>
      <c r="H837" t="str">
        <f>VLOOKUP(C837,[1]Sheet1!$F:$H,3,FALSE)</f>
        <v>1001  Divya Gunjan  Gaurav Garden Complex Ganesh Chowk  Charkop  Sector-6</v>
      </c>
    </row>
    <row r="838" spans="1:8" x14ac:dyDescent="0.25">
      <c r="A838" t="s">
        <v>804</v>
      </c>
      <c r="B838" t="s">
        <v>885</v>
      </c>
      <c r="C838">
        <v>9833902206</v>
      </c>
      <c r="D838" t="str">
        <f>_xlfn.IFNA(VLOOKUP(C838,CallLog_Latest!A:H,7,FALSE),"Not Called")</f>
        <v>Not Called</v>
      </c>
      <c r="E838" t="str">
        <f>IF(ISNA(VLOOKUP(C838,Registration!A:A,1,FALSE)),"Not Registered","Registered")</f>
        <v>Not Registered</v>
      </c>
      <c r="F838">
        <f>VLOOKUP(A838,Sheet1!A:B,2,FALSE)</f>
        <v>9323826288</v>
      </c>
      <c r="G838" t="str">
        <f>_xlfn.IFNA(VLOOKUP(C838,CallLog_Latest!A:H,8,FALSE),"")</f>
        <v/>
      </c>
      <c r="H838" t="str">
        <f>VLOOKUP(C838,[1]Sheet1!$F:$H,3,FALSE)</f>
        <v>1001, Divya Gunjan Gaurav Garden Complex, Ganesh Chowk, Charkop Sector -6, Kandivali (W</v>
      </c>
    </row>
    <row r="839" spans="1:8" x14ac:dyDescent="0.25">
      <c r="A839" t="s">
        <v>806</v>
      </c>
      <c r="B839" t="s">
        <v>886</v>
      </c>
      <c r="C839">
        <v>9819781909</v>
      </c>
      <c r="D839" t="str">
        <f>_xlfn.IFNA(VLOOKUP(C839,CallLog_Latest!A:H,7,FALSE),"Not Called")</f>
        <v>Not Called</v>
      </c>
      <c r="E839" t="str">
        <f>IF(ISNA(VLOOKUP(C839,Registration!A:A,1,FALSE)),"Not Registered","Registered")</f>
        <v>Not Registered</v>
      </c>
      <c r="F839">
        <f>VLOOKUP(A839,Sheet1!A:B,2,FALSE)</f>
        <v>9320770849</v>
      </c>
      <c r="G839" t="str">
        <f>_xlfn.IFNA(VLOOKUP(C839,CallLog_Latest!A:H,8,FALSE),"")</f>
        <v/>
      </c>
      <c r="H839" t="str">
        <f>VLOOKUP(C839,[1]Sheet1!$F:$H,3,FALSE)</f>
        <v>403 Shanti Apartment S V Road,Opp Kandivali Exchange ,Kandivali (W</v>
      </c>
    </row>
    <row r="840" spans="1:8" x14ac:dyDescent="0.25">
      <c r="A840" t="s">
        <v>808</v>
      </c>
      <c r="B840" t="s">
        <v>887</v>
      </c>
      <c r="C840">
        <v>9322920370</v>
      </c>
      <c r="D840" t="str">
        <f>_xlfn.IFNA(VLOOKUP(C840,CallLog_Latest!A:H,7,FALSE),"Not Called")</f>
        <v>Not Called</v>
      </c>
      <c r="E840" t="str">
        <f>IF(ISNA(VLOOKUP(C840,Registration!A:A,1,FALSE)),"Not Registered","Registered")</f>
        <v>Not Registered</v>
      </c>
      <c r="F840">
        <f>VLOOKUP(A840,Sheet1!A:B,2,FALSE)</f>
        <v>9321694896</v>
      </c>
      <c r="G840" t="str">
        <f>_xlfn.IFNA(VLOOKUP(C840,CallLog_Latest!A:H,8,FALSE),"")</f>
        <v/>
      </c>
      <c r="H840" t="str">
        <f>VLOOKUP(C840,[1]Sheet1!$F:$H,3,FALSE)</f>
        <v>Kshitij CHS. C/3   Devnagar Derasar Road, Kandivali (W</v>
      </c>
    </row>
    <row r="841" spans="1:8" x14ac:dyDescent="0.25">
      <c r="A841" t="s">
        <v>810</v>
      </c>
      <c r="B841" t="s">
        <v>888</v>
      </c>
      <c r="C841">
        <v>9820001822</v>
      </c>
      <c r="D841" t="str">
        <f>_xlfn.IFNA(VLOOKUP(C841,CallLog_Latest!A:H,7,FALSE),"Not Called")</f>
        <v>Not Called</v>
      </c>
      <c r="E841" t="str">
        <f>IF(ISNA(VLOOKUP(C841,Registration!A:A,1,FALSE)),"Not Registered","Registered")</f>
        <v>Not Registered</v>
      </c>
      <c r="F841">
        <f>VLOOKUP(A841,Sheet1!A:B,2,FALSE)</f>
        <v>9619090608</v>
      </c>
      <c r="G841" t="str">
        <f>_xlfn.IFNA(VLOOKUP(C841,CallLog_Latest!A:H,8,FALSE),"")</f>
        <v/>
      </c>
      <c r="H841" t="str">
        <f>VLOOKUP(C841,[1]Sheet1!$F:$H,3,FALSE)</f>
        <v>Kshitij CHS. C/3   Devnagar Derasar Road, Kandivali (W</v>
      </c>
    </row>
    <row r="842" spans="1:8" x14ac:dyDescent="0.25">
      <c r="A842" t="s">
        <v>812</v>
      </c>
      <c r="B842" t="s">
        <v>889</v>
      </c>
      <c r="C842">
        <v>9324197678</v>
      </c>
      <c r="D842" t="str">
        <f>_xlfn.IFNA(VLOOKUP(C842,CallLog_Latest!A:H,7,FALSE),"Not Called")</f>
        <v>Not Called</v>
      </c>
      <c r="E842" t="str">
        <f>IF(ISNA(VLOOKUP(C842,Registration!A:A,1,FALSE)),"Not Registered","Registered")</f>
        <v>Not Registered</v>
      </c>
      <c r="F842">
        <f>VLOOKUP(A842,Sheet1!A:B,2,FALSE)</f>
        <v>9320269488</v>
      </c>
      <c r="G842" t="str">
        <f>_xlfn.IFNA(VLOOKUP(C842,CallLog_Latest!A:H,8,FALSE),"")</f>
        <v/>
      </c>
      <c r="H842" t="str">
        <f>VLOOKUP(C842,[1]Sheet1!$F:$H,3,FALSE)</f>
        <v>Kshitij CHS. C/3   Devnagar Derasar Road, Kandivali (W</v>
      </c>
    </row>
    <row r="843" spans="1:8" x14ac:dyDescent="0.25">
      <c r="A843" t="s">
        <v>814</v>
      </c>
      <c r="B843" t="s">
        <v>890</v>
      </c>
      <c r="C843">
        <v>9699435989</v>
      </c>
      <c r="D843" t="str">
        <f>_xlfn.IFNA(VLOOKUP(C843,CallLog_Latest!A:H,7,FALSE),"Not Called")</f>
        <v>Not Called</v>
      </c>
      <c r="E843" t="str">
        <f>IF(ISNA(VLOOKUP(C843,Registration!A:A,1,FALSE)),"Not Registered","Registered")</f>
        <v>Not Registered</v>
      </c>
      <c r="F843">
        <f>VLOOKUP(A843,Sheet1!A:B,2,FALSE)</f>
        <v>9320624230</v>
      </c>
      <c r="G843" t="str">
        <f>_xlfn.IFNA(VLOOKUP(C843,CallLog_Latest!A:H,8,FALSE),"")</f>
        <v/>
      </c>
      <c r="H843" t="str">
        <f>VLOOKUP(C843,[1]Sheet1!$F:$H,3,FALSE)</f>
        <v>Login chs, 1804, Link road,dahanukarwadi</v>
      </c>
    </row>
    <row r="844" spans="1:8" x14ac:dyDescent="0.25">
      <c r="A844" t="s">
        <v>782</v>
      </c>
      <c r="B844" t="s">
        <v>891</v>
      </c>
      <c r="C844">
        <v>9867683546</v>
      </c>
      <c r="D844" t="str">
        <f>_xlfn.IFNA(VLOOKUP(C844,CallLog_Latest!A:H,7,FALSE),"Not Called")</f>
        <v>Not Called</v>
      </c>
      <c r="E844" t="str">
        <f>IF(ISNA(VLOOKUP(C844,Registration!A:A,1,FALSE)),"Not Registered","Registered")</f>
        <v>Not Registered</v>
      </c>
      <c r="F844">
        <f>VLOOKUP(A844,Sheet1!A:B,2,FALSE)</f>
        <v>9819004363</v>
      </c>
      <c r="G844" t="str">
        <f>_xlfn.IFNA(VLOOKUP(C844,CallLog_Latest!A:H,8,FALSE),"")</f>
        <v/>
      </c>
      <c r="H844" t="str">
        <f>VLOOKUP(C844,[1]Sheet1!$F:$H,3,FALSE)</f>
        <v>204.ridhi Siddhi Society Plot No.5.sector 1.charkop</v>
      </c>
    </row>
    <row r="845" spans="1:8" x14ac:dyDescent="0.25">
      <c r="A845" t="s">
        <v>784</v>
      </c>
      <c r="B845" t="s">
        <v>892</v>
      </c>
      <c r="C845">
        <v>9923332601</v>
      </c>
      <c r="D845" t="str">
        <f>_xlfn.IFNA(VLOOKUP(C845,CallLog_Latest!A:H,7,FALSE),"Not Called")</f>
        <v>Not Called</v>
      </c>
      <c r="E845" t="str">
        <f>IF(ISNA(VLOOKUP(C845,Registration!A:A,1,FALSE)),"Not Registered","Registered")</f>
        <v>Not Registered</v>
      </c>
      <c r="F845">
        <f>VLOOKUP(A845,Sheet1!A:B,2,FALSE)</f>
        <v>9321133166</v>
      </c>
      <c r="G845" t="str">
        <f>_xlfn.IFNA(VLOOKUP(C845,CallLog_Latest!A:H,8,FALSE),"")</f>
        <v/>
      </c>
      <c r="H845" t="str">
        <f>VLOOKUP(C845,[1]Sheet1!$F:$H,3,FALSE)</f>
        <v>Astor Place B/301 Charkop Sector - 03</v>
      </c>
    </row>
    <row r="846" spans="1:8" x14ac:dyDescent="0.25">
      <c r="A846" t="s">
        <v>786</v>
      </c>
      <c r="B846" t="s">
        <v>893</v>
      </c>
      <c r="C846">
        <v>9892506964</v>
      </c>
      <c r="D846" t="str">
        <f>_xlfn.IFNA(VLOOKUP(C846,CallLog_Latest!A:H,7,FALSE),"Not Called")</f>
        <v>Not Called</v>
      </c>
      <c r="E846" t="str">
        <f>IF(ISNA(VLOOKUP(C846,Registration!A:A,1,FALSE)),"Not Registered","Registered")</f>
        <v>Not Registered</v>
      </c>
      <c r="F846">
        <f>VLOOKUP(A846,Sheet1!A:B,2,FALSE)</f>
        <v>9321532327</v>
      </c>
      <c r="G846" t="str">
        <f>_xlfn.IFNA(VLOOKUP(C846,CallLog_Latest!A:H,8,FALSE),"")</f>
        <v/>
      </c>
      <c r="H846" t="str">
        <f>VLOOKUP(C846,[1]Sheet1!$F:$H,3,FALSE)</f>
        <v>903, Mayfair Greens gaon Devi Road, Poisar , Kandivali (W</v>
      </c>
    </row>
    <row r="847" spans="1:8" x14ac:dyDescent="0.25">
      <c r="A847" t="s">
        <v>788</v>
      </c>
      <c r="B847" t="s">
        <v>894</v>
      </c>
      <c r="C847">
        <v>9819191830</v>
      </c>
      <c r="D847" t="str">
        <f>_xlfn.IFNA(VLOOKUP(C847,CallLog_Latest!A:H,7,FALSE),"Not Called")</f>
        <v>Not Called</v>
      </c>
      <c r="E847" t="str">
        <f>IF(ISNA(VLOOKUP(C847,Registration!A:A,1,FALSE)),"Not Registered","Registered")</f>
        <v>Not Registered</v>
      </c>
      <c r="F847">
        <f>VLOOKUP(A847,Sheet1!A:B,2,FALSE)</f>
        <v>8879785324</v>
      </c>
      <c r="G847" t="str">
        <f>_xlfn.IFNA(VLOOKUP(C847,CallLog_Latest!A:H,8,FALSE),"")</f>
        <v/>
      </c>
      <c r="H847" t="str">
        <f>VLOOKUP(C847,[1]Sheet1!$F:$H,3,FALSE)</f>
        <v>J-502  Rna Regency Park CHS. Ltd Maharashtra Nagar  M.g. Road  Off Link Road</v>
      </c>
    </row>
    <row r="848" spans="1:8" x14ac:dyDescent="0.25">
      <c r="A848" t="s">
        <v>790</v>
      </c>
      <c r="B848" t="s">
        <v>895</v>
      </c>
      <c r="C848">
        <v>9920135003</v>
      </c>
      <c r="D848" t="str">
        <f>_xlfn.IFNA(VLOOKUP(C848,CallLog_Latest!A:H,7,FALSE),"Not Called")</f>
        <v>Phone Busy</v>
      </c>
      <c r="E848" t="str">
        <f>IF(ISNA(VLOOKUP(C848,Registration!A:A,1,FALSE)),"Not Registered","Registered")</f>
        <v>Not Registered</v>
      </c>
      <c r="F848">
        <f>VLOOKUP(A848,Sheet1!A:B,2,FALSE)</f>
        <v>9702260383</v>
      </c>
      <c r="G848">
        <f>_xlfn.IFNA(VLOOKUP(C848,CallLog_Latest!A:H,8,FALSE),"")</f>
        <v>0</v>
      </c>
      <c r="H848" t="str">
        <f>VLOOKUP(C848,[1]Sheet1!$F:$H,3,FALSE)</f>
        <v>C-62  Sky Build Village,  Sita Sadan, Opp.Dev Nagar, Behind Bhatia High School, Kandivali (W</v>
      </c>
    </row>
    <row r="849" spans="1:8" x14ac:dyDescent="0.25">
      <c r="A849" t="s">
        <v>792</v>
      </c>
      <c r="B849" t="s">
        <v>896</v>
      </c>
      <c r="C849">
        <v>9930717024</v>
      </c>
      <c r="D849" t="str">
        <f>_xlfn.IFNA(VLOOKUP(C849,CallLog_Latest!A:H,7,FALSE),"Not Called")</f>
        <v>Not Called</v>
      </c>
      <c r="E849" t="str">
        <f>IF(ISNA(VLOOKUP(C849,Registration!A:A,1,FALSE)),"Not Registered","Registered")</f>
        <v>Not Registered</v>
      </c>
      <c r="F849">
        <f>VLOOKUP(A849,Sheet1!A:B,2,FALSE)</f>
        <v>9322066124</v>
      </c>
      <c r="G849" t="str">
        <f>_xlfn.IFNA(VLOOKUP(C849,CallLog_Latest!A:H,8,FALSE),"")</f>
        <v/>
      </c>
      <c r="H849" t="str">
        <f>VLOOKUP(C849,[1]Sheet1!$F:$H,3,FALSE)</f>
        <v>Sita Sadan, C-51, Sky Build Village  Opp. Devnagar, Behind Bhatia High School, Kandivali (W</v>
      </c>
    </row>
    <row r="850" spans="1:8" x14ac:dyDescent="0.25">
      <c r="A850" t="s">
        <v>794</v>
      </c>
      <c r="B850" t="s">
        <v>897</v>
      </c>
      <c r="C850">
        <v>9920357523</v>
      </c>
      <c r="D850" t="str">
        <f>_xlfn.IFNA(VLOOKUP(C850,CallLog_Latest!A:H,7,FALSE),"Not Called")</f>
        <v>Not Called</v>
      </c>
      <c r="E850" t="str">
        <f>IF(ISNA(VLOOKUP(C850,Registration!A:A,1,FALSE)),"Not Registered","Registered")</f>
        <v>Not Registered</v>
      </c>
      <c r="F850">
        <f>VLOOKUP(A850,Sheet1!A:B,2,FALSE)</f>
        <v>9892303256</v>
      </c>
      <c r="G850" t="str">
        <f>_xlfn.IFNA(VLOOKUP(C850,CallLog_Latest!A:H,8,FALSE),"")</f>
        <v/>
      </c>
      <c r="H850" t="str">
        <f>VLOOKUP(C850,[1]Sheet1!$F:$H,3,FALSE)</f>
        <v>C-62  Sky Build Village,  Sita Sadan, Opp.Dev Nagar, Behind Bhatia High School, Kandivali (W</v>
      </c>
    </row>
    <row r="851" spans="1:8" x14ac:dyDescent="0.25">
      <c r="A851" t="s">
        <v>796</v>
      </c>
      <c r="B851" t="s">
        <v>898</v>
      </c>
      <c r="C851">
        <v>9819621190</v>
      </c>
      <c r="D851" t="str">
        <f>_xlfn.IFNA(VLOOKUP(C851,CallLog_Latest!A:H,7,FALSE),"Not Called")</f>
        <v>Confirmed Presence</v>
      </c>
      <c r="E851" t="str">
        <f>IF(ISNA(VLOOKUP(C851,Registration!A:A,1,FALSE)),"Not Registered","Registered")</f>
        <v>Not Registered</v>
      </c>
      <c r="F851">
        <f>VLOOKUP(A851,Sheet1!A:B,2,FALSE)</f>
        <v>9920145200</v>
      </c>
      <c r="G851">
        <f>_xlfn.IFNA(VLOOKUP(C851,CallLog_Latest!A:H,8,FALSE),"")</f>
        <v>0</v>
      </c>
      <c r="H851" t="str">
        <f>VLOOKUP(C851,[1]Sheet1!$F:$H,3,FALSE)</f>
        <v>C-41  Sitasadan  New Saibaba Nagar</v>
      </c>
    </row>
    <row r="852" spans="1:8" x14ac:dyDescent="0.25">
      <c r="A852" t="s">
        <v>798</v>
      </c>
      <c r="B852" t="s">
        <v>899</v>
      </c>
      <c r="C852">
        <v>9833025492</v>
      </c>
      <c r="D852">
        <f>_xlfn.IFNA(VLOOKUP(C852,CallLog_Latest!A:H,7,FALSE),"Not Called")</f>
        <v>0</v>
      </c>
      <c r="E852" t="str">
        <f>IF(ISNA(VLOOKUP(C852,Registration!A:A,1,FALSE)),"Not Registered","Registered")</f>
        <v>Not Registered</v>
      </c>
      <c r="F852">
        <f>VLOOKUP(A852,Sheet1!A:B,2,FALSE)</f>
        <v>9320309630</v>
      </c>
      <c r="G852" t="str">
        <f>_xlfn.IFNA(VLOOKUP(C852,CallLog_Latest!A:H,8,FALSE),"")</f>
        <v>Not picked up</v>
      </c>
      <c r="H852" t="str">
        <f>VLOOKUP(C852,[1]Sheet1!$F:$H,3,FALSE)</f>
        <v>C-62  Sky Build Village,  Sita Sadan, Opp.Dev Nagar, Behind Bhatia High School, Kandivali (W</v>
      </c>
    </row>
    <row r="853" spans="1:8" x14ac:dyDescent="0.25">
      <c r="A853" t="s">
        <v>800</v>
      </c>
      <c r="B853" t="s">
        <v>900</v>
      </c>
      <c r="C853">
        <v>9821546649</v>
      </c>
      <c r="D853" t="str">
        <f>_xlfn.IFNA(VLOOKUP(C853,CallLog_Latest!A:H,7,FALSE),"Not Called")</f>
        <v>Maybe Attending 🤔</v>
      </c>
      <c r="E853" t="str">
        <f>IF(ISNA(VLOOKUP(C853,Registration!A:A,1,FALSE)),"Not Registered","Registered")</f>
        <v>Not Registered</v>
      </c>
      <c r="F853">
        <f>VLOOKUP(A853,Sheet1!A:B,2,FALSE)</f>
        <v>9324233820</v>
      </c>
      <c r="G853">
        <f>_xlfn.IFNA(VLOOKUP(C853,CallLog_Latest!A:H,8,FALSE),"")</f>
        <v>0</v>
      </c>
      <c r="H853" t="str">
        <f>VLOOKUP(C853,[1]Sheet1!$F:$H,3,FALSE)</f>
        <v>Sita Sadan, C-51, Sky Build Village  Opp. Devnagar, Behind Bhatia High School, Kandivali (W</v>
      </c>
    </row>
    <row r="854" spans="1:8" x14ac:dyDescent="0.25">
      <c r="A854" t="s">
        <v>802</v>
      </c>
      <c r="B854" t="s">
        <v>901</v>
      </c>
      <c r="C854">
        <v>9821064741</v>
      </c>
      <c r="D854" t="str">
        <f>_xlfn.IFNA(VLOOKUP(C854,CallLog_Latest!A:H,7,FALSE),"Not Called")</f>
        <v>Not Called</v>
      </c>
      <c r="E854" t="str">
        <f>IF(ISNA(VLOOKUP(C854,Registration!A:A,1,FALSE)),"Not Registered","Registered")</f>
        <v>Not Registered</v>
      </c>
      <c r="F854">
        <f>VLOOKUP(A854,Sheet1!A:B,2,FALSE)</f>
        <v>8879333966</v>
      </c>
      <c r="G854" t="str">
        <f>_xlfn.IFNA(VLOOKUP(C854,CallLog_Latest!A:H,8,FALSE),"")</f>
        <v/>
      </c>
      <c r="H854" t="str">
        <f>VLOOKUP(C854,[1]Sheet1!$F:$H,3,FALSE)</f>
        <v>A-602, SHUBH SHANTI CHSL, DAHANUKARWADI, BEHIND MAHATRE PLAZA, KANDIVLI WEST M.G. Road</v>
      </c>
    </row>
    <row r="855" spans="1:8" x14ac:dyDescent="0.25">
      <c r="A855" t="s">
        <v>804</v>
      </c>
      <c r="B855" t="s">
        <v>902</v>
      </c>
      <c r="C855">
        <v>9820305235</v>
      </c>
      <c r="D855" t="str">
        <f>_xlfn.IFNA(VLOOKUP(C855,CallLog_Latest!A:H,7,FALSE),"Not Called")</f>
        <v>Not Called</v>
      </c>
      <c r="E855" t="str">
        <f>IF(ISNA(VLOOKUP(C855,Registration!A:A,1,FALSE)),"Not Registered","Registered")</f>
        <v>Not Registered</v>
      </c>
      <c r="F855">
        <f>VLOOKUP(A855,Sheet1!A:B,2,FALSE)</f>
        <v>9323826288</v>
      </c>
      <c r="G855" t="str">
        <f>_xlfn.IFNA(VLOOKUP(C855,CallLog_Latest!A:H,8,FALSE),"")</f>
        <v/>
      </c>
      <c r="H855" t="str">
        <f>VLOOKUP(C855,[1]Sheet1!$F:$H,3,FALSE)</f>
        <v>C-43, Adarsh CHSL., Modi Nagar,OPP VANZARWADI  Mathuradas Road, Kandivali (W</v>
      </c>
    </row>
    <row r="856" spans="1:8" x14ac:dyDescent="0.25">
      <c r="A856" t="s">
        <v>806</v>
      </c>
      <c r="B856" t="s">
        <v>794</v>
      </c>
      <c r="C856">
        <v>9892303256</v>
      </c>
      <c r="D856" t="str">
        <f>_xlfn.IFNA(VLOOKUP(C856,CallLog_Latest!A:H,7,FALSE),"Not Called")</f>
        <v>Not Called</v>
      </c>
      <c r="E856" t="str">
        <f>IF(ISNA(VLOOKUP(C856,Registration!A:A,1,FALSE)),"Not Registered","Registered")</f>
        <v>Not Registered</v>
      </c>
      <c r="F856">
        <f>VLOOKUP(A856,Sheet1!A:B,2,FALSE)</f>
        <v>9320770849</v>
      </c>
      <c r="G856" t="str">
        <f>_xlfn.IFNA(VLOOKUP(C856,CallLog_Latest!A:H,8,FALSE),"")</f>
        <v/>
      </c>
      <c r="H856" t="str">
        <f>VLOOKUP(C856,[1]Sheet1!$F:$H,3,FALSE)</f>
        <v>Shivshrusti Building, B-801  Opp. Nirman Diagnostics Centre, Link Road, Kandivali (W</v>
      </c>
    </row>
    <row r="857" spans="1:8" x14ac:dyDescent="0.25">
      <c r="A857" t="s">
        <v>808</v>
      </c>
      <c r="B857" t="s">
        <v>903</v>
      </c>
      <c r="C857">
        <v>9833200880</v>
      </c>
      <c r="D857" t="str">
        <f>_xlfn.IFNA(VLOOKUP(C857,CallLog_Latest!A:H,7,FALSE),"Not Called")</f>
        <v>Not Called</v>
      </c>
      <c r="E857" t="str">
        <f>IF(ISNA(VLOOKUP(C857,Registration!A:A,1,FALSE)),"Not Registered","Registered")</f>
        <v>Not Registered</v>
      </c>
      <c r="F857">
        <f>VLOOKUP(A857,Sheet1!A:B,2,FALSE)</f>
        <v>9321694896</v>
      </c>
      <c r="G857" t="str">
        <f>_xlfn.IFNA(VLOOKUP(C857,CallLog_Latest!A:H,8,FALSE),"")</f>
        <v/>
      </c>
      <c r="H857" t="str">
        <f>VLOOKUP(C857,[1]Sheet1!$F:$H,3,FALSE)</f>
        <v>Shivshrusti Building, B-801  Opp. Nirman Diagnostics Centre, Link Road, Kandivali (W</v>
      </c>
    </row>
    <row r="858" spans="1:8" x14ac:dyDescent="0.25">
      <c r="A858" t="s">
        <v>810</v>
      </c>
      <c r="B858" t="s">
        <v>904</v>
      </c>
      <c r="C858">
        <v>9323381117</v>
      </c>
      <c r="D858" t="str">
        <f>_xlfn.IFNA(VLOOKUP(C858,CallLog_Latest!A:H,7,FALSE),"Not Called")</f>
        <v>Not Called</v>
      </c>
      <c r="E858" t="str">
        <f>IF(ISNA(VLOOKUP(C858,Registration!A:A,1,FALSE)),"Not Registered","Registered")</f>
        <v>Not Registered</v>
      </c>
      <c r="F858">
        <f>VLOOKUP(A858,Sheet1!A:B,2,FALSE)</f>
        <v>9619090608</v>
      </c>
      <c r="G858" t="str">
        <f>_xlfn.IFNA(VLOOKUP(C858,CallLog_Latest!A:H,8,FALSE),"")</f>
        <v/>
      </c>
      <c r="H858" t="str">
        <f>VLOOKUP(C858,[1]Sheet1!$F:$H,3,FALSE)</f>
        <v>B-37  Sheela Sadan  Shankar Lane 4th Floor  Near Varahi Mandir</v>
      </c>
    </row>
    <row r="859" spans="1:8" x14ac:dyDescent="0.25">
      <c r="A859" t="s">
        <v>812</v>
      </c>
      <c r="B859" t="s">
        <v>905</v>
      </c>
      <c r="C859">
        <v>9920188284</v>
      </c>
      <c r="D859" t="str">
        <f>_xlfn.IFNA(VLOOKUP(C859,CallLog_Latest!A:H,7,FALSE),"Not Called")</f>
        <v>Not Called</v>
      </c>
      <c r="E859" t="str">
        <f>IF(ISNA(VLOOKUP(C859,Registration!A:A,1,FALSE)),"Not Registered","Registered")</f>
        <v>Not Registered</v>
      </c>
      <c r="F859">
        <f>VLOOKUP(A859,Sheet1!A:B,2,FALSE)</f>
        <v>9320269488</v>
      </c>
      <c r="G859" t="str">
        <f>_xlfn.IFNA(VLOOKUP(C859,CallLog_Latest!A:H,8,FALSE),"")</f>
        <v/>
      </c>
      <c r="H859" t="str">
        <f>VLOOKUP(C859,[1]Sheet1!$F:$H,3,FALSE)</f>
        <v>B - 302/402  Gaurav Geet CHS Ltd  Gaurav Garden  Pakhadi Road, Kandivali (W</v>
      </c>
    </row>
    <row r="860" spans="1:8" x14ac:dyDescent="0.25">
      <c r="A860" t="s">
        <v>814</v>
      </c>
      <c r="B860" t="s">
        <v>906</v>
      </c>
      <c r="C860">
        <v>9920806808</v>
      </c>
      <c r="D860" t="str">
        <f>_xlfn.IFNA(VLOOKUP(C860,CallLog_Latest!A:H,7,FALSE),"Not Called")</f>
        <v>Not Called</v>
      </c>
      <c r="E860" t="str">
        <f>IF(ISNA(VLOOKUP(C860,Registration!A:A,1,FALSE)),"Not Registered","Registered")</f>
        <v>Not Registered</v>
      </c>
      <c r="F860">
        <f>VLOOKUP(A860,Sheet1!A:B,2,FALSE)</f>
        <v>9320624230</v>
      </c>
      <c r="G860" t="str">
        <f>_xlfn.IFNA(VLOOKUP(C860,CallLog_Latest!A:H,8,FALSE),"")</f>
        <v/>
      </c>
      <c r="H860" t="str">
        <f>VLOOKUP(C860,[1]Sheet1!$F:$H,3,FALSE)</f>
        <v>901  Vasant Aradhna Tower  Mahaveer Nagar  Dhanukarwadi  Near Greatar Bank</v>
      </c>
    </row>
    <row r="861" spans="1:8" x14ac:dyDescent="0.25">
      <c r="A861" t="s">
        <v>782</v>
      </c>
      <c r="B861" t="s">
        <v>907</v>
      </c>
      <c r="C861">
        <v>9969412335</v>
      </c>
      <c r="D861" t="str">
        <f>_xlfn.IFNA(VLOOKUP(C861,CallLog_Latest!A:H,7,FALSE),"Not Called")</f>
        <v>Not Called</v>
      </c>
      <c r="E861" t="str">
        <f>IF(ISNA(VLOOKUP(C861,Registration!A:A,1,FALSE)),"Not Registered","Registered")</f>
        <v>Not Registered</v>
      </c>
      <c r="F861">
        <f>VLOOKUP(A861,Sheet1!A:B,2,FALSE)</f>
        <v>9819004363</v>
      </c>
      <c r="G861" t="str">
        <f>_xlfn.IFNA(VLOOKUP(C861,CallLog_Latest!A:H,8,FALSE),"")</f>
        <v/>
      </c>
      <c r="H861" t="str">
        <f>VLOOKUP(C861,[1]Sheet1!$F:$H,3,FALSE)</f>
        <v>Estonia B-1002  Hiranandani Heritage Poisar Bridge  S.V. Road, Malad (E</v>
      </c>
    </row>
    <row r="862" spans="1:8" x14ac:dyDescent="0.25">
      <c r="A862" t="s">
        <v>784</v>
      </c>
      <c r="B862" t="s">
        <v>908</v>
      </c>
      <c r="C862">
        <v>9757120313</v>
      </c>
      <c r="D862" t="str">
        <f>_xlfn.IFNA(VLOOKUP(C862,CallLog_Latest!A:H,7,FALSE),"Not Called")</f>
        <v>Not Called</v>
      </c>
      <c r="E862" t="str">
        <f>IF(ISNA(VLOOKUP(C862,Registration!A:A,1,FALSE)),"Not Registered","Registered")</f>
        <v>Not Registered</v>
      </c>
      <c r="F862">
        <f>VLOOKUP(A862,Sheet1!A:B,2,FALSE)</f>
        <v>9321133166</v>
      </c>
      <c r="G862" t="str">
        <f>_xlfn.IFNA(VLOOKUP(C862,CallLog_Latest!A:H,8,FALSE),"")</f>
        <v/>
      </c>
      <c r="H862" t="str">
        <f>VLOOKUP(C862,[1]Sheet1!$F:$H,3,FALSE)</f>
        <v>Estonia B-1002  Hiranandani Heritage Poisar Bridge  S. V. Road, Kandivali (W</v>
      </c>
    </row>
    <row r="863" spans="1:8" x14ac:dyDescent="0.25">
      <c r="A863" t="s">
        <v>786</v>
      </c>
      <c r="B863" t="s">
        <v>909</v>
      </c>
      <c r="C863">
        <v>9833229112</v>
      </c>
      <c r="D863" t="str">
        <f>_xlfn.IFNA(VLOOKUP(C863,CallLog_Latest!A:H,7,FALSE),"Not Called")</f>
        <v>Not Reachable</v>
      </c>
      <c r="E863" t="str">
        <f>IF(ISNA(VLOOKUP(C863,Registration!A:A,1,FALSE)),"Not Registered","Registered")</f>
        <v>Not Registered</v>
      </c>
      <c r="F863">
        <f>VLOOKUP(A863,Sheet1!A:B,2,FALSE)</f>
        <v>9321532327</v>
      </c>
      <c r="G863" t="str">
        <f>_xlfn.IFNA(VLOOKUP(C863,CallLog_Latest!A:H,8,FALSE),"")</f>
        <v>Can't receive incoming calls</v>
      </c>
      <c r="H863" t="str">
        <f>VLOOKUP(C863,[1]Sheet1!$F:$H,3,FALSE)</f>
        <v>N.g. Garden  B-204  Inside Gaurav Garden Complex  Bhunder Pakadi Road</v>
      </c>
    </row>
    <row r="864" spans="1:8" x14ac:dyDescent="0.25">
      <c r="A864" t="s">
        <v>788</v>
      </c>
      <c r="B864" t="s">
        <v>800</v>
      </c>
      <c r="C864">
        <v>9324233820</v>
      </c>
      <c r="D864" t="str">
        <f>_xlfn.IFNA(VLOOKUP(C864,CallLog_Latest!A:H,7,FALSE),"Not Called")</f>
        <v>Not Called</v>
      </c>
      <c r="E864" t="str">
        <f>IF(ISNA(VLOOKUP(C864,Registration!A:A,1,FALSE)),"Not Registered","Registered")</f>
        <v>Not Registered</v>
      </c>
      <c r="F864">
        <f>VLOOKUP(A864,Sheet1!A:B,2,FALSE)</f>
        <v>8879785324</v>
      </c>
      <c r="G864" t="str">
        <f>_xlfn.IFNA(VLOOKUP(C864,CallLog_Latest!A:H,8,FALSE),"")</f>
        <v/>
      </c>
      <c r="H864" t="str">
        <f>VLOOKUP(C864,[1]Sheet1!$F:$H,3,FALSE)</f>
        <v>H706 RNA Regency Park, Dhanukar wadi , Kandivali (W</v>
      </c>
    </row>
    <row r="865" spans="1:8" x14ac:dyDescent="0.25">
      <c r="A865" t="s">
        <v>790</v>
      </c>
      <c r="B865" t="s">
        <v>910</v>
      </c>
      <c r="C865">
        <v>9867357680</v>
      </c>
      <c r="D865" t="str">
        <f>_xlfn.IFNA(VLOOKUP(C865,CallLog_Latest!A:H,7,FALSE),"Not Called")</f>
        <v>Not Called</v>
      </c>
      <c r="E865" t="str">
        <f>IF(ISNA(VLOOKUP(C865,Registration!A:A,1,FALSE)),"Not Registered","Registered")</f>
        <v>Not Registered</v>
      </c>
      <c r="F865">
        <f>VLOOKUP(A865,Sheet1!A:B,2,FALSE)</f>
        <v>9702260383</v>
      </c>
      <c r="G865" t="str">
        <f>_xlfn.IFNA(VLOOKUP(C865,CallLog_Latest!A:H,8,FALSE),"")</f>
        <v/>
      </c>
      <c r="H865" t="str">
        <f>VLOOKUP(C865,[1]Sheet1!$F:$H,3,FALSE)</f>
        <v>303  Krishna Heights Mathuradas Road, Kandivali (W</v>
      </c>
    </row>
    <row r="866" spans="1:8" x14ac:dyDescent="0.25">
      <c r="A866" t="s">
        <v>792</v>
      </c>
      <c r="B866" t="s">
        <v>911</v>
      </c>
      <c r="C866">
        <v>9167606699</v>
      </c>
      <c r="D866" t="str">
        <f>_xlfn.IFNA(VLOOKUP(C866,CallLog_Latest!A:H,7,FALSE),"Not Called")</f>
        <v>Not Called</v>
      </c>
      <c r="E866" t="str">
        <f>IF(ISNA(VLOOKUP(C866,Registration!A:A,1,FALSE)),"Not Registered","Registered")</f>
        <v>Not Registered</v>
      </c>
      <c r="F866">
        <f>VLOOKUP(A866,Sheet1!A:B,2,FALSE)</f>
        <v>9322066124</v>
      </c>
      <c r="G866" t="str">
        <f>_xlfn.IFNA(VLOOKUP(C866,CallLog_Latest!A:H,8,FALSE),"")</f>
        <v/>
      </c>
      <c r="H866" t="str">
        <f>VLOOKUP(C866,[1]Sheet1!$F:$H,3,FALSE)</f>
        <v>F-601  New Bhoomi Park-2  Near Bafira Nagar  Malad (W</v>
      </c>
    </row>
    <row r="867" spans="1:8" x14ac:dyDescent="0.25">
      <c r="A867" t="s">
        <v>794</v>
      </c>
      <c r="B867" t="s">
        <v>912</v>
      </c>
      <c r="C867">
        <v>9819929206</v>
      </c>
      <c r="D867" t="str">
        <f>_xlfn.IFNA(VLOOKUP(C867,CallLog_Latest!A:H,7,FALSE),"Not Called")</f>
        <v>May be Attending</v>
      </c>
      <c r="E867" t="str">
        <f>IF(ISNA(VLOOKUP(C867,Registration!A:A,1,FALSE)),"Not Registered","Registered")</f>
        <v>Not Registered</v>
      </c>
      <c r="F867">
        <f>VLOOKUP(A867,Sheet1!A:B,2,FALSE)</f>
        <v>9892303256</v>
      </c>
      <c r="G867">
        <f>_xlfn.IFNA(VLOOKUP(C867,CallLog_Latest!A:H,8,FALSE),"")</f>
        <v>0</v>
      </c>
      <c r="H867" t="str">
        <f>VLOOKUP(C867,[1]Sheet1!$F:$H,3,FALSE)</f>
        <v>Marina Enclave, L Wing, Flat No. 701 Jankalyan Nagar, Nr. Bilbong International  School, Malad (W</v>
      </c>
    </row>
    <row r="868" spans="1:8" x14ac:dyDescent="0.25">
      <c r="A868" t="s">
        <v>796</v>
      </c>
      <c r="B868" t="s">
        <v>913</v>
      </c>
      <c r="C868">
        <v>9820089651</v>
      </c>
      <c r="D868" t="str">
        <f>_xlfn.IFNA(VLOOKUP(C868,CallLog_Latest!A:H,7,FALSE),"Not Called")</f>
        <v>May be Attending</v>
      </c>
      <c r="E868" t="str">
        <f>IF(ISNA(VLOOKUP(C868,Registration!A:A,1,FALSE)),"Not Registered","Registered")</f>
        <v>Not Registered</v>
      </c>
      <c r="F868">
        <f>VLOOKUP(A868,Sheet1!A:B,2,FALSE)</f>
        <v>9920145200</v>
      </c>
      <c r="G868">
        <f>_xlfn.IFNA(VLOOKUP(C868,CallLog_Latest!A:H,8,FALSE),"")</f>
        <v>0</v>
      </c>
      <c r="H868" t="str">
        <f>VLOOKUP(C868,[1]Sheet1!$F:$H,3,FALSE)</f>
        <v>B-303, Lubna Bldg, Jankalyan Nagar  Marve Road, Malad (W</v>
      </c>
    </row>
    <row r="869" spans="1:8" x14ac:dyDescent="0.25">
      <c r="A869" t="s">
        <v>798</v>
      </c>
      <c r="B869" t="s">
        <v>914</v>
      </c>
      <c r="C869">
        <v>9820089651</v>
      </c>
      <c r="D869" t="str">
        <f>_xlfn.IFNA(VLOOKUP(C869,CallLog_Latest!A:H,7,FALSE),"Not Called")</f>
        <v>May be Attending</v>
      </c>
      <c r="E869" t="str">
        <f>IF(ISNA(VLOOKUP(C869,Registration!A:A,1,FALSE)),"Not Registered","Registered")</f>
        <v>Not Registered</v>
      </c>
      <c r="F869">
        <f>VLOOKUP(A869,Sheet1!A:B,2,FALSE)</f>
        <v>9320309630</v>
      </c>
      <c r="G869">
        <f>_xlfn.IFNA(VLOOKUP(C869,CallLog_Latest!A:H,8,FALSE),"")</f>
        <v>0</v>
      </c>
      <c r="H869" t="str">
        <f>VLOOKUP(C869,[1]Sheet1!$F:$H,3,FALSE)</f>
        <v>B-303, Lubna Bldg, Jankalyan Nagar  Marve Road, Malad (W</v>
      </c>
    </row>
    <row r="870" spans="1:8" x14ac:dyDescent="0.25">
      <c r="A870" t="s">
        <v>800</v>
      </c>
      <c r="B870" t="s">
        <v>915</v>
      </c>
      <c r="C870">
        <v>9323949574</v>
      </c>
      <c r="D870" t="str">
        <f>_xlfn.IFNA(VLOOKUP(C870,CallLog_Latest!A:H,7,FALSE),"Not Called")</f>
        <v>Not Reachable</v>
      </c>
      <c r="E870" t="str">
        <f>IF(ISNA(VLOOKUP(C870,Registration!A:A,1,FALSE)),"Not Registered","Registered")</f>
        <v>Not Registered</v>
      </c>
      <c r="F870">
        <f>VLOOKUP(A870,Sheet1!A:B,2,FALSE)</f>
        <v>9324233820</v>
      </c>
      <c r="G870" t="str">
        <f>_xlfn.IFNA(VLOOKUP(C870,CallLog_Latest!A:H,8,FALSE),"")</f>
        <v>Invalid no</v>
      </c>
      <c r="H870" t="str">
        <f>VLOOKUP(C870,[1]Sheet1!$F:$H,3,FALSE)</f>
        <v>A-404  Meera Residency Jitendra Road  Behind Ashoka Hospital</v>
      </c>
    </row>
    <row r="871" spans="1:8" x14ac:dyDescent="0.25">
      <c r="A871" t="s">
        <v>802</v>
      </c>
      <c r="B871" t="s">
        <v>916</v>
      </c>
      <c r="C871">
        <v>9892381919</v>
      </c>
      <c r="D871" t="str">
        <f>_xlfn.IFNA(VLOOKUP(C871,CallLog_Latest!A:H,7,FALSE),"Not Called")</f>
        <v>Not Called</v>
      </c>
      <c r="E871" t="str">
        <f>IF(ISNA(VLOOKUP(C871,Registration!A:A,1,FALSE)),"Not Registered","Registered")</f>
        <v>Not Registered</v>
      </c>
      <c r="F871">
        <f>VLOOKUP(A871,Sheet1!A:B,2,FALSE)</f>
        <v>8879333966</v>
      </c>
      <c r="G871" t="str">
        <f>_xlfn.IFNA(VLOOKUP(C871,CallLog_Latest!A:H,8,FALSE),"")</f>
        <v/>
      </c>
      <c r="H871" t="str">
        <f>VLOOKUP(C871,[1]Sheet1!$F:$H,3,FALSE)</f>
        <v>28-C Gaurav CHS. Haji Bapu Road</v>
      </c>
    </row>
    <row r="872" spans="1:8" x14ac:dyDescent="0.25">
      <c r="A872" t="s">
        <v>804</v>
      </c>
      <c r="B872" t="s">
        <v>917</v>
      </c>
      <c r="C872">
        <v>9757395943</v>
      </c>
      <c r="D872" t="str">
        <f>_xlfn.IFNA(VLOOKUP(C872,CallLog_Latest!A:H,7,FALSE),"Not Called")</f>
        <v>Not Called</v>
      </c>
      <c r="E872" t="str">
        <f>IF(ISNA(VLOOKUP(C872,Registration!A:A,1,FALSE)),"Not Registered","Registered")</f>
        <v>Not Registered</v>
      </c>
      <c r="F872">
        <f>VLOOKUP(A872,Sheet1!A:B,2,FALSE)</f>
        <v>9323826288</v>
      </c>
      <c r="G872" t="str">
        <f>_xlfn.IFNA(VLOOKUP(C872,CallLog_Latest!A:H,8,FALSE),"")</f>
        <v/>
      </c>
      <c r="H872" t="str">
        <f>VLOOKUP(C872,[1]Sheet1!$F:$H,3,FALSE)</f>
        <v>C-3/26  Satsang Complex Upper Goving Nagar</v>
      </c>
    </row>
    <row r="873" spans="1:8" x14ac:dyDescent="0.25">
      <c r="A873" t="s">
        <v>806</v>
      </c>
      <c r="B873" t="s">
        <v>918</v>
      </c>
      <c r="C873">
        <v>9833117857</v>
      </c>
      <c r="D873" t="str">
        <f>_xlfn.IFNA(VLOOKUP(C873,CallLog_Latest!A:H,7,FALSE),"Not Called")</f>
        <v>Not Called</v>
      </c>
      <c r="E873" t="str">
        <f>IF(ISNA(VLOOKUP(C873,Registration!A:A,1,FALSE)),"Not Registered","Registered")</f>
        <v>Not Registered</v>
      </c>
      <c r="F873">
        <f>VLOOKUP(A873,Sheet1!A:B,2,FALSE)</f>
        <v>9320770849</v>
      </c>
      <c r="G873" t="str">
        <f>_xlfn.IFNA(VLOOKUP(C873,CallLog_Latest!A:H,8,FALSE),"")</f>
        <v/>
      </c>
      <c r="H873" t="str">
        <f>VLOOKUP(C873,[1]Sheet1!$F:$H,3,FALSE)</f>
        <v>A-201 Mansi Vihar Co.Op.Hsg.Soc.Ltd. Datta Mandir Road .</v>
      </c>
    </row>
    <row r="874" spans="1:8" x14ac:dyDescent="0.25">
      <c r="A874" t="s">
        <v>808</v>
      </c>
      <c r="B874" t="s">
        <v>804</v>
      </c>
      <c r="C874">
        <v>9323826288</v>
      </c>
      <c r="D874" t="str">
        <f>_xlfn.IFNA(VLOOKUP(C874,CallLog_Latest!A:H,7,FALSE),"Not Called")</f>
        <v>Not Called</v>
      </c>
      <c r="E874" t="str">
        <f>IF(ISNA(VLOOKUP(C874,Registration!A:A,1,FALSE)),"Not Registered","Registered")</f>
        <v>Not Registered</v>
      </c>
      <c r="F874">
        <f>VLOOKUP(A874,Sheet1!A:B,2,FALSE)</f>
        <v>9321694896</v>
      </c>
      <c r="G874" t="str">
        <f>_xlfn.IFNA(VLOOKUP(C874,CallLog_Latest!A:H,8,FALSE),"")</f>
        <v/>
      </c>
      <c r="H874" t="str">
        <f>VLOOKUP(C874,[1]Sheet1!$F:$H,3,FALSE)</f>
        <v>Flat No. B/107, Panchsheel 4 Chsl. Raheja Township, Malad (E</v>
      </c>
    </row>
    <row r="875" spans="1:8" x14ac:dyDescent="0.25">
      <c r="A875" t="s">
        <v>810</v>
      </c>
      <c r="B875" t="s">
        <v>919</v>
      </c>
      <c r="C875">
        <v>7710980314</v>
      </c>
      <c r="D875" t="str">
        <f>_xlfn.IFNA(VLOOKUP(C875,CallLog_Latest!A:H,7,FALSE),"Not Called")</f>
        <v>Not Called</v>
      </c>
      <c r="E875" t="str">
        <f>IF(ISNA(VLOOKUP(C875,Registration!A:A,1,FALSE)),"Not Registered","Registered")</f>
        <v>Not Registered</v>
      </c>
      <c r="F875">
        <f>VLOOKUP(A875,Sheet1!A:B,2,FALSE)</f>
        <v>9619090608</v>
      </c>
      <c r="G875" t="str">
        <f>_xlfn.IFNA(VLOOKUP(C875,CallLog_Latest!A:H,8,FALSE),"")</f>
        <v/>
      </c>
      <c r="H875" t="str">
        <f>VLOOKUP(C875,[1]Sheet1!$F:$H,3,FALSE)</f>
        <v>Aram Bunglow  Govind Nagar Behind Ambe Mata Temple  Ground Floor, Opp. Vishwa Bldg, Malad (E</v>
      </c>
    </row>
    <row r="876" spans="1:8" x14ac:dyDescent="0.25">
      <c r="A876" t="s">
        <v>812</v>
      </c>
      <c r="B876" t="s">
        <v>920</v>
      </c>
      <c r="C876">
        <v>8108117820</v>
      </c>
      <c r="D876" t="str">
        <f>_xlfn.IFNA(VLOOKUP(C876,CallLog_Latest!A:H,7,FALSE),"Not Called")</f>
        <v>Not Called</v>
      </c>
      <c r="E876" t="str">
        <f>IF(ISNA(VLOOKUP(C876,Registration!A:A,1,FALSE)),"Not Registered","Registered")</f>
        <v>Not Registered</v>
      </c>
      <c r="F876">
        <f>VLOOKUP(A876,Sheet1!A:B,2,FALSE)</f>
        <v>9320269488</v>
      </c>
      <c r="G876" t="str">
        <f>_xlfn.IFNA(VLOOKUP(C876,CallLog_Latest!A:H,8,FALSE),"")</f>
        <v/>
      </c>
      <c r="H876" t="str">
        <f>VLOOKUP(C876,[1]Sheet1!$F:$H,3,FALSE)</f>
        <v>Kalsaria Apartment, 501 Upper Govind Nagar, Opp. Shikhar Kunj, Malad (E</v>
      </c>
    </row>
    <row r="877" spans="1:8" x14ac:dyDescent="0.25">
      <c r="A877" t="s">
        <v>814</v>
      </c>
      <c r="B877" t="s">
        <v>921</v>
      </c>
      <c r="C877">
        <v>9322905797</v>
      </c>
      <c r="D877" t="str">
        <f>_xlfn.IFNA(VLOOKUP(C877,CallLog_Latest!A:H,7,FALSE),"Not Called")</f>
        <v>Not Called</v>
      </c>
      <c r="E877" t="str">
        <f>IF(ISNA(VLOOKUP(C877,Registration!A:A,1,FALSE)),"Not Registered","Registered")</f>
        <v>Not Registered</v>
      </c>
      <c r="F877">
        <f>VLOOKUP(A877,Sheet1!A:B,2,FALSE)</f>
        <v>9320624230</v>
      </c>
      <c r="G877" t="str">
        <f>_xlfn.IFNA(VLOOKUP(C877,CallLog_Latest!A:H,8,FALSE),"")</f>
        <v/>
      </c>
      <c r="H877" t="str">
        <f>VLOOKUP(C877,[1]Sheet1!$F:$H,3,FALSE)</f>
        <v>A/4 Meghdut Raheja Township, Malad (E</v>
      </c>
    </row>
    <row r="878" spans="1:8" x14ac:dyDescent="0.25">
      <c r="A878" t="s">
        <v>782</v>
      </c>
      <c r="B878" t="s">
        <v>922</v>
      </c>
      <c r="C878">
        <v>7303060691</v>
      </c>
      <c r="D878" t="str">
        <f>_xlfn.IFNA(VLOOKUP(C878,CallLog_Latest!A:H,7,FALSE),"Not Called")</f>
        <v>Not Called</v>
      </c>
      <c r="E878" t="str">
        <f>IF(ISNA(VLOOKUP(C878,Registration!A:A,1,FALSE)),"Not Registered","Registered")</f>
        <v>Not Registered</v>
      </c>
      <c r="F878">
        <f>VLOOKUP(A878,Sheet1!A:B,2,FALSE)</f>
        <v>9819004363</v>
      </c>
      <c r="G878" t="str">
        <f>_xlfn.IFNA(VLOOKUP(C878,CallLog_Latest!A:H,8,FALSE),"")</f>
        <v/>
      </c>
      <c r="H878" t="str">
        <f>VLOOKUP(C878,[1]Sheet1!$F:$H,3,FALSE)</f>
        <v>Morya Apartments, B - 106   Raheja Township, Nr. Raheja Garden  Malad (E</v>
      </c>
    </row>
    <row r="879" spans="1:8" x14ac:dyDescent="0.25">
      <c r="A879" t="s">
        <v>784</v>
      </c>
      <c r="B879" t="s">
        <v>802</v>
      </c>
      <c r="C879">
        <v>8879333966</v>
      </c>
      <c r="D879" t="str">
        <f>_xlfn.IFNA(VLOOKUP(C879,CallLog_Latest!A:H,7,FALSE),"Not Called")</f>
        <v>Not Called</v>
      </c>
      <c r="E879" t="str">
        <f>IF(ISNA(VLOOKUP(C879,Registration!A:A,1,FALSE)),"Not Registered","Registered")</f>
        <v>Not Registered</v>
      </c>
      <c r="F879">
        <f>VLOOKUP(A879,Sheet1!A:B,2,FALSE)</f>
        <v>9321133166</v>
      </c>
      <c r="G879" t="str">
        <f>_xlfn.IFNA(VLOOKUP(C879,CallLog_Latest!A:H,8,FALSE),"")</f>
        <v/>
      </c>
      <c r="H879" t="str">
        <f>VLOOKUP(C879,[1]Sheet1!$F:$H,3,FALSE)</f>
        <v>IVY Towers A-1301 Vasant Valley Society K. V. Marg, Near Dindoshi Bus Depot, Malad (E</v>
      </c>
    </row>
    <row r="880" spans="1:8" x14ac:dyDescent="0.25">
      <c r="A880" t="s">
        <v>786</v>
      </c>
      <c r="B880" t="s">
        <v>923</v>
      </c>
      <c r="C880">
        <v>9224374782</v>
      </c>
      <c r="D880" t="str">
        <f>_xlfn.IFNA(VLOOKUP(C880,CallLog_Latest!A:H,7,FALSE),"Not Called")</f>
        <v>Not Called</v>
      </c>
      <c r="E880" t="str">
        <f>IF(ISNA(VLOOKUP(C880,Registration!A:A,1,FALSE)),"Not Registered","Registered")</f>
        <v>Not Registered</v>
      </c>
      <c r="F880">
        <f>VLOOKUP(A880,Sheet1!A:B,2,FALSE)</f>
        <v>9321532327</v>
      </c>
      <c r="G880" t="str">
        <f>_xlfn.IFNA(VLOOKUP(C880,CallLog_Latest!A:H,8,FALSE),"")</f>
        <v/>
      </c>
      <c r="H880" t="str">
        <f>VLOOKUP(C880,[1]Sheet1!$F:$H,3,FALSE)</f>
        <v>Kanta Kabra  5/23  Elephanta Bldg  Daftari Road</v>
      </c>
    </row>
    <row r="881" spans="1:8" x14ac:dyDescent="0.25">
      <c r="A881" t="s">
        <v>788</v>
      </c>
      <c r="B881" t="s">
        <v>924</v>
      </c>
      <c r="C881">
        <v>9819249666</v>
      </c>
      <c r="D881" t="str">
        <f>_xlfn.IFNA(VLOOKUP(C881,CallLog_Latest!A:H,7,FALSE),"Not Called")</f>
        <v>Not Called</v>
      </c>
      <c r="E881" t="str">
        <f>IF(ISNA(VLOOKUP(C881,Registration!A:A,1,FALSE)),"Not Registered","Registered")</f>
        <v>Not Registered</v>
      </c>
      <c r="F881">
        <f>VLOOKUP(A881,Sheet1!A:B,2,FALSE)</f>
        <v>8879785324</v>
      </c>
      <c r="G881" t="str">
        <f>_xlfn.IFNA(VLOOKUP(C881,CallLog_Latest!A:H,8,FALSE),"")</f>
        <v/>
      </c>
      <c r="H881" t="str">
        <f>VLOOKUP(C881,[1]Sheet1!$F:$H,3,FALSE)</f>
        <v>A-507  Harish Chandra Raheja Township,Malad (E</v>
      </c>
    </row>
    <row r="882" spans="1:8" x14ac:dyDescent="0.25">
      <c r="A882" t="s">
        <v>790</v>
      </c>
      <c r="B882" t="s">
        <v>925</v>
      </c>
      <c r="C882">
        <v>8652071304</v>
      </c>
      <c r="D882" t="str">
        <f>_xlfn.IFNA(VLOOKUP(C882,CallLog_Latest!A:H,7,FALSE),"Not Called")</f>
        <v>Not Reachable</v>
      </c>
      <c r="E882" t="str">
        <f>IF(ISNA(VLOOKUP(C882,Registration!A:A,1,FALSE)),"Not Registered","Registered")</f>
        <v>Not Registered</v>
      </c>
      <c r="F882">
        <f>VLOOKUP(A882,Sheet1!A:B,2,FALSE)</f>
        <v>9702260383</v>
      </c>
      <c r="G882">
        <f>_xlfn.IFNA(VLOOKUP(C882,CallLog_Latest!A:H,8,FALSE),"")</f>
        <v>0</v>
      </c>
      <c r="H882" t="str">
        <f>VLOOKUP(C882,[1]Sheet1!$F:$H,3,FALSE)</f>
        <v>905  B-Wing  Express Zone  Western Express Highway</v>
      </c>
    </row>
    <row r="883" spans="1:8" x14ac:dyDescent="0.25">
      <c r="A883" t="s">
        <v>792</v>
      </c>
      <c r="B883" t="s">
        <v>926</v>
      </c>
      <c r="C883">
        <v>9320008083</v>
      </c>
      <c r="D883" t="str">
        <f>_xlfn.IFNA(VLOOKUP(C883,CallLog_Latest!A:H,7,FALSE),"Not Called")</f>
        <v>Not Called</v>
      </c>
      <c r="E883" t="str">
        <f>IF(ISNA(VLOOKUP(C883,Registration!A:A,1,FALSE)),"Not Registered","Registered")</f>
        <v>Not Registered</v>
      </c>
      <c r="F883">
        <f>VLOOKUP(A883,Sheet1!A:B,2,FALSE)</f>
        <v>9322066124</v>
      </c>
      <c r="G883" t="str">
        <f>_xlfn.IFNA(VLOOKUP(C883,CallLog_Latest!A:H,8,FALSE),"")</f>
        <v/>
      </c>
      <c r="H883" t="str">
        <f>VLOOKUP(C883,[1]Sheet1!$F:$H,3,FALSE)</f>
        <v>905  B-Wing  Express Zone  Western Express Highway</v>
      </c>
    </row>
    <row r="884" spans="1:8" x14ac:dyDescent="0.25">
      <c r="A884" t="s">
        <v>794</v>
      </c>
      <c r="B884" t="s">
        <v>927</v>
      </c>
      <c r="C884">
        <v>9022674567</v>
      </c>
      <c r="D884" t="str">
        <f>_xlfn.IFNA(VLOOKUP(C884,CallLog_Latest!A:H,7,FALSE),"Not Called")</f>
        <v>Not Called</v>
      </c>
      <c r="E884" t="str">
        <f>IF(ISNA(VLOOKUP(C884,Registration!A:A,1,FALSE)),"Not Registered","Registered")</f>
        <v>Not Registered</v>
      </c>
      <c r="F884">
        <f>VLOOKUP(A884,Sheet1!A:B,2,FALSE)</f>
        <v>9892303256</v>
      </c>
      <c r="G884" t="str">
        <f>_xlfn.IFNA(VLOOKUP(C884,CallLog_Latest!A:H,8,FALSE),"")</f>
        <v/>
      </c>
      <c r="H884" t="str">
        <f>VLOOKUP(C884,[1]Sheet1!$F:$H,3,FALSE)</f>
        <v>Keshav Shiv Heights 1101  Pandit Solicitor Road Malad (E</v>
      </c>
    </row>
    <row r="885" spans="1:8" x14ac:dyDescent="0.25">
      <c r="A885" t="s">
        <v>796</v>
      </c>
      <c r="B885" t="s">
        <v>928</v>
      </c>
      <c r="C885">
        <v>9867736766</v>
      </c>
      <c r="D885" t="str">
        <f>_xlfn.IFNA(VLOOKUP(C885,CallLog_Latest!A:H,7,FALSE),"Not Called")</f>
        <v>Not Called</v>
      </c>
      <c r="E885" t="str">
        <f>IF(ISNA(VLOOKUP(C885,Registration!A:A,1,FALSE)),"Not Registered","Registered")</f>
        <v>Not Registered</v>
      </c>
      <c r="F885">
        <f>VLOOKUP(A885,Sheet1!A:B,2,FALSE)</f>
        <v>9920145200</v>
      </c>
      <c r="G885" t="str">
        <f>_xlfn.IFNA(VLOOKUP(C885,CallLog_Latest!A:H,8,FALSE),"")</f>
        <v/>
      </c>
      <c r="H885" t="str">
        <f>VLOOKUP(C885,[1]Sheet1!$F:$H,3,FALSE)</f>
        <v>Keshav Shiv Heights 1101  Pandit Solicitor Road Malad (E</v>
      </c>
    </row>
    <row r="886" spans="1:8" x14ac:dyDescent="0.25">
      <c r="A886" t="s">
        <v>798</v>
      </c>
      <c r="B886" t="s">
        <v>929</v>
      </c>
      <c r="C886">
        <v>9912062970</v>
      </c>
      <c r="D886" t="str">
        <f>_xlfn.IFNA(VLOOKUP(C886,CallLog_Latest!A:H,7,FALSE),"Not Called")</f>
        <v>Not Reachable</v>
      </c>
      <c r="E886" t="str">
        <f>IF(ISNA(VLOOKUP(C886,Registration!A:A,1,FALSE)),"Not Registered","Registered")</f>
        <v>Not Registered</v>
      </c>
      <c r="F886">
        <f>VLOOKUP(A886,Sheet1!A:B,2,FALSE)</f>
        <v>9320309630</v>
      </c>
      <c r="G886">
        <f>_xlfn.IFNA(VLOOKUP(C886,CallLog_Latest!A:H,8,FALSE),"")</f>
        <v>0</v>
      </c>
      <c r="H886" t="str">
        <f>VLOOKUP(C886,[1]Sheet1!$F:$H,3,FALSE)</f>
        <v>Keshav Shiv Heights 1101  Pandit Solicitor Road Malad (E</v>
      </c>
    </row>
    <row r="887" spans="1:8" x14ac:dyDescent="0.25">
      <c r="A887" t="s">
        <v>800</v>
      </c>
      <c r="B887" t="s">
        <v>930</v>
      </c>
      <c r="C887">
        <v>9527814992</v>
      </c>
      <c r="D887" t="str">
        <f>_xlfn.IFNA(VLOOKUP(C887,CallLog_Latest!A:H,7,FALSE),"Not Called")</f>
        <v>May be Attending</v>
      </c>
      <c r="E887" t="str">
        <f>IF(ISNA(VLOOKUP(C887,Registration!A:A,1,FALSE)),"Not Registered","Registered")</f>
        <v>Not Registered</v>
      </c>
      <c r="F887">
        <f>VLOOKUP(A887,Sheet1!A:B,2,FALSE)</f>
        <v>9324233820</v>
      </c>
      <c r="G887">
        <f>_xlfn.IFNA(VLOOKUP(C887,CallLog_Latest!A:H,8,FALSE),"")</f>
        <v>0</v>
      </c>
      <c r="H887" t="str">
        <f>VLOOKUP(C887,[1]Sheet1!$F:$H,3,FALSE)</f>
        <v>F - 423  Panchsheel 3  Raheja Township  Malad (E</v>
      </c>
    </row>
    <row r="888" spans="1:8" x14ac:dyDescent="0.25">
      <c r="A888" t="s">
        <v>802</v>
      </c>
      <c r="B888" t="s">
        <v>931</v>
      </c>
      <c r="C888">
        <v>9769175454</v>
      </c>
      <c r="D888" t="str">
        <f>_xlfn.IFNA(VLOOKUP(C888,CallLog_Latest!A:H,7,FALSE),"Not Called")</f>
        <v>Not Called</v>
      </c>
      <c r="E888" t="str">
        <f>IF(ISNA(VLOOKUP(C888,Registration!A:A,1,FALSE)),"Not Registered","Registered")</f>
        <v>Not Registered</v>
      </c>
      <c r="F888">
        <f>VLOOKUP(A888,Sheet1!A:B,2,FALSE)</f>
        <v>8879333966</v>
      </c>
      <c r="G888" t="str">
        <f>_xlfn.IFNA(VLOOKUP(C888,CallLog_Latest!A:H,8,FALSE),"")</f>
        <v/>
      </c>
      <c r="H888" t="str">
        <f>VLOOKUP(C888,[1]Sheet1!$F:$H,3,FALSE)</f>
        <v>301  Vraj Nirmal Apts. Rani Sati Marg</v>
      </c>
    </row>
    <row r="889" spans="1:8" x14ac:dyDescent="0.25">
      <c r="A889" t="s">
        <v>804</v>
      </c>
      <c r="B889" t="s">
        <v>932</v>
      </c>
      <c r="C889">
        <v>9892402914</v>
      </c>
      <c r="D889" t="str">
        <f>_xlfn.IFNA(VLOOKUP(C889,CallLog_Latest!A:H,7,FALSE),"Not Called")</f>
        <v>Not Called</v>
      </c>
      <c r="E889" t="str">
        <f>IF(ISNA(VLOOKUP(C889,Registration!A:A,1,FALSE)),"Not Registered","Registered")</f>
        <v>Not Registered</v>
      </c>
      <c r="F889">
        <f>VLOOKUP(A889,Sheet1!A:B,2,FALSE)</f>
        <v>9323826288</v>
      </c>
      <c r="G889" t="str">
        <f>_xlfn.IFNA(VLOOKUP(C889,CallLog_Latest!A:H,8,FALSE),"")</f>
        <v/>
      </c>
      <c r="H889" t="str">
        <f>VLOOKUP(C889,[1]Sheet1!$F:$H,3,FALSE)</f>
        <v>A/704  Manthan Darshi Complex Datta Mandir Road  Opp. Sharda International High School</v>
      </c>
    </row>
    <row r="890" spans="1:8" x14ac:dyDescent="0.25">
      <c r="A890" t="s">
        <v>806</v>
      </c>
      <c r="B890" t="s">
        <v>933</v>
      </c>
      <c r="C890">
        <v>9322507723</v>
      </c>
      <c r="D890" t="str">
        <f>_xlfn.IFNA(VLOOKUP(C890,CallLog_Latest!A:H,7,FALSE),"Not Called")</f>
        <v>Not Called</v>
      </c>
      <c r="E890" t="str">
        <f>IF(ISNA(VLOOKUP(C890,Registration!A:A,1,FALSE)),"Not Registered","Registered")</f>
        <v>Not Registered</v>
      </c>
      <c r="F890">
        <f>VLOOKUP(A890,Sheet1!A:B,2,FALSE)</f>
        <v>9320770849</v>
      </c>
      <c r="G890" t="str">
        <f>_xlfn.IFNA(VLOOKUP(C890,CallLog_Latest!A:H,8,FALSE),"")</f>
        <v/>
      </c>
      <c r="H890" t="str">
        <f>VLOOKUP(C890,[1]Sheet1!$F:$H,3,FALSE)</f>
        <v>1803-B  IVY Towers  Vasant Valley Complex Behind Dindoshi Bus Depot  Film City Road</v>
      </c>
    </row>
    <row r="891" spans="1:8" x14ac:dyDescent="0.25">
      <c r="A891" t="s">
        <v>808</v>
      </c>
      <c r="B891" t="s">
        <v>934</v>
      </c>
      <c r="C891">
        <v>9819199305</v>
      </c>
      <c r="D891" t="str">
        <f>_xlfn.IFNA(VLOOKUP(C891,CallLog_Latest!A:H,7,FALSE),"Not Called")</f>
        <v>Not Called</v>
      </c>
      <c r="E891" t="str">
        <f>IF(ISNA(VLOOKUP(C891,Registration!A:A,1,FALSE)),"Not Registered","Registered")</f>
        <v>Not Registered</v>
      </c>
      <c r="F891">
        <f>VLOOKUP(A891,Sheet1!A:B,2,FALSE)</f>
        <v>9321694896</v>
      </c>
      <c r="G891" t="str">
        <f>_xlfn.IFNA(VLOOKUP(C891,CallLog_Latest!A:H,8,FALSE),"")</f>
        <v/>
      </c>
      <c r="H891" t="str">
        <f>VLOOKUP(C891,[1]Sheet1!$F:$H,3,FALSE)</f>
        <v>A/2103-04  Alta Monte Omkar Near Shantaram Talaw  Kurar Village</v>
      </c>
    </row>
    <row r="892" spans="1:8" x14ac:dyDescent="0.25">
      <c r="A892" t="s">
        <v>810</v>
      </c>
      <c r="B892" t="s">
        <v>935</v>
      </c>
      <c r="C892">
        <v>9833440518</v>
      </c>
      <c r="D892" t="str">
        <f>_xlfn.IFNA(VLOOKUP(C892,CallLog_Latest!A:H,7,FALSE),"Not Called")</f>
        <v>Not Called</v>
      </c>
      <c r="E892" t="str">
        <f>IF(ISNA(VLOOKUP(C892,Registration!A:A,1,FALSE)),"Not Registered","Registered")</f>
        <v>Not Registered</v>
      </c>
      <c r="F892">
        <f>VLOOKUP(A892,Sheet1!A:B,2,FALSE)</f>
        <v>9619090608</v>
      </c>
      <c r="G892" t="str">
        <f>_xlfn.IFNA(VLOOKUP(C892,CallLog_Latest!A:H,8,FALSE),"")</f>
        <v/>
      </c>
      <c r="H892" t="str">
        <f>VLOOKUP(C892,[1]Sheet1!$F:$H,3,FALSE)</f>
        <v>A/2103-04  Alta Monte Omkar Near Shantaram Talaw  Kurar Village</v>
      </c>
    </row>
    <row r="893" spans="1:8" x14ac:dyDescent="0.25">
      <c r="A893" t="s">
        <v>812</v>
      </c>
      <c r="B893" t="s">
        <v>936</v>
      </c>
      <c r="C893">
        <v>9619682260</v>
      </c>
      <c r="D893" t="str">
        <f>_xlfn.IFNA(VLOOKUP(C893,CallLog_Latest!A:H,7,FALSE),"Not Called")</f>
        <v>Not Called</v>
      </c>
      <c r="E893" t="str">
        <f>IF(ISNA(VLOOKUP(C893,Registration!A:A,1,FALSE)),"Not Registered","Registered")</f>
        <v>Not Registered</v>
      </c>
      <c r="F893">
        <f>VLOOKUP(A893,Sheet1!A:B,2,FALSE)</f>
        <v>9320269488</v>
      </c>
      <c r="G893" t="str">
        <f>_xlfn.IFNA(VLOOKUP(C893,CallLog_Latest!A:H,8,FALSE),"")</f>
        <v/>
      </c>
      <c r="H893" t="str">
        <f>VLOOKUP(C893,[1]Sheet1!$F:$H,3,FALSE)</f>
        <v>C-305  Muktangan Society  Upper Govind Nagar</v>
      </c>
    </row>
    <row r="894" spans="1:8" x14ac:dyDescent="0.25">
      <c r="A894" t="s">
        <v>814</v>
      </c>
      <c r="B894" t="s">
        <v>937</v>
      </c>
      <c r="C894">
        <v>9619499911</v>
      </c>
      <c r="D894" t="str">
        <f>_xlfn.IFNA(VLOOKUP(C894,CallLog_Latest!A:H,7,FALSE),"Not Called")</f>
        <v>Not Called</v>
      </c>
      <c r="E894" t="str">
        <f>IF(ISNA(VLOOKUP(C894,Registration!A:A,1,FALSE)),"Not Registered","Registered")</f>
        <v>Not Registered</v>
      </c>
      <c r="F894">
        <f>VLOOKUP(A894,Sheet1!A:B,2,FALSE)</f>
        <v>9320624230</v>
      </c>
      <c r="G894" t="str">
        <f>_xlfn.IFNA(VLOOKUP(C894,CallLog_Latest!A:H,8,FALSE),"")</f>
        <v/>
      </c>
      <c r="H894" t="str">
        <f>VLOOKUP(C894,[1]Sheet1!$F:$H,3,FALSE)</f>
        <v>Shree Sadan, Plot No. 142 Upper Govind Nagar, Malad (E</v>
      </c>
    </row>
    <row r="895" spans="1:8" x14ac:dyDescent="0.25">
      <c r="A895" t="s">
        <v>782</v>
      </c>
      <c r="B895" t="s">
        <v>82</v>
      </c>
      <c r="C895">
        <v>9824100412</v>
      </c>
      <c r="D895" t="str">
        <f>_xlfn.IFNA(VLOOKUP(C895,CallLog_Latest!A:H,7,FALSE),"Not Called")</f>
        <v>Not Called</v>
      </c>
      <c r="E895" t="str">
        <f>IF(ISNA(VLOOKUP(C895,Registration!A:A,1,FALSE)),"Not Registered","Registered")</f>
        <v>Not Registered</v>
      </c>
      <c r="F895">
        <f>VLOOKUP(A895,Sheet1!A:B,2,FALSE)</f>
        <v>9819004363</v>
      </c>
      <c r="G895" t="str">
        <f>_xlfn.IFNA(VLOOKUP(C895,CallLog_Latest!A:H,8,FALSE),"")</f>
        <v/>
      </c>
      <c r="H895" t="str">
        <f>VLOOKUP(C895,[1]Sheet1!$F:$H,3,FALSE)</f>
        <v>A-804, Shikhar Kunj Upper Govind Nagar, Malad (E</v>
      </c>
    </row>
    <row r="896" spans="1:8" x14ac:dyDescent="0.25">
      <c r="A896" t="s">
        <v>784</v>
      </c>
      <c r="B896" t="s">
        <v>938</v>
      </c>
      <c r="C896">
        <v>8976659695</v>
      </c>
      <c r="D896" t="str">
        <f>_xlfn.IFNA(VLOOKUP(C896,CallLog_Latest!A:H,7,FALSE),"Not Called")</f>
        <v>Not Called</v>
      </c>
      <c r="E896" t="str">
        <f>IF(ISNA(VLOOKUP(C896,Registration!A:A,1,FALSE)),"Not Registered","Registered")</f>
        <v>Not Registered</v>
      </c>
      <c r="F896">
        <f>VLOOKUP(A896,Sheet1!A:B,2,FALSE)</f>
        <v>9321133166</v>
      </c>
      <c r="G896" t="str">
        <f>_xlfn.IFNA(VLOOKUP(C896,CallLog_Latest!A:H,8,FALSE),"")</f>
        <v/>
      </c>
      <c r="H896" t="str">
        <f>VLOOKUP(C896,[1]Sheet1!$F:$H,3,FALSE)</f>
        <v>204  A-Wing  Panchsheel 2  Raheja Township</v>
      </c>
    </row>
    <row r="897" spans="1:8" x14ac:dyDescent="0.25">
      <c r="A897" t="s">
        <v>786</v>
      </c>
      <c r="B897" t="s">
        <v>939</v>
      </c>
      <c r="C897">
        <v>9323978051</v>
      </c>
      <c r="D897" t="str">
        <f>_xlfn.IFNA(VLOOKUP(C897,CallLog_Latest!A:H,7,FALSE),"Not Called")</f>
        <v>Not Called</v>
      </c>
      <c r="E897" t="str">
        <f>IF(ISNA(VLOOKUP(C897,Registration!A:A,1,FALSE)),"Not Registered","Registered")</f>
        <v>Not Registered</v>
      </c>
      <c r="F897">
        <f>VLOOKUP(A897,Sheet1!A:B,2,FALSE)</f>
        <v>9321532327</v>
      </c>
      <c r="G897" t="str">
        <f>_xlfn.IFNA(VLOOKUP(C897,CallLog_Latest!A:H,8,FALSE),"")</f>
        <v/>
      </c>
      <c r="H897" t="str">
        <f>VLOOKUP(C897,[1]Sheet1!$F:$H,3,FALSE)</f>
        <v>Divya Apartment  504/A Wing Opp.Triveni Nagar  Kurar Village Malad (E</v>
      </c>
    </row>
    <row r="898" spans="1:8" x14ac:dyDescent="0.25">
      <c r="A898" t="s">
        <v>788</v>
      </c>
      <c r="B898" t="s">
        <v>940</v>
      </c>
      <c r="C898">
        <v>9920598986</v>
      </c>
      <c r="D898" t="str">
        <f>_xlfn.IFNA(VLOOKUP(C898,CallLog_Latest!A:H,7,FALSE),"Not Called")</f>
        <v>Not Called</v>
      </c>
      <c r="E898" t="str">
        <f>IF(ISNA(VLOOKUP(C898,Registration!A:A,1,FALSE)),"Not Registered","Registered")</f>
        <v>Not Registered</v>
      </c>
      <c r="F898">
        <f>VLOOKUP(A898,Sheet1!A:B,2,FALSE)</f>
        <v>8879785324</v>
      </c>
      <c r="G898" t="str">
        <f>_xlfn.IFNA(VLOOKUP(C898,CallLog_Latest!A:H,8,FALSE),"")</f>
        <v/>
      </c>
      <c r="H898" t="str">
        <f>VLOOKUP(C898,[1]Sheet1!$F:$H,3,FALSE)</f>
        <v>Riddhi Garden  Bldg. No. H4  Flat No. 603 A.k. Vaidya Marg</v>
      </c>
    </row>
    <row r="899" spans="1:8" x14ac:dyDescent="0.25">
      <c r="A899" t="s">
        <v>790</v>
      </c>
      <c r="B899" t="s">
        <v>941</v>
      </c>
      <c r="C899">
        <v>9022492300</v>
      </c>
      <c r="D899" t="str">
        <f>_xlfn.IFNA(VLOOKUP(C899,CallLog_Latest!A:H,7,FALSE),"Not Called")</f>
        <v>Not Called</v>
      </c>
      <c r="E899" t="str">
        <f>IF(ISNA(VLOOKUP(C899,Registration!A:A,1,FALSE)),"Not Registered","Registered")</f>
        <v>Not Registered</v>
      </c>
      <c r="F899">
        <f>VLOOKUP(A899,Sheet1!A:B,2,FALSE)</f>
        <v>9702260383</v>
      </c>
      <c r="G899" t="str">
        <f>_xlfn.IFNA(VLOOKUP(C899,CallLog_Latest!A:H,8,FALSE),"")</f>
        <v/>
      </c>
      <c r="H899" t="str">
        <f>VLOOKUP(C899,[1]Sheet1!$F:$H,3,FALSE)</f>
        <v>502-B  Panchsheel No.2 Raheja Township</v>
      </c>
    </row>
    <row r="900" spans="1:8" x14ac:dyDescent="0.25">
      <c r="A900" t="s">
        <v>792</v>
      </c>
      <c r="B900" t="s">
        <v>942</v>
      </c>
      <c r="C900">
        <v>9819402993</v>
      </c>
      <c r="D900" t="str">
        <f>_xlfn.IFNA(VLOOKUP(C900,CallLog_Latest!A:H,7,FALSE),"Not Called")</f>
        <v>Not Called</v>
      </c>
      <c r="E900" t="str">
        <f>IF(ISNA(VLOOKUP(C900,Registration!A:A,1,FALSE)),"Not Registered","Registered")</f>
        <v>Not Registered</v>
      </c>
      <c r="F900">
        <f>VLOOKUP(A900,Sheet1!A:B,2,FALSE)</f>
        <v>9322066124</v>
      </c>
      <c r="G900" t="str">
        <f>_xlfn.IFNA(VLOOKUP(C900,CallLog_Latest!A:H,8,FALSE),"")</f>
        <v/>
      </c>
      <c r="H900" t="str">
        <f>VLOOKUP(C900,[1]Sheet1!$F:$H,3,FALSE)</f>
        <v>403  Blue Mountain Apt  Upper Govind Nagar, Malad (E</v>
      </c>
    </row>
    <row r="901" spans="1:8" x14ac:dyDescent="0.25">
      <c r="A901" t="s">
        <v>794</v>
      </c>
      <c r="B901" t="s">
        <v>943</v>
      </c>
      <c r="C901">
        <v>9152711555</v>
      </c>
      <c r="D901" t="str">
        <f>_xlfn.IFNA(VLOOKUP(C901,CallLog_Latest!A:H,7,FALSE),"Not Called")</f>
        <v>Not Called</v>
      </c>
      <c r="E901" t="str">
        <f>IF(ISNA(VLOOKUP(C901,Registration!A:A,1,FALSE)),"Not Registered","Registered")</f>
        <v>Not Registered</v>
      </c>
      <c r="F901">
        <f>VLOOKUP(A901,Sheet1!A:B,2,FALSE)</f>
        <v>9892303256</v>
      </c>
      <c r="G901" t="str">
        <f>_xlfn.IFNA(VLOOKUP(C901,CallLog_Latest!A:H,8,FALSE),"")</f>
        <v/>
      </c>
      <c r="H901" t="str">
        <f>VLOOKUP(C901,[1]Sheet1!$F:$H,3,FALSE)</f>
        <v>Flat No 711, 7th Floor, C- Wing, Bhoomi Gokul Chs,  Behind Dindoshi Bus Depot, Off. A.K, Vaidya  Marg, Malad (E</v>
      </c>
    </row>
    <row r="902" spans="1:8" x14ac:dyDescent="0.25">
      <c r="A902" t="s">
        <v>796</v>
      </c>
      <c r="B902" t="s">
        <v>944</v>
      </c>
      <c r="C902">
        <v>9324748773</v>
      </c>
      <c r="D902" t="str">
        <f>_xlfn.IFNA(VLOOKUP(C902,CallLog_Latest!A:H,7,FALSE),"Not Called")</f>
        <v>Not Called</v>
      </c>
      <c r="E902" t="str">
        <f>IF(ISNA(VLOOKUP(C902,Registration!A:A,1,FALSE)),"Not Registered","Registered")</f>
        <v>Not Registered</v>
      </c>
      <c r="F902">
        <f>VLOOKUP(A902,Sheet1!A:B,2,FALSE)</f>
        <v>9920145200</v>
      </c>
      <c r="G902" t="str">
        <f>_xlfn.IFNA(VLOOKUP(C902,CallLog_Latest!A:H,8,FALSE),"")</f>
        <v/>
      </c>
      <c r="H902" t="str">
        <f>VLOOKUP(C902,[1]Sheet1!$F:$H,3,FALSE)</f>
        <v>B-601  Sarnath  Upper Govind Nagar</v>
      </c>
    </row>
    <row r="903" spans="1:8" x14ac:dyDescent="0.25">
      <c r="A903" t="s">
        <v>798</v>
      </c>
      <c r="B903" t="s">
        <v>945</v>
      </c>
      <c r="C903">
        <v>9322177391</v>
      </c>
      <c r="D903">
        <f>_xlfn.IFNA(VLOOKUP(C903,CallLog_Latest!A:H,7,FALSE),"Not Called")</f>
        <v>0</v>
      </c>
      <c r="E903" t="str">
        <f>IF(ISNA(VLOOKUP(C903,Registration!A:A,1,FALSE)),"Not Registered","Registered")</f>
        <v>Not Registered</v>
      </c>
      <c r="F903">
        <f>VLOOKUP(A903,Sheet1!A:B,2,FALSE)</f>
        <v>9320309630</v>
      </c>
      <c r="G903" t="str">
        <f>_xlfn.IFNA(VLOOKUP(C903,CallLog_Latest!A:H,8,FALSE),"")</f>
        <v>Not picked up</v>
      </c>
      <c r="H903" t="str">
        <f>VLOOKUP(C903,[1]Sheet1!$F:$H,3,FALSE)</f>
        <v>Jyoti Sukriti Flat No. B/1101 -02 Floor No.11 Gokuldham Krishna Vatika Marg, Goregaon (E</v>
      </c>
    </row>
    <row r="904" spans="1:8" x14ac:dyDescent="0.25">
      <c r="A904" t="s">
        <v>800</v>
      </c>
      <c r="B904" t="s">
        <v>946</v>
      </c>
      <c r="C904">
        <v>9820282322</v>
      </c>
      <c r="D904" t="str">
        <f>_xlfn.IFNA(VLOOKUP(C904,CallLog_Latest!A:H,7,FALSE),"Not Called")</f>
        <v>Confirmed Presence</v>
      </c>
      <c r="E904" t="str">
        <f>IF(ISNA(VLOOKUP(C904,Registration!A:A,1,FALSE)),"Not Registered","Registered")</f>
        <v>Not Registered</v>
      </c>
      <c r="F904">
        <f>VLOOKUP(A904,Sheet1!A:B,2,FALSE)</f>
        <v>9324233820</v>
      </c>
      <c r="G904">
        <f>_xlfn.IFNA(VLOOKUP(C904,CallLog_Latest!A:H,8,FALSE),"")</f>
        <v>0</v>
      </c>
      <c r="H904" t="str">
        <f>VLOOKUP(C904,[1]Sheet1!$F:$H,3,FALSE)</f>
        <v>B/406  Ganga Building Rani Sati Marg</v>
      </c>
    </row>
    <row r="905" spans="1:8" x14ac:dyDescent="0.25">
      <c r="A905" t="s">
        <v>802</v>
      </c>
      <c r="B905" t="s">
        <v>947</v>
      </c>
      <c r="C905">
        <v>7506008954</v>
      </c>
      <c r="D905" t="str">
        <f>_xlfn.IFNA(VLOOKUP(C905,CallLog_Latest!A:H,7,FALSE),"Not Called")</f>
        <v>Not Called</v>
      </c>
      <c r="E905" t="str">
        <f>IF(ISNA(VLOOKUP(C905,Registration!A:A,1,FALSE)),"Not Registered","Registered")</f>
        <v>Not Registered</v>
      </c>
      <c r="F905">
        <f>VLOOKUP(A905,Sheet1!A:B,2,FALSE)</f>
        <v>8879333966</v>
      </c>
      <c r="G905" t="str">
        <f>_xlfn.IFNA(VLOOKUP(C905,CallLog_Latest!A:H,8,FALSE),"")</f>
        <v/>
      </c>
      <c r="H905" t="str">
        <f>VLOOKUP(C905,[1]Sheet1!$F:$H,3,FALSE)</f>
        <v>5/23, Elephanta Bldg, Daftary Road, Malad (E</v>
      </c>
    </row>
    <row r="906" spans="1:8" x14ac:dyDescent="0.25">
      <c r="A906" t="s">
        <v>804</v>
      </c>
      <c r="B906" t="s">
        <v>948</v>
      </c>
      <c r="C906">
        <v>9869322774</v>
      </c>
      <c r="D906" t="str">
        <f>_xlfn.IFNA(VLOOKUP(C906,CallLog_Latest!A:H,7,FALSE),"Not Called")</f>
        <v>Not Called</v>
      </c>
      <c r="E906" t="str">
        <f>IF(ISNA(VLOOKUP(C906,Registration!A:A,1,FALSE)),"Not Registered","Registered")</f>
        <v>Not Registered</v>
      </c>
      <c r="F906">
        <f>VLOOKUP(A906,Sheet1!A:B,2,FALSE)</f>
        <v>9323826288</v>
      </c>
      <c r="G906" t="str">
        <f>_xlfn.IFNA(VLOOKUP(C906,CallLog_Latest!A:H,8,FALSE),"")</f>
        <v/>
      </c>
      <c r="H906" t="str">
        <f>VLOOKUP(C906,[1]Sheet1!$F:$H,3,FALSE)</f>
        <v>605/B  Ganga Bldg 16 Rani Sati Marg, Malad (E</v>
      </c>
    </row>
    <row r="907" spans="1:8" x14ac:dyDescent="0.25">
      <c r="A907" t="s">
        <v>806</v>
      </c>
      <c r="B907" t="s">
        <v>949</v>
      </c>
      <c r="C907">
        <v>9969121458</v>
      </c>
      <c r="D907" t="str">
        <f>_xlfn.IFNA(VLOOKUP(C907,CallLog_Latest!A:H,7,FALSE),"Not Called")</f>
        <v>Not Called</v>
      </c>
      <c r="E907" t="str">
        <f>IF(ISNA(VLOOKUP(C907,Registration!A:A,1,FALSE)),"Not Registered","Registered")</f>
        <v>Not Registered</v>
      </c>
      <c r="F907">
        <f>VLOOKUP(A907,Sheet1!A:B,2,FALSE)</f>
        <v>9320770849</v>
      </c>
      <c r="G907" t="str">
        <f>_xlfn.IFNA(VLOOKUP(C907,CallLog_Latest!A:H,8,FALSE),"")</f>
        <v/>
      </c>
      <c r="H907" t="str">
        <f>VLOOKUP(C907,[1]Sheet1!$F:$H,3,FALSE)</f>
        <v>605/B  Ganga Bldg 16 Rani Sati Marg, Malad (E</v>
      </c>
    </row>
    <row r="908" spans="1:8" x14ac:dyDescent="0.25">
      <c r="A908" t="s">
        <v>808</v>
      </c>
      <c r="B908" t="s">
        <v>950</v>
      </c>
      <c r="C908">
        <v>9869322774</v>
      </c>
      <c r="D908" t="str">
        <f>_xlfn.IFNA(VLOOKUP(C908,CallLog_Latest!A:H,7,FALSE),"Not Called")</f>
        <v>Not Called</v>
      </c>
      <c r="E908" t="str">
        <f>IF(ISNA(VLOOKUP(C908,Registration!A:A,1,FALSE)),"Not Registered","Registered")</f>
        <v>Not Registered</v>
      </c>
      <c r="F908">
        <f>VLOOKUP(A908,Sheet1!A:B,2,FALSE)</f>
        <v>9321694896</v>
      </c>
      <c r="G908" t="str">
        <f>_xlfn.IFNA(VLOOKUP(C908,CallLog_Latest!A:H,8,FALSE),"")</f>
        <v/>
      </c>
      <c r="H908" t="str">
        <f>VLOOKUP(C908,[1]Sheet1!$F:$H,3,FALSE)</f>
        <v>605/B  Ganga Bldg 16 Rani Sati Marg, Malad (E</v>
      </c>
    </row>
    <row r="909" spans="1:8" x14ac:dyDescent="0.25">
      <c r="A909" t="s">
        <v>810</v>
      </c>
      <c r="B909" t="s">
        <v>951</v>
      </c>
      <c r="C909">
        <v>6375274794</v>
      </c>
      <c r="D909" t="str">
        <f>_xlfn.IFNA(VLOOKUP(C909,CallLog_Latest!A:H,7,FALSE),"Not Called")</f>
        <v>Not Called</v>
      </c>
      <c r="E909" t="str">
        <f>IF(ISNA(VLOOKUP(C909,Registration!A:A,1,FALSE)),"Not Registered","Registered")</f>
        <v>Not Registered</v>
      </c>
      <c r="F909">
        <f>VLOOKUP(A909,Sheet1!A:B,2,FALSE)</f>
        <v>9619090608</v>
      </c>
      <c r="G909" t="str">
        <f>_xlfn.IFNA(VLOOKUP(C909,CallLog_Latest!A:H,8,FALSE),"")</f>
        <v/>
      </c>
      <c r="H909" t="str">
        <f>VLOOKUP(C909,[1]Sheet1!$F:$H,3,FALSE)</f>
        <v>A wing, 3104, Omkar Alta Monte Western Express Highway, Pathanwadi, Malad East</v>
      </c>
    </row>
    <row r="910" spans="1:8" x14ac:dyDescent="0.25">
      <c r="A910" t="s">
        <v>812</v>
      </c>
      <c r="B910" t="s">
        <v>952</v>
      </c>
      <c r="C910">
        <v>9820660286</v>
      </c>
      <c r="D910" t="str">
        <f>_xlfn.IFNA(VLOOKUP(C910,CallLog_Latest!A:H,7,FALSE),"Not Called")</f>
        <v>Not Called</v>
      </c>
      <c r="E910" t="str">
        <f>IF(ISNA(VLOOKUP(C910,Registration!A:A,1,FALSE)),"Not Registered","Registered")</f>
        <v>Not Registered</v>
      </c>
      <c r="F910">
        <f>VLOOKUP(A910,Sheet1!A:B,2,FALSE)</f>
        <v>9320269488</v>
      </c>
      <c r="G910" t="str">
        <f>_xlfn.IFNA(VLOOKUP(C910,CallLog_Latest!A:H,8,FALSE),"")</f>
        <v/>
      </c>
      <c r="H910" t="str">
        <f>VLOOKUP(C910,[1]Sheet1!$F:$H,3,FALSE)</f>
        <v>A-503  Rihan Atmaram Sawan Marg Ashok Nagar, Opp. Children Academy School, Kandivali (E</v>
      </c>
    </row>
    <row r="911" spans="1:8" x14ac:dyDescent="0.25">
      <c r="A911" t="s">
        <v>814</v>
      </c>
      <c r="B911" t="s">
        <v>953</v>
      </c>
      <c r="C911">
        <v>9930945971</v>
      </c>
      <c r="D911" t="str">
        <f>_xlfn.IFNA(VLOOKUP(C911,CallLog_Latest!A:H,7,FALSE),"Not Called")</f>
        <v>Not Called</v>
      </c>
      <c r="E911" t="str">
        <f>IF(ISNA(VLOOKUP(C911,Registration!A:A,1,FALSE)),"Not Registered","Registered")</f>
        <v>Not Registered</v>
      </c>
      <c r="F911">
        <f>VLOOKUP(A911,Sheet1!A:B,2,FALSE)</f>
        <v>9320624230</v>
      </c>
      <c r="G911" t="str">
        <f>_xlfn.IFNA(VLOOKUP(C911,CallLog_Latest!A:H,8,FALSE),"")</f>
        <v/>
      </c>
      <c r="H911" t="str">
        <f>VLOOKUP(C911,[1]Sheet1!$F:$H,3,FALSE)</f>
        <v>705/706  Orchid Tower Lokhandwala Township  Akurli Road</v>
      </c>
    </row>
    <row r="912" spans="1:8" x14ac:dyDescent="0.25">
      <c r="A912" t="s">
        <v>782</v>
      </c>
      <c r="B912" t="s">
        <v>954</v>
      </c>
      <c r="C912">
        <v>9819258331</v>
      </c>
      <c r="D912" t="str">
        <f>_xlfn.IFNA(VLOOKUP(C912,CallLog_Latest!A:H,7,FALSE),"Not Called")</f>
        <v>Not Called</v>
      </c>
      <c r="E912" t="str">
        <f>IF(ISNA(VLOOKUP(C912,Registration!A:A,1,FALSE)),"Not Registered","Registered")</f>
        <v>Not Registered</v>
      </c>
      <c r="F912">
        <f>VLOOKUP(A912,Sheet1!A:B,2,FALSE)</f>
        <v>9819004363</v>
      </c>
      <c r="G912" t="str">
        <f>_xlfn.IFNA(VLOOKUP(C912,CallLog_Latest!A:H,8,FALSE),"")</f>
        <v/>
      </c>
      <c r="H912" t="str">
        <f>VLOOKUP(C912,[1]Sheet1!$F:$H,3,FALSE)</f>
        <v>A-2501  Gokul Concorde Thakur Village</v>
      </c>
    </row>
    <row r="913" spans="1:8" x14ac:dyDescent="0.25">
      <c r="A913" t="s">
        <v>784</v>
      </c>
      <c r="B913" t="s">
        <v>955</v>
      </c>
      <c r="C913">
        <v>9892350730</v>
      </c>
      <c r="D913" t="str">
        <f>_xlfn.IFNA(VLOOKUP(C913,CallLog_Latest!A:H,7,FALSE),"Not Called")</f>
        <v>Not Called</v>
      </c>
      <c r="E913" t="str">
        <f>IF(ISNA(VLOOKUP(C913,Registration!A:A,1,FALSE)),"Not Registered","Registered")</f>
        <v>Not Registered</v>
      </c>
      <c r="F913">
        <f>VLOOKUP(A913,Sheet1!A:B,2,FALSE)</f>
        <v>9321133166</v>
      </c>
      <c r="G913" t="str">
        <f>_xlfn.IFNA(VLOOKUP(C913,CallLog_Latest!A:H,8,FALSE),"")</f>
        <v/>
      </c>
      <c r="H913" t="str">
        <f>VLOOKUP(C913,[1]Sheet1!$F:$H,3,FALSE)</f>
        <v>C-801  Spring Leaf-5 Lokhandwala Township  Akurli Road</v>
      </c>
    </row>
    <row r="914" spans="1:8" x14ac:dyDescent="0.25">
      <c r="A914" t="s">
        <v>786</v>
      </c>
      <c r="B914" t="s">
        <v>956</v>
      </c>
      <c r="C914">
        <v>7980496452</v>
      </c>
      <c r="D914" t="str">
        <f>_xlfn.IFNA(VLOOKUP(C914,CallLog_Latest!A:H,7,FALSE),"Not Called")</f>
        <v>Not Called</v>
      </c>
      <c r="E914" t="str">
        <f>IF(ISNA(VLOOKUP(C914,Registration!A:A,1,FALSE)),"Not Registered","Registered")</f>
        <v>Not Registered</v>
      </c>
      <c r="F914">
        <f>VLOOKUP(A914,Sheet1!A:B,2,FALSE)</f>
        <v>9321532327</v>
      </c>
      <c r="G914" t="str">
        <f>_xlfn.IFNA(VLOOKUP(C914,CallLog_Latest!A:H,8,FALSE),"")</f>
        <v/>
      </c>
      <c r="H914" t="str">
        <f>VLOOKUP(C914,[1]Sheet1!$F:$H,3,FALSE)</f>
        <v>Octacrest Complex  A-Wing  Flat No.1101  Lokhandwala Township  Kandivali (E</v>
      </c>
    </row>
    <row r="915" spans="1:8" x14ac:dyDescent="0.25">
      <c r="A915" t="s">
        <v>788</v>
      </c>
      <c r="B915" t="s">
        <v>957</v>
      </c>
      <c r="C915">
        <v>8097914000</v>
      </c>
      <c r="D915" t="str">
        <f>_xlfn.IFNA(VLOOKUP(C915,CallLog_Latest!A:H,7,FALSE),"Not Called")</f>
        <v>Not Called</v>
      </c>
      <c r="E915" t="str">
        <f>IF(ISNA(VLOOKUP(C915,Registration!A:A,1,FALSE)),"Not Registered","Registered")</f>
        <v>Not Registered</v>
      </c>
      <c r="F915">
        <f>VLOOKUP(A915,Sheet1!A:B,2,FALSE)</f>
        <v>8879785324</v>
      </c>
      <c r="G915" t="str">
        <f>_xlfn.IFNA(VLOOKUP(C915,CallLog_Latest!A:H,8,FALSE),"")</f>
        <v/>
      </c>
      <c r="H915" t="str">
        <f>VLOOKUP(C915,[1]Sheet1!$F:$H,3,FALSE)</f>
        <v>Flat No. 2B-62, Kalpataru Gardens Phase-1 CHSL, Swayambhu Ganesh Mandir Marg, Ashok Nagar, Kandivali (E</v>
      </c>
    </row>
    <row r="916" spans="1:8" x14ac:dyDescent="0.25">
      <c r="A916" t="s">
        <v>790</v>
      </c>
      <c r="B916" t="s">
        <v>958</v>
      </c>
      <c r="C916">
        <v>9833517067</v>
      </c>
      <c r="D916" t="str">
        <f>_xlfn.IFNA(VLOOKUP(C916,CallLog_Latest!A:H,7,FALSE),"Not Called")</f>
        <v>Maybe Attending 🤔</v>
      </c>
      <c r="E916" t="str">
        <f>IF(ISNA(VLOOKUP(C916,Registration!A:A,1,FALSE)),"Not Registered","Registered")</f>
        <v>Not Registered</v>
      </c>
      <c r="F916">
        <f>VLOOKUP(A916,Sheet1!A:B,2,FALSE)</f>
        <v>9702260383</v>
      </c>
      <c r="G916">
        <f>_xlfn.IFNA(VLOOKUP(C916,CallLog_Latest!A:H,8,FALSE),"")</f>
        <v>0</v>
      </c>
      <c r="H916" t="str">
        <f>VLOOKUP(C916,[1]Sheet1!$F:$H,3,FALSE)</f>
        <v>701-B  Oberoi Park View Thakur Village  Near Thakur Cinema</v>
      </c>
    </row>
    <row r="917" spans="1:8" x14ac:dyDescent="0.25">
      <c r="A917" t="s">
        <v>792</v>
      </c>
      <c r="B917" t="s">
        <v>959</v>
      </c>
      <c r="C917">
        <v>9930887717</v>
      </c>
      <c r="D917" t="str">
        <f>_xlfn.IFNA(VLOOKUP(C917,CallLog_Latest!A:H,7,FALSE),"Not Called")</f>
        <v>Not Called</v>
      </c>
      <c r="E917" t="str">
        <f>IF(ISNA(VLOOKUP(C917,Registration!A:A,1,FALSE)),"Not Registered","Registered")</f>
        <v>Not Registered</v>
      </c>
      <c r="F917">
        <f>VLOOKUP(A917,Sheet1!A:B,2,FALSE)</f>
        <v>9322066124</v>
      </c>
      <c r="G917" t="str">
        <f>_xlfn.IFNA(VLOOKUP(C917,CallLog_Latest!A:H,8,FALSE),"")</f>
        <v/>
      </c>
      <c r="H917" t="str">
        <f>VLOOKUP(C917,[1]Sheet1!$F:$H,3,FALSE)</f>
        <v>Flat No.6, Tower D,Vice Roy Park Chs. Ltd., Thakur Village, Kandivali (E,</v>
      </c>
    </row>
    <row r="918" spans="1:8" x14ac:dyDescent="0.25">
      <c r="A918" t="s">
        <v>794</v>
      </c>
      <c r="B918" t="s">
        <v>960</v>
      </c>
      <c r="C918">
        <v>7738761172</v>
      </c>
      <c r="D918" t="str">
        <f>_xlfn.IFNA(VLOOKUP(C918,CallLog_Latest!A:H,7,FALSE),"Not Called")</f>
        <v>Not Called</v>
      </c>
      <c r="E918" t="str">
        <f>IF(ISNA(VLOOKUP(C918,Registration!A:A,1,FALSE)),"Not Registered","Registered")</f>
        <v>Not Registered</v>
      </c>
      <c r="F918">
        <f>VLOOKUP(A918,Sheet1!A:B,2,FALSE)</f>
        <v>9892303256</v>
      </c>
      <c r="G918" t="str">
        <f>_xlfn.IFNA(VLOOKUP(C918,CallLog_Latest!A:H,8,FALSE),"")</f>
        <v/>
      </c>
      <c r="H918" t="str">
        <f>VLOOKUP(C918,[1]Sheet1!$F:$H,3,FALSE)</f>
        <v>Sarova Tower, C-1/Flat No. 601   Samta Nagar, Kandivali (E</v>
      </c>
    </row>
    <row r="919" spans="1:8" x14ac:dyDescent="0.25">
      <c r="A919" t="s">
        <v>796</v>
      </c>
      <c r="B919" t="s">
        <v>961</v>
      </c>
      <c r="C919">
        <v>8879940142</v>
      </c>
      <c r="D919" t="str">
        <f>_xlfn.IFNA(VLOOKUP(C919,CallLog_Latest!A:H,7,FALSE),"Not Called")</f>
        <v>Not Called</v>
      </c>
      <c r="E919" t="str">
        <f>IF(ISNA(VLOOKUP(C919,Registration!A:A,1,FALSE)),"Not Registered","Registered")</f>
        <v>Not Registered</v>
      </c>
      <c r="F919">
        <f>VLOOKUP(A919,Sheet1!A:B,2,FALSE)</f>
        <v>9920145200</v>
      </c>
      <c r="G919" t="str">
        <f>_xlfn.IFNA(VLOOKUP(C919,CallLog_Latest!A:H,8,FALSE),"")</f>
        <v/>
      </c>
      <c r="H919" t="str">
        <f>VLOOKUP(C919,[1]Sheet1!$F:$H,3,FALSE)</f>
        <v>Flat No.6, Tower D,Vice Roy Park Chs. Ltd., Thakur Village, Kandivali (E,</v>
      </c>
    </row>
    <row r="920" spans="1:8" x14ac:dyDescent="0.25">
      <c r="A920" t="s">
        <v>798</v>
      </c>
      <c r="B920" t="s">
        <v>962</v>
      </c>
      <c r="C920">
        <v>9920247736</v>
      </c>
      <c r="D920" t="str">
        <f>_xlfn.IFNA(VLOOKUP(C920,CallLog_Latest!A:H,7,FALSE),"Not Called")</f>
        <v>May be Attending</v>
      </c>
      <c r="E920" t="str">
        <f>IF(ISNA(VLOOKUP(C920,Registration!A:A,1,FALSE)),"Not Registered","Registered")</f>
        <v>Not Registered</v>
      </c>
      <c r="F920">
        <f>VLOOKUP(A920,Sheet1!A:B,2,FALSE)</f>
        <v>9320309630</v>
      </c>
      <c r="G920">
        <f>_xlfn.IFNA(VLOOKUP(C920,CallLog_Latest!A:H,8,FALSE),"")</f>
        <v>0</v>
      </c>
      <c r="H920" t="str">
        <f>VLOOKUP(C920,[1]Sheet1!$F:$H,3,FALSE)</f>
        <v>Flat No.6, Tower D,Vice Roy Park Chs. Ltd., Thakur Village, Kandivali (E,</v>
      </c>
    </row>
    <row r="921" spans="1:8" x14ac:dyDescent="0.25">
      <c r="A921" t="s">
        <v>800</v>
      </c>
      <c r="B921" t="s">
        <v>963</v>
      </c>
      <c r="C921">
        <v>9892525363</v>
      </c>
      <c r="D921" t="str">
        <f>_xlfn.IFNA(VLOOKUP(C921,CallLog_Latest!A:H,7,FALSE),"Not Called")</f>
        <v>Not Called</v>
      </c>
      <c r="E921" t="str">
        <f>IF(ISNA(VLOOKUP(C921,Registration!A:A,1,FALSE)),"Not Registered","Registered")</f>
        <v>Not Registered</v>
      </c>
      <c r="F921">
        <f>VLOOKUP(A921,Sheet1!A:B,2,FALSE)</f>
        <v>9324233820</v>
      </c>
      <c r="G921" t="str">
        <f>_xlfn.IFNA(VLOOKUP(C921,CallLog_Latest!A:H,8,FALSE),"")</f>
        <v/>
      </c>
      <c r="H921" t="str">
        <f>VLOOKUP(C921,[1]Sheet1!$F:$H,3,FALSE)</f>
        <v>C-501, Oberoi Garden Society Opp. Ganpati Tower, Thakur Village, Kandivali (E</v>
      </c>
    </row>
    <row r="922" spans="1:8" x14ac:dyDescent="0.25">
      <c r="A922" t="s">
        <v>802</v>
      </c>
      <c r="B922" t="s">
        <v>964</v>
      </c>
      <c r="C922">
        <v>9820297200</v>
      </c>
      <c r="D922" t="str">
        <f>_xlfn.IFNA(VLOOKUP(C922,CallLog_Latest!A:H,7,FALSE),"Not Called")</f>
        <v>Not Called</v>
      </c>
      <c r="E922" t="str">
        <f>IF(ISNA(VLOOKUP(C922,Registration!A:A,1,FALSE)),"Not Registered","Registered")</f>
        <v>Not Registered</v>
      </c>
      <c r="F922">
        <f>VLOOKUP(A922,Sheet1!A:B,2,FALSE)</f>
        <v>8879333966</v>
      </c>
      <c r="G922" t="str">
        <f>_xlfn.IFNA(VLOOKUP(C922,CallLog_Latest!A:H,8,FALSE),"")</f>
        <v/>
      </c>
      <c r="H922" t="str">
        <f>VLOOKUP(C922,[1]Sheet1!$F:$H,3,FALSE)</f>
        <v>Flat no.1702/03  D-Wing  Bldg.No.9  Whispering Palms XX-Clusive  Lokhandwala Township</v>
      </c>
    </row>
    <row r="923" spans="1:8" x14ac:dyDescent="0.25">
      <c r="A923" t="s">
        <v>804</v>
      </c>
      <c r="B923" t="s">
        <v>965</v>
      </c>
      <c r="C923">
        <v>9768115375</v>
      </c>
      <c r="D923" t="str">
        <f>_xlfn.IFNA(VLOOKUP(C923,CallLog_Latest!A:H,7,FALSE),"Not Called")</f>
        <v>Not Called</v>
      </c>
      <c r="E923" t="str">
        <f>IF(ISNA(VLOOKUP(C923,Registration!A:A,1,FALSE)),"Not Registered","Registered")</f>
        <v>Not Registered</v>
      </c>
      <c r="F923">
        <f>VLOOKUP(A923,Sheet1!A:B,2,FALSE)</f>
        <v>9323826288</v>
      </c>
      <c r="G923" t="str">
        <f>_xlfn.IFNA(VLOOKUP(C923,CallLog_Latest!A:H,8,FALSE),"")</f>
        <v/>
      </c>
      <c r="H923" t="str">
        <f>VLOOKUP(C923,[1]Sheet1!$F:$H,3,FALSE)</f>
        <v>1101 D Wing Sumukh Hills  Off W.E Highway, Kandivali East</v>
      </c>
    </row>
    <row r="924" spans="1:8" x14ac:dyDescent="0.25">
      <c r="A924" t="s">
        <v>806</v>
      </c>
      <c r="B924" t="s">
        <v>966</v>
      </c>
      <c r="C924">
        <v>9820267735</v>
      </c>
      <c r="D924" t="str">
        <f>_xlfn.IFNA(VLOOKUP(C924,CallLog_Latest!A:H,7,FALSE),"Not Called")</f>
        <v>Not Reachable</v>
      </c>
      <c r="E924" t="str">
        <f>IF(ISNA(VLOOKUP(C924,Registration!A:A,1,FALSE)),"Not Registered","Registered")</f>
        <v>Not Registered</v>
      </c>
      <c r="F924">
        <f>VLOOKUP(A924,Sheet1!A:B,2,FALSE)</f>
        <v>9320770849</v>
      </c>
      <c r="G924" t="str">
        <f>_xlfn.IFNA(VLOOKUP(C924,CallLog_Latest!A:H,8,FALSE),"")</f>
        <v>Not reachable</v>
      </c>
      <c r="H924" t="str">
        <f>VLOOKUP(C924,[1]Sheet1!$F:$H,3,FALSE)</f>
        <v>8-B  Tower-C Viceroy Park  Thakur Village</v>
      </c>
    </row>
    <row r="925" spans="1:8" x14ac:dyDescent="0.25">
      <c r="A925" t="s">
        <v>808</v>
      </c>
      <c r="B925" t="s">
        <v>967</v>
      </c>
      <c r="C925">
        <v>7021239328</v>
      </c>
      <c r="D925" t="str">
        <f>_xlfn.IFNA(VLOOKUP(C925,CallLog_Latest!A:H,7,FALSE),"Not Called")</f>
        <v>Not Called</v>
      </c>
      <c r="E925" t="str">
        <f>IF(ISNA(VLOOKUP(C925,Registration!A:A,1,FALSE)),"Not Registered","Registered")</f>
        <v>Not Registered</v>
      </c>
      <c r="F925">
        <f>VLOOKUP(A925,Sheet1!A:B,2,FALSE)</f>
        <v>9321694896</v>
      </c>
      <c r="G925" t="str">
        <f>_xlfn.IFNA(VLOOKUP(C925,CallLog_Latest!A:H,8,FALSE),"")</f>
        <v/>
      </c>
      <c r="H925" t="str">
        <f>VLOOKUP(C925,[1]Sheet1!$F:$H,3,FALSE)</f>
        <v>A-1401, Raj Tower, Akurli Road ,Opp. Whispering Palms, Lokhandwala Township, Kandivali (E</v>
      </c>
    </row>
    <row r="926" spans="1:8" x14ac:dyDescent="0.25">
      <c r="A926" t="s">
        <v>810</v>
      </c>
      <c r="B926" t="s">
        <v>786</v>
      </c>
      <c r="C926">
        <v>9321532327</v>
      </c>
      <c r="D926" t="str">
        <f>_xlfn.IFNA(VLOOKUP(C926,CallLog_Latest!A:H,7,FALSE),"Not Called")</f>
        <v>Not Called</v>
      </c>
      <c r="E926" t="str">
        <f>IF(ISNA(VLOOKUP(C926,Registration!A:A,1,FALSE)),"Not Registered","Registered")</f>
        <v>Not Registered</v>
      </c>
      <c r="F926">
        <f>VLOOKUP(A926,Sheet1!A:B,2,FALSE)</f>
        <v>9619090608</v>
      </c>
      <c r="G926" t="str">
        <f>_xlfn.IFNA(VLOOKUP(C926,CallLog_Latest!A:H,8,FALSE),"")</f>
        <v/>
      </c>
      <c r="H926" t="str">
        <f>VLOOKUP(C926,[1]Sheet1!$F:$H,3,FALSE)</f>
        <v>Rakhi  B-601  Vasant Utsav Thakur Village, Kandivali (E</v>
      </c>
    </row>
    <row r="927" spans="1:8" x14ac:dyDescent="0.25">
      <c r="A927" t="s">
        <v>812</v>
      </c>
      <c r="B927" t="s">
        <v>968</v>
      </c>
      <c r="C927">
        <v>9370035892</v>
      </c>
      <c r="D927" t="str">
        <f>_xlfn.IFNA(VLOOKUP(C927,CallLog_Latest!A:H,7,FALSE),"Not Called")</f>
        <v>Not Called</v>
      </c>
      <c r="E927" t="str">
        <f>IF(ISNA(VLOOKUP(C927,Registration!A:A,1,FALSE)),"Not Registered","Registered")</f>
        <v>Not Registered</v>
      </c>
      <c r="F927">
        <f>VLOOKUP(A927,Sheet1!A:B,2,FALSE)</f>
        <v>9320269488</v>
      </c>
      <c r="G927" t="str">
        <f>_xlfn.IFNA(VLOOKUP(C927,CallLog_Latest!A:H,8,FALSE),"")</f>
        <v/>
      </c>
      <c r="H927" t="str">
        <f>VLOOKUP(C927,[1]Sheet1!$F:$H,3,FALSE)</f>
        <v>301  Silver Oak Raheja Willows Next To Mahindra Gate No.-4  Akurli Road</v>
      </c>
    </row>
    <row r="928" spans="1:8" x14ac:dyDescent="0.25">
      <c r="A928" t="s">
        <v>814</v>
      </c>
      <c r="B928" t="s">
        <v>969</v>
      </c>
      <c r="C928">
        <v>8291376471</v>
      </c>
      <c r="D928" t="str">
        <f>_xlfn.IFNA(VLOOKUP(C928,CallLog_Latest!A:H,7,FALSE),"Not Called")</f>
        <v>Not Called</v>
      </c>
      <c r="E928" t="str">
        <f>IF(ISNA(VLOOKUP(C928,Registration!A:A,1,FALSE)),"Not Registered","Registered")</f>
        <v>Not Registered</v>
      </c>
      <c r="F928">
        <f>VLOOKUP(A928,Sheet1!A:B,2,FALSE)</f>
        <v>9320624230</v>
      </c>
      <c r="G928" t="str">
        <f>_xlfn.IFNA(VLOOKUP(C928,CallLog_Latest!A:H,8,FALSE),"")</f>
        <v/>
      </c>
      <c r="H928" t="str">
        <f>VLOOKUP(C928,[1]Sheet1!$F:$H,3,FALSE)</f>
        <v>Lodha White City, 28/3/ B Wing Near Apex Hospital, Lokhandwala Area, Akurli Road, Kandivali (E</v>
      </c>
    </row>
    <row r="929" spans="1:8" x14ac:dyDescent="0.25">
      <c r="A929" t="s">
        <v>782</v>
      </c>
      <c r="B929" t="s">
        <v>970</v>
      </c>
      <c r="C929">
        <v>9323620237</v>
      </c>
      <c r="D929" t="str">
        <f>_xlfn.IFNA(VLOOKUP(C929,CallLog_Latest!A:H,7,FALSE),"Not Called")</f>
        <v>Not Called</v>
      </c>
      <c r="E929" t="str">
        <f>IF(ISNA(VLOOKUP(C929,Registration!A:A,1,FALSE)),"Not Registered","Registered")</f>
        <v>Not Registered</v>
      </c>
      <c r="F929">
        <f>VLOOKUP(A929,Sheet1!A:B,2,FALSE)</f>
        <v>9819004363</v>
      </c>
      <c r="G929" t="str">
        <f>_xlfn.IFNA(VLOOKUP(C929,CallLog_Latest!A:H,8,FALSE),"")</f>
        <v/>
      </c>
      <c r="H929" t="str">
        <f>VLOOKUP(C929,[1]Sheet1!$F:$H,3,FALSE)</f>
        <v>1706  Tower 4,  Challenger Tower, Thakur Village, Kandivali (E</v>
      </c>
    </row>
    <row r="930" spans="1:8" x14ac:dyDescent="0.25">
      <c r="A930" t="s">
        <v>784</v>
      </c>
      <c r="B930" t="s">
        <v>792</v>
      </c>
      <c r="C930">
        <v>9322066124</v>
      </c>
      <c r="D930" t="str">
        <f>_xlfn.IFNA(VLOOKUP(C930,CallLog_Latest!A:H,7,FALSE),"Not Called")</f>
        <v>Not Called</v>
      </c>
      <c r="E930" t="str">
        <f>IF(ISNA(VLOOKUP(C930,Registration!A:A,1,FALSE)),"Not Registered","Registered")</f>
        <v>Not Registered</v>
      </c>
      <c r="F930">
        <f>VLOOKUP(A930,Sheet1!A:B,2,FALSE)</f>
        <v>9321133166</v>
      </c>
      <c r="G930" t="str">
        <f>_xlfn.IFNA(VLOOKUP(C930,CallLog_Latest!A:H,8,FALSE),"")</f>
        <v/>
      </c>
      <c r="H930" t="str">
        <f>VLOOKUP(C930,[1]Sheet1!$F:$H,3,FALSE)</f>
        <v>D-802/803  Gayatri Darshan  Near Suruchi Hotel  Thakur Complex</v>
      </c>
    </row>
    <row r="931" spans="1:8" x14ac:dyDescent="0.25">
      <c r="A931" t="s">
        <v>786</v>
      </c>
      <c r="B931" t="s">
        <v>96</v>
      </c>
      <c r="C931">
        <v>8871984007</v>
      </c>
      <c r="D931" t="str">
        <f>_xlfn.IFNA(VLOOKUP(C931,CallLog_Latest!A:H,7,FALSE),"Not Called")</f>
        <v>Confirmed Presence</v>
      </c>
      <c r="E931" t="str">
        <f>IF(ISNA(VLOOKUP(C931,Registration!A:A,1,FALSE)),"Not Registered","Registered")</f>
        <v>Not Registered</v>
      </c>
      <c r="F931">
        <f>VLOOKUP(A931,Sheet1!A:B,2,FALSE)</f>
        <v>9321532327</v>
      </c>
      <c r="G931">
        <f>_xlfn.IFNA(VLOOKUP(C931,CallLog_Latest!A:H,8,FALSE),"")</f>
        <v>0</v>
      </c>
      <c r="H931" t="str">
        <f>VLOOKUP(C931,[1]Sheet1!$F:$H,3,FALSE)</f>
        <v>A/1104, Raheja Serenity  Thakur Village, Kandivali (E</v>
      </c>
    </row>
    <row r="932" spans="1:8" x14ac:dyDescent="0.25">
      <c r="A932" t="s">
        <v>788</v>
      </c>
      <c r="B932" t="s">
        <v>971</v>
      </c>
      <c r="C932">
        <v>9960186471</v>
      </c>
      <c r="D932" t="str">
        <f>_xlfn.IFNA(VLOOKUP(C932,CallLog_Latest!A:H,7,FALSE),"Not Called")</f>
        <v>Not Called</v>
      </c>
      <c r="E932" t="str">
        <f>IF(ISNA(VLOOKUP(C932,Registration!A:A,1,FALSE)),"Not Registered","Registered")</f>
        <v>Not Registered</v>
      </c>
      <c r="F932">
        <f>VLOOKUP(A932,Sheet1!A:B,2,FALSE)</f>
        <v>8879785324</v>
      </c>
      <c r="G932" t="str">
        <f>_xlfn.IFNA(VLOOKUP(C932,CallLog_Latest!A:H,8,FALSE),"")</f>
        <v/>
      </c>
      <c r="H932" t="str">
        <f>VLOOKUP(C932,[1]Sheet1!$F:$H,3,FALSE)</f>
        <v>705-06, Orchid Towers, Lokhandwala Township,  off Akurli Road,  Kandivali (E</v>
      </c>
    </row>
    <row r="933" spans="1:8" x14ac:dyDescent="0.25">
      <c r="A933" t="s">
        <v>790</v>
      </c>
      <c r="B933" t="s">
        <v>972</v>
      </c>
      <c r="C933">
        <v>8097078048</v>
      </c>
      <c r="D933" t="str">
        <f>_xlfn.IFNA(VLOOKUP(C933,CallLog_Latest!A:H,7,FALSE),"Not Called")</f>
        <v>Maybe Attending 🤔</v>
      </c>
      <c r="E933" t="str">
        <f>IF(ISNA(VLOOKUP(C933,Registration!A:A,1,FALSE)),"Not Registered","Registered")</f>
        <v>Not Registered</v>
      </c>
      <c r="F933">
        <f>VLOOKUP(A933,Sheet1!A:B,2,FALSE)</f>
        <v>9702260383</v>
      </c>
      <c r="G933">
        <f>_xlfn.IFNA(VLOOKUP(C933,CallLog_Latest!A:H,8,FALSE),"")</f>
        <v>0</v>
      </c>
      <c r="H933" t="str">
        <f>VLOOKUP(C933,[1]Sheet1!$F:$H,3,FALSE)</f>
        <v>Flat No.504  1 B  N G Suncity Phase-2  Thakur Village</v>
      </c>
    </row>
    <row r="934" spans="1:8" x14ac:dyDescent="0.25">
      <c r="A934" t="s">
        <v>792</v>
      </c>
      <c r="B934" t="s">
        <v>973</v>
      </c>
      <c r="C934">
        <v>9820911988</v>
      </c>
      <c r="D934" t="str">
        <f>_xlfn.IFNA(VLOOKUP(C934,CallLog_Latest!A:H,7,FALSE),"Not Called")</f>
        <v>Not Called</v>
      </c>
      <c r="E934" t="str">
        <f>IF(ISNA(VLOOKUP(C934,Registration!A:A,1,FALSE)),"Not Registered","Registered")</f>
        <v>Not Registered</v>
      </c>
      <c r="F934">
        <f>VLOOKUP(A934,Sheet1!A:B,2,FALSE)</f>
        <v>9322066124</v>
      </c>
      <c r="G934" t="str">
        <f>_xlfn.IFNA(VLOOKUP(C934,CallLog_Latest!A:H,8,FALSE),"")</f>
        <v/>
      </c>
      <c r="H934" t="str">
        <f>VLOOKUP(C934,[1]Sheet1!$F:$H,3,FALSE)</f>
        <v>T1 2602 Acme Oasis, Opp. Mahindra Yellow Gate, Akurli Road, Kandivali (E</v>
      </c>
    </row>
    <row r="935" spans="1:8" x14ac:dyDescent="0.25">
      <c r="A935" t="s">
        <v>794</v>
      </c>
      <c r="B935" t="s">
        <v>974</v>
      </c>
      <c r="C935">
        <v>9967657235</v>
      </c>
      <c r="D935" t="str">
        <f>_xlfn.IFNA(VLOOKUP(C935,CallLog_Latest!A:H,7,FALSE),"Not Called")</f>
        <v>Not Called</v>
      </c>
      <c r="E935" t="str">
        <f>IF(ISNA(VLOOKUP(C935,Registration!A:A,1,FALSE)),"Not Registered","Registered")</f>
        <v>Not Registered</v>
      </c>
      <c r="F935">
        <f>VLOOKUP(A935,Sheet1!A:B,2,FALSE)</f>
        <v>9892303256</v>
      </c>
      <c r="G935" t="str">
        <f>_xlfn.IFNA(VLOOKUP(C935,CallLog_Latest!A:H,8,FALSE),"")</f>
        <v/>
      </c>
      <c r="H935" t="str">
        <f>VLOOKUP(C935,[1]Sheet1!$F:$H,3,FALSE)</f>
        <v>1504  C-wing  Oberoi Gardens  Thakur Village, Kandviali (E</v>
      </c>
    </row>
    <row r="936" spans="1:8" x14ac:dyDescent="0.25">
      <c r="A936" t="s">
        <v>796</v>
      </c>
      <c r="B936" t="s">
        <v>975</v>
      </c>
      <c r="C936">
        <v>9820035543</v>
      </c>
      <c r="D936" t="str">
        <f>_xlfn.IFNA(VLOOKUP(C936,CallLog_Latest!A:H,7,FALSE),"Not Called")</f>
        <v>Not Called</v>
      </c>
      <c r="E936" t="str">
        <f>IF(ISNA(VLOOKUP(C936,Registration!A:A,1,FALSE)),"Not Registered","Registered")</f>
        <v>Not Registered</v>
      </c>
      <c r="F936">
        <f>VLOOKUP(A936,Sheet1!A:B,2,FALSE)</f>
        <v>9920145200</v>
      </c>
      <c r="G936" t="str">
        <f>_xlfn.IFNA(VLOOKUP(C936,CallLog_Latest!A:H,8,FALSE),"")</f>
        <v/>
      </c>
      <c r="H936" t="str">
        <f>VLOOKUP(C936,[1]Sheet1!$F:$H,3,FALSE)</f>
        <v>A-802  Mit Niketan CHS. 90 Feet Road Thakur Complex  Opp. Ryan School</v>
      </c>
    </row>
    <row r="937" spans="1:8" x14ac:dyDescent="0.25">
      <c r="A937" t="s">
        <v>798</v>
      </c>
      <c r="B937" t="s">
        <v>976</v>
      </c>
      <c r="C937">
        <v>9769859980</v>
      </c>
      <c r="D937" t="str">
        <f>_xlfn.IFNA(VLOOKUP(C937,CallLog_Latest!A:H,7,FALSE),"Not Called")</f>
        <v>Phone Busy</v>
      </c>
      <c r="E937" t="str">
        <f>IF(ISNA(VLOOKUP(C937,Registration!A:A,1,FALSE)),"Not Registered","Registered")</f>
        <v>Not Registered</v>
      </c>
      <c r="F937">
        <f>VLOOKUP(A937,Sheet1!A:B,2,FALSE)</f>
        <v>9320309630</v>
      </c>
      <c r="G937">
        <f>_xlfn.IFNA(VLOOKUP(C937,CallLog_Latest!A:H,8,FALSE),"")</f>
        <v>0</v>
      </c>
      <c r="H937" t="str">
        <f>VLOOKUP(C937,[1]Sheet1!$F:$H,3,FALSE)</f>
        <v>B-607/608  Thakur's Blue Heaven Co-op. Hsg. Soc Thakur Complex</v>
      </c>
    </row>
    <row r="938" spans="1:8" x14ac:dyDescent="0.25">
      <c r="A938" t="s">
        <v>800</v>
      </c>
      <c r="B938" t="s">
        <v>977</v>
      </c>
      <c r="C938">
        <v>7977214168</v>
      </c>
      <c r="D938" t="str">
        <f>_xlfn.IFNA(VLOOKUP(C938,CallLog_Latest!A:H,7,FALSE),"Not Called")</f>
        <v>Confirmed Presence ✅</v>
      </c>
      <c r="E938" t="str">
        <f>IF(ISNA(VLOOKUP(C938,Registration!A:A,1,FALSE)),"Not Registered","Registered")</f>
        <v>Not Registered</v>
      </c>
      <c r="F938">
        <f>VLOOKUP(A938,Sheet1!A:B,2,FALSE)</f>
        <v>9324233820</v>
      </c>
      <c r="G938">
        <f>_xlfn.IFNA(VLOOKUP(C938,CallLog_Latest!A:H,8,FALSE),"")</f>
        <v>0</v>
      </c>
      <c r="H938" t="str">
        <f>VLOOKUP(C938,[1]Sheet1!$F:$H,3,FALSE)</f>
        <v>1203  Birchwood  Raheja Willows, Near Mahindra Gate No.-4,  Akurli Road Lokhandwala, Kandivali (E</v>
      </c>
    </row>
    <row r="939" spans="1:8" x14ac:dyDescent="0.25">
      <c r="A939" t="s">
        <v>802</v>
      </c>
      <c r="B939" t="s">
        <v>978</v>
      </c>
      <c r="C939">
        <v>9821406662</v>
      </c>
      <c r="D939" t="str">
        <f>_xlfn.IFNA(VLOOKUP(C939,CallLog_Latest!A:H,7,FALSE),"Not Called")</f>
        <v>Not Called</v>
      </c>
      <c r="E939" t="str">
        <f>IF(ISNA(VLOOKUP(C939,Registration!A:A,1,FALSE)),"Not Registered","Registered")</f>
        <v>Not Registered</v>
      </c>
      <c r="F939">
        <f>VLOOKUP(A939,Sheet1!A:B,2,FALSE)</f>
        <v>8879333966</v>
      </c>
      <c r="G939" t="str">
        <f>_xlfn.IFNA(VLOOKUP(C939,CallLog_Latest!A:H,8,FALSE),"")</f>
        <v/>
      </c>
      <c r="H939" t="str">
        <f>VLOOKUP(C939,[1]Sheet1!$F:$H,3,FALSE)</f>
        <v>B/173, Kalpataru Towers, Akurli Road, Opp. ESIS Hospital, Kandivali (E</v>
      </c>
    </row>
    <row r="940" spans="1:8" x14ac:dyDescent="0.25">
      <c r="A940" t="s">
        <v>804</v>
      </c>
      <c r="B940" t="s">
        <v>979</v>
      </c>
      <c r="C940">
        <v>9029394440</v>
      </c>
      <c r="D940" t="str">
        <f>_xlfn.IFNA(VLOOKUP(C940,CallLog_Latest!A:H,7,FALSE),"Not Called")</f>
        <v>Not Called</v>
      </c>
      <c r="E940" t="str">
        <f>IF(ISNA(VLOOKUP(C940,Registration!A:A,1,FALSE)),"Not Registered","Registered")</f>
        <v>Not Registered</v>
      </c>
      <c r="F940">
        <f>VLOOKUP(A940,Sheet1!A:B,2,FALSE)</f>
        <v>9323826288</v>
      </c>
      <c r="G940" t="str">
        <f>_xlfn.IFNA(VLOOKUP(C940,CallLog_Latest!A:H,8,FALSE),"")</f>
        <v/>
      </c>
      <c r="H940" t="str">
        <f>VLOOKUP(C940,[1]Sheet1!$F:$H,3,FALSE)</f>
        <v>Vinay Tower B5  Lokhandwala Complex Vinay Tower, Kandivali (E</v>
      </c>
    </row>
    <row r="941" spans="1:8" x14ac:dyDescent="0.25">
      <c r="A941" t="s">
        <v>806</v>
      </c>
      <c r="B941" t="s">
        <v>980</v>
      </c>
      <c r="C941">
        <v>9324460852</v>
      </c>
      <c r="D941" t="str">
        <f>_xlfn.IFNA(VLOOKUP(C941,CallLog_Latest!A:H,7,FALSE),"Not Called")</f>
        <v>Not Called</v>
      </c>
      <c r="E941" t="str">
        <f>IF(ISNA(VLOOKUP(C941,Registration!A:A,1,FALSE)),"Not Registered","Registered")</f>
        <v>Not Registered</v>
      </c>
      <c r="F941">
        <f>VLOOKUP(A941,Sheet1!A:B,2,FALSE)</f>
        <v>9320770849</v>
      </c>
      <c r="G941" t="str">
        <f>_xlfn.IFNA(VLOOKUP(C941,CallLog_Latest!A:H,8,FALSE),"")</f>
        <v/>
      </c>
      <c r="H941" t="str">
        <f>VLOOKUP(C941,[1]Sheet1!$F:$H,3,FALSE)</f>
        <v>EMP4/401  Building no. 4  4th Floor Evershine Milleninum Paradise  Thakur Viliage</v>
      </c>
    </row>
    <row r="942" spans="1:8" x14ac:dyDescent="0.25">
      <c r="A942" t="s">
        <v>808</v>
      </c>
      <c r="B942" t="s">
        <v>981</v>
      </c>
      <c r="C942">
        <v>9320013222</v>
      </c>
      <c r="D942" t="str">
        <f>_xlfn.IFNA(VLOOKUP(C942,CallLog_Latest!A:H,7,FALSE),"Not Called")</f>
        <v>Not Called</v>
      </c>
      <c r="E942" t="str">
        <f>IF(ISNA(VLOOKUP(C942,Registration!A:A,1,FALSE)),"Not Registered","Registered")</f>
        <v>Not Registered</v>
      </c>
      <c r="F942">
        <f>VLOOKUP(A942,Sheet1!A:B,2,FALSE)</f>
        <v>9321694896</v>
      </c>
      <c r="G942" t="str">
        <f>_xlfn.IFNA(VLOOKUP(C942,CallLog_Latest!A:H,8,FALSE),"")</f>
        <v/>
      </c>
      <c r="H942" t="str">
        <f>VLOOKUP(C942,[1]Sheet1!$F:$H,3,FALSE)</f>
        <v>Emp-20/801 Pluto CHSc  Evershine Millenium Thakur Village</v>
      </c>
    </row>
    <row r="943" spans="1:8" x14ac:dyDescent="0.25">
      <c r="A943" t="s">
        <v>810</v>
      </c>
      <c r="B943" t="s">
        <v>982</v>
      </c>
      <c r="C943">
        <v>9920886839</v>
      </c>
      <c r="D943" t="str">
        <f>_xlfn.IFNA(VLOOKUP(C943,CallLog_Latest!A:H,7,FALSE),"Not Called")</f>
        <v>Not Called</v>
      </c>
      <c r="E943" t="str">
        <f>IF(ISNA(VLOOKUP(C943,Registration!A:A,1,FALSE)),"Not Registered","Registered")</f>
        <v>Not Registered</v>
      </c>
      <c r="F943">
        <f>VLOOKUP(A943,Sheet1!A:B,2,FALSE)</f>
        <v>9619090608</v>
      </c>
      <c r="G943" t="str">
        <f>_xlfn.IFNA(VLOOKUP(C943,CallLog_Latest!A:H,8,FALSE),"")</f>
        <v/>
      </c>
      <c r="H943" t="str">
        <f>VLOOKUP(C943,[1]Sheet1!$F:$H,3,FALSE)</f>
        <v>White City, A/1605-1606,  White City, Akurli Road, Kandivali East</v>
      </c>
    </row>
    <row r="944" spans="1:8" x14ac:dyDescent="0.25">
      <c r="A944" t="s">
        <v>812</v>
      </c>
      <c r="B944" t="s">
        <v>983</v>
      </c>
      <c r="C944">
        <v>9833135254</v>
      </c>
      <c r="D944" t="str">
        <f>_xlfn.IFNA(VLOOKUP(C944,CallLog_Latest!A:H,7,FALSE),"Not Called")</f>
        <v>Not Called</v>
      </c>
      <c r="E944" t="str">
        <f>IF(ISNA(VLOOKUP(C944,Registration!A:A,1,FALSE)),"Not Registered","Registered")</f>
        <v>Not Registered</v>
      </c>
      <c r="F944">
        <f>VLOOKUP(A944,Sheet1!A:B,2,FALSE)</f>
        <v>9320269488</v>
      </c>
      <c r="G944" t="str">
        <f>_xlfn.IFNA(VLOOKUP(C944,CallLog_Latest!A:H,8,FALSE),"")</f>
        <v/>
      </c>
      <c r="H944" t="str">
        <f>VLOOKUP(C944,[1]Sheet1!$F:$H,3,FALSE)</f>
        <v>D-191  Kalpatru Towers  Akruli Road</v>
      </c>
    </row>
    <row r="945" spans="1:8" x14ac:dyDescent="0.25">
      <c r="A945" t="s">
        <v>814</v>
      </c>
      <c r="B945" t="s">
        <v>984</v>
      </c>
      <c r="C945">
        <v>9967332737</v>
      </c>
      <c r="D945" t="str">
        <f>_xlfn.IFNA(VLOOKUP(C945,CallLog_Latest!A:H,7,FALSE),"Not Called")</f>
        <v>Not Called</v>
      </c>
      <c r="E945" t="str">
        <f>IF(ISNA(VLOOKUP(C945,Registration!A:A,1,FALSE)),"Not Registered","Registered")</f>
        <v>Not Registered</v>
      </c>
      <c r="F945">
        <f>VLOOKUP(A945,Sheet1!A:B,2,FALSE)</f>
        <v>9320624230</v>
      </c>
      <c r="G945" t="str">
        <f>_xlfn.IFNA(VLOOKUP(C945,CallLog_Latest!A:H,8,FALSE),"")</f>
        <v/>
      </c>
      <c r="H945" t="str">
        <f>VLOOKUP(C945,[1]Sheet1!$F:$H,3,FALSE)</f>
        <v>Mineral House  A-303 Thakur Village</v>
      </c>
    </row>
    <row r="946" spans="1:8" x14ac:dyDescent="0.25">
      <c r="A946" t="s">
        <v>782</v>
      </c>
      <c r="B946" t="s">
        <v>985</v>
      </c>
      <c r="C946">
        <v>9699673526</v>
      </c>
      <c r="D946" t="str">
        <f>_xlfn.IFNA(VLOOKUP(C946,CallLog_Latest!A:H,7,FALSE),"Not Called")</f>
        <v>Not Called</v>
      </c>
      <c r="E946" t="str">
        <f>IF(ISNA(VLOOKUP(C946,Registration!A:A,1,FALSE)),"Not Registered","Registered")</f>
        <v>Not Registered</v>
      </c>
      <c r="F946">
        <f>VLOOKUP(A946,Sheet1!A:B,2,FALSE)</f>
        <v>9819004363</v>
      </c>
      <c r="G946" t="str">
        <f>_xlfn.IFNA(VLOOKUP(C946,CallLog_Latest!A:H,8,FALSE),"")</f>
        <v/>
      </c>
      <c r="H946" t="str">
        <f>VLOOKUP(C946,[1]Sheet1!$F:$H,3,FALSE)</f>
        <v>I-404  Gokul Galaxy  90ft Road Thakur Complex</v>
      </c>
    </row>
    <row r="947" spans="1:8" x14ac:dyDescent="0.25">
      <c r="A947" t="s">
        <v>784</v>
      </c>
      <c r="B947" t="s">
        <v>986</v>
      </c>
      <c r="C947">
        <v>9324171286</v>
      </c>
      <c r="D947" t="str">
        <f>_xlfn.IFNA(VLOOKUP(C947,CallLog_Latest!A:H,7,FALSE),"Not Called")</f>
        <v>Not Called</v>
      </c>
      <c r="E947" t="str">
        <f>IF(ISNA(VLOOKUP(C947,Registration!A:A,1,FALSE)),"Not Registered","Registered")</f>
        <v>Not Registered</v>
      </c>
      <c r="F947">
        <f>VLOOKUP(A947,Sheet1!A:B,2,FALSE)</f>
        <v>9321133166</v>
      </c>
      <c r="G947" t="str">
        <f>_xlfn.IFNA(VLOOKUP(C947,CallLog_Latest!A:H,8,FALSE),"")</f>
        <v/>
      </c>
      <c r="H947" t="str">
        <f>VLOOKUP(C947,[1]Sheet1!$F:$H,3,FALSE)</f>
        <v>Emp-61  Flat No-103 Thakur Village   - .</v>
      </c>
    </row>
    <row r="948" spans="1:8" x14ac:dyDescent="0.25">
      <c r="A948" t="s">
        <v>786</v>
      </c>
      <c r="B948" t="s">
        <v>987</v>
      </c>
      <c r="C948">
        <v>9699876904</v>
      </c>
      <c r="D948" t="str">
        <f>_xlfn.IFNA(VLOOKUP(C948,CallLog_Latest!A:H,7,FALSE),"Not Called")</f>
        <v>Not Called</v>
      </c>
      <c r="E948" t="str">
        <f>IF(ISNA(VLOOKUP(C948,Registration!A:A,1,FALSE)),"Not Registered","Registered")</f>
        <v>Not Registered</v>
      </c>
      <c r="F948">
        <f>VLOOKUP(A948,Sheet1!A:B,2,FALSE)</f>
        <v>9321532327</v>
      </c>
      <c r="G948" t="str">
        <f>_xlfn.IFNA(VLOOKUP(C948,CallLog_Latest!A:H,8,FALSE),"")</f>
        <v/>
      </c>
      <c r="H948" t="str">
        <f>VLOOKUP(C948,[1]Sheet1!$F:$H,3,FALSE)</f>
        <v>Sarswati  B-203/303, 2nd Floor, Thakur Village  Vasant Sagar Complex Kandivali (E</v>
      </c>
    </row>
    <row r="949" spans="1:8" x14ac:dyDescent="0.25">
      <c r="A949" t="s">
        <v>788</v>
      </c>
      <c r="B949" t="s">
        <v>988</v>
      </c>
      <c r="C949">
        <v>9819408854</v>
      </c>
      <c r="D949" t="str">
        <f>_xlfn.IFNA(VLOOKUP(C949,CallLog_Latest!A:H,7,FALSE),"Not Called")</f>
        <v>Not Called</v>
      </c>
      <c r="E949" t="str">
        <f>IF(ISNA(VLOOKUP(C949,Registration!A:A,1,FALSE)),"Not Registered","Registered")</f>
        <v>Not Registered</v>
      </c>
      <c r="F949">
        <f>VLOOKUP(A949,Sheet1!A:B,2,FALSE)</f>
        <v>8879785324</v>
      </c>
      <c r="G949" t="str">
        <f>_xlfn.IFNA(VLOOKUP(C949,CallLog_Latest!A:H,8,FALSE),"")</f>
        <v/>
      </c>
      <c r="H949" t="str">
        <f>VLOOKUP(C949,[1]Sheet1!$F:$H,3,FALSE)</f>
        <v>B-102  Arihant Darshan  Jain Derasar Lane Asha Nagar  Thakur Complex</v>
      </c>
    </row>
    <row r="950" spans="1:8" x14ac:dyDescent="0.25">
      <c r="A950" t="s">
        <v>790</v>
      </c>
      <c r="B950" t="s">
        <v>989</v>
      </c>
      <c r="C950">
        <v>9967979838</v>
      </c>
      <c r="D950" t="str">
        <f>_xlfn.IFNA(VLOOKUP(C950,CallLog_Latest!A:H,7,FALSE),"Not Called")</f>
        <v>Not Coming 🚫</v>
      </c>
      <c r="E950" t="str">
        <f>IF(ISNA(VLOOKUP(C950,Registration!A:A,1,FALSE)),"Not Registered","Registered")</f>
        <v>Not Registered</v>
      </c>
      <c r="F950">
        <f>VLOOKUP(A950,Sheet1!A:B,2,FALSE)</f>
        <v>9702260383</v>
      </c>
      <c r="G950">
        <f>_xlfn.IFNA(VLOOKUP(C950,CallLog_Latest!A:H,8,FALSE),"")</f>
        <v>0</v>
      </c>
      <c r="H950" t="str">
        <f>VLOOKUP(C950,[1]Sheet1!$F:$H,3,FALSE)</f>
        <v>2004, 3/C Whispering Palms, Akruli Road, Lokhandwala Townahip, Kandivali (E</v>
      </c>
    </row>
    <row r="951" spans="1:8" x14ac:dyDescent="0.25">
      <c r="A951" t="s">
        <v>792</v>
      </c>
      <c r="B951" t="s">
        <v>990</v>
      </c>
      <c r="C951">
        <v>9819189055</v>
      </c>
      <c r="D951" t="str">
        <f>_xlfn.IFNA(VLOOKUP(C951,CallLog_Latest!A:H,7,FALSE),"Not Called")</f>
        <v>Not Called</v>
      </c>
      <c r="E951" t="str">
        <f>IF(ISNA(VLOOKUP(C951,Registration!A:A,1,FALSE)),"Not Registered","Registered")</f>
        <v>Not Registered</v>
      </c>
      <c r="F951">
        <f>VLOOKUP(A951,Sheet1!A:B,2,FALSE)</f>
        <v>9322066124</v>
      </c>
      <c r="G951" t="str">
        <f>_xlfn.IFNA(VLOOKUP(C951,CallLog_Latest!A:H,8,FALSE),"")</f>
        <v/>
      </c>
      <c r="H951" t="str">
        <f>VLOOKUP(C951,[1]Sheet1!$F:$H,3,FALSE)</f>
        <v>3-C / 1102   Whispering Palms Lokhandwala Township  Akurli Road</v>
      </c>
    </row>
    <row r="952" spans="1:8" x14ac:dyDescent="0.25">
      <c r="A952" t="s">
        <v>794</v>
      </c>
      <c r="B952" t="s">
        <v>991</v>
      </c>
      <c r="C952">
        <v>9987065879</v>
      </c>
      <c r="D952" t="str">
        <f>_xlfn.IFNA(VLOOKUP(C952,CallLog_Latest!A:H,7,FALSE),"Not Called")</f>
        <v>Not Called</v>
      </c>
      <c r="E952" t="str">
        <f>IF(ISNA(VLOOKUP(C952,Registration!A:A,1,FALSE)),"Not Registered","Registered")</f>
        <v>Not Registered</v>
      </c>
      <c r="F952">
        <f>VLOOKUP(A952,Sheet1!A:B,2,FALSE)</f>
        <v>9892303256</v>
      </c>
      <c r="G952" t="str">
        <f>_xlfn.IFNA(VLOOKUP(C952,CallLog_Latest!A:H,8,FALSE),"")</f>
        <v/>
      </c>
      <c r="H952" t="str">
        <f>VLOOKUP(C952,[1]Sheet1!$F:$H,3,FALSE)</f>
        <v>3-b  1702  Whispering Palms Lokhandwala Complex</v>
      </c>
    </row>
    <row r="953" spans="1:8" x14ac:dyDescent="0.25">
      <c r="A953" t="s">
        <v>796</v>
      </c>
      <c r="B953" t="s">
        <v>992</v>
      </c>
      <c r="C953">
        <v>9765000884</v>
      </c>
      <c r="D953" t="str">
        <f>_xlfn.IFNA(VLOOKUP(C953,CallLog_Latest!A:H,7,FALSE),"Not Called")</f>
        <v>Not Called</v>
      </c>
      <c r="E953" t="str">
        <f>IF(ISNA(VLOOKUP(C953,Registration!A:A,1,FALSE)),"Not Registered","Registered")</f>
        <v>Not Registered</v>
      </c>
      <c r="F953">
        <f>VLOOKUP(A953,Sheet1!A:B,2,FALSE)</f>
        <v>9920145200</v>
      </c>
      <c r="G953" t="str">
        <f>_xlfn.IFNA(VLOOKUP(C953,CallLog_Latest!A:H,8,FALSE),"")</f>
        <v/>
      </c>
      <c r="H953" t="str">
        <f>VLOOKUP(C953,[1]Sheet1!$F:$H,3,FALSE)</f>
        <v>404, 3/C Whispering Palms, Akruli Road, Lokhandwala Townahip, Kandivali (E</v>
      </c>
    </row>
    <row r="954" spans="1:8" x14ac:dyDescent="0.25">
      <c r="A954" t="s">
        <v>798</v>
      </c>
      <c r="B954" t="s">
        <v>993</v>
      </c>
      <c r="C954">
        <v>9920772647</v>
      </c>
      <c r="D954">
        <f>_xlfn.IFNA(VLOOKUP(C954,CallLog_Latest!A:H,7,FALSE),"Not Called")</f>
        <v>0</v>
      </c>
      <c r="E954" t="str">
        <f>IF(ISNA(VLOOKUP(C954,Registration!A:A,1,FALSE)),"Not Registered","Registered")</f>
        <v>Not Registered</v>
      </c>
      <c r="F954">
        <f>VLOOKUP(A954,Sheet1!A:B,2,FALSE)</f>
        <v>9320309630</v>
      </c>
      <c r="G954" t="str">
        <f>_xlfn.IFNA(VLOOKUP(C954,CallLog_Latest!A:H,8,FALSE),"")</f>
        <v>Not picked up</v>
      </c>
      <c r="H954" t="str">
        <f>VLOOKUP(C954,[1]Sheet1!$F:$H,3,FALSE)</f>
        <v>3c-603/604  Siddhi Vinayak Society Asha Nagar  Thakur Complex</v>
      </c>
    </row>
    <row r="955" spans="1:8" x14ac:dyDescent="0.25">
      <c r="A955" t="s">
        <v>800</v>
      </c>
      <c r="B955" t="s">
        <v>994</v>
      </c>
      <c r="C955">
        <v>9000438763</v>
      </c>
      <c r="D955" t="str">
        <f>_xlfn.IFNA(VLOOKUP(C955,CallLog_Latest!A:H,7,FALSE),"Not Called")</f>
        <v>Not Reachable</v>
      </c>
      <c r="E955" t="str">
        <f>IF(ISNA(VLOOKUP(C955,Registration!A:A,1,FALSE)),"Not Registered","Registered")</f>
        <v>Not Registered</v>
      </c>
      <c r="F955">
        <f>VLOOKUP(A955,Sheet1!A:B,2,FALSE)</f>
        <v>9324233820</v>
      </c>
      <c r="G955" t="str">
        <f>_xlfn.IFNA(VLOOKUP(C955,CallLog_Latest!A:H,8,FALSE),"")</f>
        <v>Wrong no</v>
      </c>
      <c r="H955" t="str">
        <f>VLOOKUP(C955,[1]Sheet1!$F:$H,3,FALSE)</f>
        <v>1 -A  44  Kalpatru Gardens Ashok Nagar  Kandivali (E</v>
      </c>
    </row>
    <row r="956" spans="1:8" x14ac:dyDescent="0.25">
      <c r="A956" t="s">
        <v>802</v>
      </c>
      <c r="B956" t="s">
        <v>995</v>
      </c>
      <c r="C956">
        <v>9324587634</v>
      </c>
      <c r="D956" t="str">
        <f>_xlfn.IFNA(VLOOKUP(C956,CallLog_Latest!A:H,7,FALSE),"Not Called")</f>
        <v>Not Called</v>
      </c>
      <c r="E956" t="str">
        <f>IF(ISNA(VLOOKUP(C956,Registration!A:A,1,FALSE)),"Not Registered","Registered")</f>
        <v>Not Registered</v>
      </c>
      <c r="F956">
        <f>VLOOKUP(A956,Sheet1!A:B,2,FALSE)</f>
        <v>8879333966</v>
      </c>
      <c r="G956" t="str">
        <f>_xlfn.IFNA(VLOOKUP(C956,CallLog_Latest!A:H,8,FALSE),"")</f>
        <v/>
      </c>
      <c r="H956" t="str">
        <f>VLOOKUP(C956,[1]Sheet1!$F:$H,3,FALSE)</f>
        <v>1A  - 44  Kalpatru Garden, Ashok Nagar, Near East West Flyover, Kandivali (E</v>
      </c>
    </row>
    <row r="957" spans="1:8" x14ac:dyDescent="0.25">
      <c r="A957" t="s">
        <v>804</v>
      </c>
      <c r="B957" t="s">
        <v>996</v>
      </c>
      <c r="C957">
        <v>9321798999</v>
      </c>
      <c r="D957" t="str">
        <f>_xlfn.IFNA(VLOOKUP(C957,CallLog_Latest!A:H,7,FALSE),"Not Called")</f>
        <v>Not Called</v>
      </c>
      <c r="E957" t="str">
        <f>IF(ISNA(VLOOKUP(C957,Registration!A:A,1,FALSE)),"Not Registered","Registered")</f>
        <v>Not Registered</v>
      </c>
      <c r="F957">
        <f>VLOOKUP(A957,Sheet1!A:B,2,FALSE)</f>
        <v>9323826288</v>
      </c>
      <c r="G957" t="str">
        <f>_xlfn.IFNA(VLOOKUP(C957,CallLog_Latest!A:H,8,FALSE),"")</f>
        <v/>
      </c>
      <c r="H957" t="str">
        <f>VLOOKUP(C957,[1]Sheet1!$F:$H,3,FALSE)</f>
        <v>A-704  Gaytri Satsang Behind Gokul Gagan Tower  Thakur Village</v>
      </c>
    </row>
    <row r="958" spans="1:8" x14ac:dyDescent="0.25">
      <c r="A958" t="s">
        <v>806</v>
      </c>
      <c r="B958" t="s">
        <v>997</v>
      </c>
      <c r="C958">
        <v>9967405105</v>
      </c>
      <c r="D958" t="str">
        <f>_xlfn.IFNA(VLOOKUP(C958,CallLog_Latest!A:H,7,FALSE),"Not Called")</f>
        <v>Not Called</v>
      </c>
      <c r="E958" t="str">
        <f>IF(ISNA(VLOOKUP(C958,Registration!A:A,1,FALSE)),"Not Registered","Registered")</f>
        <v>Not Registered</v>
      </c>
      <c r="F958">
        <f>VLOOKUP(A958,Sheet1!A:B,2,FALSE)</f>
        <v>9320770849</v>
      </c>
      <c r="G958" t="str">
        <f>_xlfn.IFNA(VLOOKUP(C958,CallLog_Latest!A:H,8,FALSE),"")</f>
        <v/>
      </c>
      <c r="H958" t="str">
        <f>VLOOKUP(C958,[1]Sheet1!$F:$H,3,FALSE)</f>
        <v>Flat No.1506  Challenger Tower No-1 Thakur Village, Kandivali (East</v>
      </c>
    </row>
    <row r="959" spans="1:8" x14ac:dyDescent="0.25">
      <c r="A959" t="s">
        <v>808</v>
      </c>
      <c r="B959" t="s">
        <v>998</v>
      </c>
      <c r="C959">
        <v>9324060127</v>
      </c>
      <c r="D959" t="str">
        <f>_xlfn.IFNA(VLOOKUP(C959,CallLog_Latest!A:H,7,FALSE),"Not Called")</f>
        <v>Not Called</v>
      </c>
      <c r="E959" t="str">
        <f>IF(ISNA(VLOOKUP(C959,Registration!A:A,1,FALSE)),"Not Registered","Registered")</f>
        <v>Not Registered</v>
      </c>
      <c r="F959">
        <f>VLOOKUP(A959,Sheet1!A:B,2,FALSE)</f>
        <v>9321694896</v>
      </c>
      <c r="G959" t="str">
        <f>_xlfn.IFNA(VLOOKUP(C959,CallLog_Latest!A:H,8,FALSE),"")</f>
        <v/>
      </c>
      <c r="H959" t="str">
        <f>VLOOKUP(C959,[1]Sheet1!$F:$H,3,FALSE)</f>
        <v>407  Orchid Tower  Lokhandwala Township  Akurli Road</v>
      </c>
    </row>
    <row r="960" spans="1:8" x14ac:dyDescent="0.25">
      <c r="A960" t="s">
        <v>810</v>
      </c>
      <c r="B960" t="s">
        <v>999</v>
      </c>
      <c r="C960">
        <v>9992033502</v>
      </c>
      <c r="D960" t="str">
        <f>_xlfn.IFNA(VLOOKUP(C960,CallLog_Latest!A:H,7,FALSE),"Not Called")</f>
        <v>Not Called</v>
      </c>
      <c r="E960" t="str">
        <f>IF(ISNA(VLOOKUP(C960,Registration!A:A,1,FALSE)),"Not Registered","Registered")</f>
        <v>Not Registered</v>
      </c>
      <c r="F960">
        <f>VLOOKUP(A960,Sheet1!A:B,2,FALSE)</f>
        <v>9619090608</v>
      </c>
      <c r="G960" t="str">
        <f>_xlfn.IFNA(VLOOKUP(C960,CallLog_Latest!A:H,8,FALSE),"")</f>
        <v/>
      </c>
      <c r="H960" t="str">
        <f>VLOOKUP(C960,[1]Sheet1!$F:$H,3,FALSE)</f>
        <v>1103/A  Oberoi Gardens Thakur Village, Kandivali (E</v>
      </c>
    </row>
    <row r="961" spans="1:8" x14ac:dyDescent="0.25">
      <c r="A961" t="s">
        <v>812</v>
      </c>
      <c r="B961" t="s">
        <v>1000</v>
      </c>
      <c r="C961">
        <v>8097549747</v>
      </c>
      <c r="D961" t="str">
        <f>_xlfn.IFNA(VLOOKUP(C961,CallLog_Latest!A:H,7,FALSE),"Not Called")</f>
        <v>Not Called</v>
      </c>
      <c r="E961" t="str">
        <f>IF(ISNA(VLOOKUP(C961,Registration!A:A,1,FALSE)),"Not Registered","Registered")</f>
        <v>Not Registered</v>
      </c>
      <c r="F961">
        <f>VLOOKUP(A961,Sheet1!A:B,2,FALSE)</f>
        <v>9320269488</v>
      </c>
      <c r="G961" t="str">
        <f>_xlfn.IFNA(VLOOKUP(C961,CallLog_Latest!A:H,8,FALSE),"")</f>
        <v/>
      </c>
      <c r="H961" t="str">
        <f>VLOOKUP(C961,[1]Sheet1!$F:$H,3,FALSE)</f>
        <v>Krishna Gokul Garden CHSL., C-605/606,  Thakur Complex, Kandivali (E</v>
      </c>
    </row>
    <row r="962" spans="1:8" x14ac:dyDescent="0.25">
      <c r="A962" t="s">
        <v>814</v>
      </c>
      <c r="B962" t="s">
        <v>1001</v>
      </c>
      <c r="C962">
        <v>9769215307</v>
      </c>
      <c r="D962" t="str">
        <f>_xlfn.IFNA(VLOOKUP(C962,CallLog_Latest!A:H,7,FALSE),"Not Called")</f>
        <v>Not Called</v>
      </c>
      <c r="E962" t="str">
        <f>IF(ISNA(VLOOKUP(C962,Registration!A:A,1,FALSE)),"Not Registered","Registered")</f>
        <v>Not Registered</v>
      </c>
      <c r="F962">
        <f>VLOOKUP(A962,Sheet1!A:B,2,FALSE)</f>
        <v>9320624230</v>
      </c>
      <c r="G962" t="str">
        <f>_xlfn.IFNA(VLOOKUP(C962,CallLog_Latest!A:H,8,FALSE),"")</f>
        <v/>
      </c>
      <c r="H962" t="str">
        <f>VLOOKUP(C962,[1]Sheet1!$F:$H,3,FALSE)</f>
        <v>C- 205  Gayetri Satsang, Near Vishnu Shivam Mall Thakur Village , Kandivali (E</v>
      </c>
    </row>
    <row r="963" spans="1:8" x14ac:dyDescent="0.25">
      <c r="A963" t="s">
        <v>782</v>
      </c>
      <c r="B963" t="s">
        <v>812</v>
      </c>
      <c r="C963">
        <v>9320269488</v>
      </c>
      <c r="D963" t="str">
        <f>_xlfn.IFNA(VLOOKUP(C963,CallLog_Latest!A:H,7,FALSE),"Not Called")</f>
        <v>Not Called</v>
      </c>
      <c r="E963" t="str">
        <f>IF(ISNA(VLOOKUP(C963,Registration!A:A,1,FALSE)),"Not Registered","Registered")</f>
        <v>Not Registered</v>
      </c>
      <c r="F963">
        <f>VLOOKUP(A963,Sheet1!A:B,2,FALSE)</f>
        <v>9819004363</v>
      </c>
      <c r="G963" t="str">
        <f>_xlfn.IFNA(VLOOKUP(C963,CallLog_Latest!A:H,8,FALSE),"")</f>
        <v/>
      </c>
      <c r="H963" t="str">
        <f>VLOOKUP(C963,[1]Sheet1!$F:$H,3,FALSE)</f>
        <v>Flat No. 805, Tower No. 3, Kanakia Challengers Chs. Ltd, Thakur Village, Kandivali (E</v>
      </c>
    </row>
    <row r="964" spans="1:8" x14ac:dyDescent="0.25">
      <c r="A964" t="s">
        <v>784</v>
      </c>
      <c r="B964" t="s">
        <v>1002</v>
      </c>
      <c r="C964">
        <v>9029105124</v>
      </c>
      <c r="D964" t="str">
        <f>_xlfn.IFNA(VLOOKUP(C964,CallLog_Latest!A:H,7,FALSE),"Not Called")</f>
        <v>Not Called</v>
      </c>
      <c r="E964" t="str">
        <f>IF(ISNA(VLOOKUP(C964,Registration!A:A,1,FALSE)),"Not Registered","Registered")</f>
        <v>Not Registered</v>
      </c>
      <c r="F964">
        <f>VLOOKUP(A964,Sheet1!A:B,2,FALSE)</f>
        <v>9321133166</v>
      </c>
      <c r="G964" t="str">
        <f>_xlfn.IFNA(VLOOKUP(C964,CallLog_Latest!A:H,8,FALSE),"")</f>
        <v/>
      </c>
      <c r="H964" t="str">
        <f>VLOOKUP(C964,[1]Sheet1!$F:$H,3,FALSE)</f>
        <v>G 1304, Octacrest CHS. Lokhandwala Township, Akurli Road, Kandivali (E</v>
      </c>
    </row>
    <row r="965" spans="1:8" x14ac:dyDescent="0.25">
      <c r="A965" t="s">
        <v>786</v>
      </c>
      <c r="B965" t="s">
        <v>1003</v>
      </c>
      <c r="C965">
        <v>9769093157</v>
      </c>
      <c r="D965" t="str">
        <f>_xlfn.IFNA(VLOOKUP(C965,CallLog_Latest!A:H,7,FALSE),"Not Called")</f>
        <v>Not Called</v>
      </c>
      <c r="E965" t="str">
        <f>IF(ISNA(VLOOKUP(C965,Registration!A:A,1,FALSE)),"Not Registered","Registered")</f>
        <v>Not Registered</v>
      </c>
      <c r="F965">
        <f>VLOOKUP(A965,Sheet1!A:B,2,FALSE)</f>
        <v>9321532327</v>
      </c>
      <c r="G965" t="str">
        <f>_xlfn.IFNA(VLOOKUP(C965,CallLog_Latest!A:H,8,FALSE),"")</f>
        <v/>
      </c>
      <c r="H965" t="str">
        <f>VLOOKUP(C965,[1]Sheet1!$F:$H,3,FALSE)</f>
        <v>D-202/203 Gokul Accord Thakur Compex, Kandivali (E</v>
      </c>
    </row>
    <row r="966" spans="1:8" x14ac:dyDescent="0.25">
      <c r="A966" t="s">
        <v>788</v>
      </c>
      <c r="B966" t="s">
        <v>808</v>
      </c>
      <c r="C966">
        <v>9321694896</v>
      </c>
      <c r="D966" t="str">
        <f>_xlfn.IFNA(VLOOKUP(C966,CallLog_Latest!A:H,7,FALSE),"Not Called")</f>
        <v>Not Called</v>
      </c>
      <c r="E966" t="str">
        <f>IF(ISNA(VLOOKUP(C966,Registration!A:A,1,FALSE)),"Not Registered","Registered")</f>
        <v>Not Registered</v>
      </c>
      <c r="F966">
        <f>VLOOKUP(A966,Sheet1!A:B,2,FALSE)</f>
        <v>8879785324</v>
      </c>
      <c r="G966" t="str">
        <f>_xlfn.IFNA(VLOOKUP(C966,CallLog_Latest!A:H,8,FALSE),"")</f>
        <v/>
      </c>
      <c r="H966" t="str">
        <f>VLOOKUP(C966,[1]Sheet1!$F:$H,3,FALSE)</f>
        <v>E-203/204, Gokul Residency Thakur Village Kandivali East</v>
      </c>
    </row>
    <row r="967" spans="1:8" x14ac:dyDescent="0.25">
      <c r="A967" t="s">
        <v>790</v>
      </c>
      <c r="B967" t="s">
        <v>806</v>
      </c>
      <c r="C967">
        <v>9320770849</v>
      </c>
      <c r="D967" t="str">
        <f>_xlfn.IFNA(VLOOKUP(C967,CallLog_Latest!A:H,7,FALSE),"Not Called")</f>
        <v>Phone Busy</v>
      </c>
      <c r="E967" t="str">
        <f>IF(ISNA(VLOOKUP(C967,Registration!A:A,1,FALSE)),"Not Registered","Registered")</f>
        <v>Registered</v>
      </c>
      <c r="F967">
        <f>VLOOKUP(A967,Sheet1!A:B,2,FALSE)</f>
        <v>9702260383</v>
      </c>
      <c r="G967">
        <f>_xlfn.IFNA(VLOOKUP(C967,CallLog_Latest!A:H,8,FALSE),"")</f>
        <v>0</v>
      </c>
      <c r="H967" t="str">
        <f>VLOOKUP(C967,[1]Sheet1!$F:$H,3,FALSE)</f>
        <v>Octacrest, 901 -A Wing,  Lokhandwala Township, Kandivali (E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F380A-DB16-41F6-A71D-69832D82C356}">
  <dimension ref="A1:A28"/>
  <sheetViews>
    <sheetView workbookViewId="0">
      <selection activeCell="A2" sqref="A2:A28"/>
    </sheetView>
  </sheetViews>
  <sheetFormatPr defaultRowHeight="15" x14ac:dyDescent="0.25"/>
  <cols>
    <col min="1" max="1" width="41.140625" customWidth="1"/>
  </cols>
  <sheetData>
    <row r="1" spans="1:1" ht="15.75" thickBot="1" x14ac:dyDescent="0.3">
      <c r="A1" s="11" t="s">
        <v>1014</v>
      </c>
    </row>
    <row r="2" spans="1:1" ht="15.75" thickBot="1" x14ac:dyDescent="0.3">
      <c r="A2" s="5" t="s">
        <v>82</v>
      </c>
    </row>
    <row r="3" spans="1:1" ht="15.75" thickBot="1" x14ac:dyDescent="0.3">
      <c r="A3" s="24" t="s">
        <v>45</v>
      </c>
    </row>
    <row r="4" spans="1:1" ht="15.75" thickBot="1" x14ac:dyDescent="0.3">
      <c r="A4" s="23" t="s">
        <v>790</v>
      </c>
    </row>
    <row r="5" spans="1:1" ht="15.75" thickBot="1" x14ac:dyDescent="0.3">
      <c r="A5" s="24" t="s">
        <v>800</v>
      </c>
    </row>
    <row r="6" spans="1:1" ht="15.75" thickBot="1" x14ac:dyDescent="0.3">
      <c r="A6" s="1" t="s">
        <v>17</v>
      </c>
    </row>
    <row r="7" spans="1:1" ht="15.75" thickBot="1" x14ac:dyDescent="0.3">
      <c r="A7" s="1" t="s">
        <v>47</v>
      </c>
    </row>
    <row r="8" spans="1:1" ht="15.75" thickBot="1" x14ac:dyDescent="0.3">
      <c r="A8" s="6" t="s">
        <v>49</v>
      </c>
    </row>
    <row r="9" spans="1:1" ht="15.75" thickBot="1" x14ac:dyDescent="0.3">
      <c r="A9" s="24" t="s">
        <v>43</v>
      </c>
    </row>
    <row r="10" spans="1:1" ht="15.75" thickBot="1" x14ac:dyDescent="0.3">
      <c r="A10" s="23" t="s">
        <v>61</v>
      </c>
    </row>
    <row r="11" spans="1:1" ht="15.75" thickBot="1" x14ac:dyDescent="0.3">
      <c r="A11" s="6" t="s">
        <v>35</v>
      </c>
    </row>
    <row r="12" spans="1:1" ht="15.75" thickBot="1" x14ac:dyDescent="0.3">
      <c r="A12" s="1" t="s">
        <v>33</v>
      </c>
    </row>
    <row r="13" spans="1:1" ht="15.75" thickBot="1" x14ac:dyDescent="0.3">
      <c r="A13" s="24" t="s">
        <v>1117</v>
      </c>
    </row>
    <row r="14" spans="1:1" ht="15.75" thickBot="1" x14ac:dyDescent="0.3">
      <c r="A14" s="6" t="s">
        <v>73</v>
      </c>
    </row>
    <row r="15" spans="1:1" ht="15.75" thickBot="1" x14ac:dyDescent="0.3">
      <c r="A15" s="1" t="s">
        <v>1042</v>
      </c>
    </row>
    <row r="16" spans="1:1" ht="15.75" thickBot="1" x14ac:dyDescent="0.3">
      <c r="A16" s="6" t="s">
        <v>29</v>
      </c>
    </row>
    <row r="17" spans="1:1" ht="15.75" thickBot="1" x14ac:dyDescent="0.3">
      <c r="A17" s="1" t="s">
        <v>63</v>
      </c>
    </row>
    <row r="18" spans="1:1" ht="15.75" thickBot="1" x14ac:dyDescent="0.3">
      <c r="A18" s="24" t="s">
        <v>12</v>
      </c>
    </row>
    <row r="19" spans="1:1" ht="15.75" thickBot="1" x14ac:dyDescent="0.3">
      <c r="A19" s="1" t="s">
        <v>1125</v>
      </c>
    </row>
    <row r="20" spans="1:1" ht="15.75" thickBot="1" x14ac:dyDescent="0.3">
      <c r="A20" s="23" t="s">
        <v>57</v>
      </c>
    </row>
    <row r="21" spans="1:1" ht="15.75" thickBot="1" x14ac:dyDescent="0.3">
      <c r="A21" s="24" t="s">
        <v>41</v>
      </c>
    </row>
    <row r="22" spans="1:1" ht="15.75" thickBot="1" x14ac:dyDescent="0.3">
      <c r="A22" s="23" t="s">
        <v>31</v>
      </c>
    </row>
    <row r="23" spans="1:1" ht="15.75" thickBot="1" x14ac:dyDescent="0.3">
      <c r="A23" s="24" t="s">
        <v>1126</v>
      </c>
    </row>
    <row r="24" spans="1:1" ht="15.75" thickBot="1" x14ac:dyDescent="0.3">
      <c r="A24" s="23" t="s">
        <v>84</v>
      </c>
    </row>
    <row r="25" spans="1:1" ht="15.75" thickBot="1" x14ac:dyDescent="0.3">
      <c r="A25" s="6" t="s">
        <v>1006</v>
      </c>
    </row>
    <row r="26" spans="1:1" ht="15.75" thickBot="1" x14ac:dyDescent="0.3">
      <c r="A26" s="23" t="s">
        <v>96</v>
      </c>
    </row>
    <row r="27" spans="1:1" ht="15.75" thickBot="1" x14ac:dyDescent="0.3">
      <c r="A27" s="24" t="s">
        <v>78</v>
      </c>
    </row>
    <row r="28" spans="1:1" ht="15.75" thickBot="1" x14ac:dyDescent="0.3">
      <c r="A28" s="1" t="s">
        <v>798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C3BAB-F513-4083-869F-D10405079FB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3FF0F-17CC-4A08-A83C-E957BF4C371C}">
  <dimension ref="A1:B66"/>
  <sheetViews>
    <sheetView workbookViewId="0">
      <selection activeCell="B1" sqref="B1"/>
    </sheetView>
  </sheetViews>
  <sheetFormatPr defaultRowHeight="15" x14ac:dyDescent="0.25"/>
  <cols>
    <col min="1" max="1" width="38.5703125" bestFit="1" customWidth="1"/>
    <col min="2" max="2" width="11" bestFit="1" customWidth="1"/>
  </cols>
  <sheetData>
    <row r="1" spans="1:2" x14ac:dyDescent="0.25">
      <c r="A1" t="s">
        <v>0</v>
      </c>
      <c r="B1" t="s">
        <v>1016</v>
      </c>
    </row>
    <row r="2" spans="1:2" x14ac:dyDescent="0.25">
      <c r="A2" t="s">
        <v>3</v>
      </c>
      <c r="B2">
        <v>9326379737</v>
      </c>
    </row>
    <row r="3" spans="1:2" x14ac:dyDescent="0.25">
      <c r="A3" t="s">
        <v>5</v>
      </c>
      <c r="B3">
        <v>9323541634</v>
      </c>
    </row>
    <row r="4" spans="1:2" x14ac:dyDescent="0.25">
      <c r="A4" t="s">
        <v>7</v>
      </c>
      <c r="B4">
        <v>9867015031</v>
      </c>
    </row>
    <row r="5" spans="1:2" x14ac:dyDescent="0.25">
      <c r="A5" t="s">
        <v>9</v>
      </c>
      <c r="B5">
        <v>9821268271</v>
      </c>
    </row>
    <row r="6" spans="1:2" x14ac:dyDescent="0.25">
      <c r="A6" t="s">
        <v>11</v>
      </c>
      <c r="B6">
        <v>9322598681</v>
      </c>
    </row>
    <row r="7" spans="1:2" x14ac:dyDescent="0.25">
      <c r="A7" t="s">
        <v>13</v>
      </c>
      <c r="B7">
        <v>9969403870</v>
      </c>
    </row>
    <row r="8" spans="1:2" x14ac:dyDescent="0.25">
      <c r="A8" t="s">
        <v>15</v>
      </c>
      <c r="B8">
        <v>9892726278</v>
      </c>
    </row>
    <row r="9" spans="1:2" x14ac:dyDescent="0.25">
      <c r="A9" t="s">
        <v>17</v>
      </c>
      <c r="B9">
        <v>9869798705</v>
      </c>
    </row>
    <row r="10" spans="1:2" x14ac:dyDescent="0.25">
      <c r="A10" t="s">
        <v>19</v>
      </c>
      <c r="B10">
        <v>9820265640</v>
      </c>
    </row>
    <row r="11" spans="1:2" x14ac:dyDescent="0.25">
      <c r="A11" t="s">
        <v>21</v>
      </c>
      <c r="B11">
        <v>9820636392</v>
      </c>
    </row>
    <row r="12" spans="1:2" x14ac:dyDescent="0.25">
      <c r="A12" t="s">
        <v>23</v>
      </c>
      <c r="B12">
        <v>7977439717</v>
      </c>
    </row>
    <row r="13" spans="1:2" x14ac:dyDescent="0.25">
      <c r="A13" t="s">
        <v>25</v>
      </c>
      <c r="B13">
        <v>9967045520</v>
      </c>
    </row>
    <row r="14" spans="1:2" x14ac:dyDescent="0.25">
      <c r="A14" t="s">
        <v>27</v>
      </c>
      <c r="B14">
        <v>9820075931</v>
      </c>
    </row>
    <row r="15" spans="1:2" x14ac:dyDescent="0.25">
      <c r="A15" t="s">
        <v>29</v>
      </c>
      <c r="B15">
        <v>9819364345</v>
      </c>
    </row>
    <row r="16" spans="1:2" x14ac:dyDescent="0.25">
      <c r="A16" t="s">
        <v>31</v>
      </c>
      <c r="B16">
        <v>9869064553</v>
      </c>
    </row>
    <row r="17" spans="1:2" x14ac:dyDescent="0.25">
      <c r="A17" t="s">
        <v>33</v>
      </c>
      <c r="B17">
        <v>9930070116</v>
      </c>
    </row>
    <row r="18" spans="1:2" x14ac:dyDescent="0.25">
      <c r="A18" t="s">
        <v>35</v>
      </c>
      <c r="B18">
        <v>9833705425</v>
      </c>
    </row>
    <row r="19" spans="1:2" x14ac:dyDescent="0.25">
      <c r="A19" t="s">
        <v>37</v>
      </c>
      <c r="B19">
        <v>9167390835</v>
      </c>
    </row>
    <row r="20" spans="1:2" x14ac:dyDescent="0.25">
      <c r="A20" t="s">
        <v>39</v>
      </c>
      <c r="B20">
        <v>9820505363</v>
      </c>
    </row>
    <row r="21" spans="1:2" x14ac:dyDescent="0.25">
      <c r="A21" t="s">
        <v>41</v>
      </c>
      <c r="B21" s="10">
        <v>8058973809</v>
      </c>
    </row>
    <row r="22" spans="1:2" x14ac:dyDescent="0.25">
      <c r="A22" t="s">
        <v>43</v>
      </c>
      <c r="B22">
        <v>9320683201</v>
      </c>
    </row>
    <row r="23" spans="1:2" x14ac:dyDescent="0.25">
      <c r="A23" t="s">
        <v>45</v>
      </c>
      <c r="B23">
        <v>9967235652</v>
      </c>
    </row>
    <row r="24" spans="1:2" x14ac:dyDescent="0.25">
      <c r="A24" t="s">
        <v>47</v>
      </c>
      <c r="B24">
        <v>8108711149</v>
      </c>
    </row>
    <row r="25" spans="1:2" x14ac:dyDescent="0.25">
      <c r="A25" t="s">
        <v>49</v>
      </c>
      <c r="B25">
        <v>9322206108</v>
      </c>
    </row>
    <row r="26" spans="1:2" x14ac:dyDescent="0.25">
      <c r="A26" t="s">
        <v>51</v>
      </c>
      <c r="B26">
        <v>9967015641</v>
      </c>
    </row>
    <row r="27" spans="1:2" x14ac:dyDescent="0.25">
      <c r="A27" t="s">
        <v>53</v>
      </c>
      <c r="B27">
        <v>9820216355</v>
      </c>
    </row>
    <row r="28" spans="1:2" x14ac:dyDescent="0.25">
      <c r="A28" t="s">
        <v>55</v>
      </c>
      <c r="B28">
        <v>9819083540</v>
      </c>
    </row>
    <row r="29" spans="1:2" x14ac:dyDescent="0.25">
      <c r="A29" t="s">
        <v>57</v>
      </c>
      <c r="B29">
        <v>9101910341</v>
      </c>
    </row>
    <row r="30" spans="1:2" x14ac:dyDescent="0.25">
      <c r="A30" t="s">
        <v>59</v>
      </c>
      <c r="B30">
        <v>9920121726</v>
      </c>
    </row>
    <row r="31" spans="1:2" x14ac:dyDescent="0.25">
      <c r="A31" t="s">
        <v>61</v>
      </c>
      <c r="B31">
        <v>9820779873</v>
      </c>
    </row>
    <row r="32" spans="1:2" x14ac:dyDescent="0.25">
      <c r="A32" t="s">
        <v>63</v>
      </c>
      <c r="B32">
        <v>9930396709</v>
      </c>
    </row>
    <row r="33" spans="1:2" x14ac:dyDescent="0.25">
      <c r="A33" t="s">
        <v>65</v>
      </c>
      <c r="B33">
        <v>7738892551</v>
      </c>
    </row>
    <row r="34" spans="1:2" x14ac:dyDescent="0.25">
      <c r="A34" t="s">
        <v>67</v>
      </c>
      <c r="B34">
        <v>9820251565</v>
      </c>
    </row>
    <row r="35" spans="1:2" x14ac:dyDescent="0.25">
      <c r="A35" t="s">
        <v>69</v>
      </c>
      <c r="B35">
        <v>9968855475</v>
      </c>
    </row>
    <row r="36" spans="1:2" x14ac:dyDescent="0.25">
      <c r="A36" t="s">
        <v>71</v>
      </c>
      <c r="B36">
        <v>9405263833</v>
      </c>
    </row>
    <row r="37" spans="1:2" x14ac:dyDescent="0.25">
      <c r="A37" t="s">
        <v>73</v>
      </c>
      <c r="B37">
        <v>8879433174</v>
      </c>
    </row>
    <row r="38" spans="1:2" x14ac:dyDescent="0.25">
      <c r="A38" t="s">
        <v>75</v>
      </c>
      <c r="B38">
        <v>9993325021</v>
      </c>
    </row>
    <row r="39" spans="1:2" x14ac:dyDescent="0.25">
      <c r="A39" t="s">
        <v>12</v>
      </c>
      <c r="B39">
        <v>9820454734</v>
      </c>
    </row>
    <row r="40" spans="1:2" x14ac:dyDescent="0.25">
      <c r="A40" t="s">
        <v>78</v>
      </c>
      <c r="B40">
        <v>9029105124</v>
      </c>
    </row>
    <row r="41" spans="1:2" x14ac:dyDescent="0.25">
      <c r="A41" t="s">
        <v>80</v>
      </c>
      <c r="B41">
        <v>9599704370</v>
      </c>
    </row>
    <row r="42" spans="1:2" x14ac:dyDescent="0.25">
      <c r="A42" t="s">
        <v>82</v>
      </c>
      <c r="B42">
        <v>9824100412</v>
      </c>
    </row>
    <row r="43" spans="1:2" x14ac:dyDescent="0.25">
      <c r="A43" t="s">
        <v>84</v>
      </c>
      <c r="B43">
        <v>9225211083</v>
      </c>
    </row>
    <row r="44" spans="1:2" x14ac:dyDescent="0.25">
      <c r="A44" t="s">
        <v>86</v>
      </c>
      <c r="B44">
        <v>9930252076</v>
      </c>
    </row>
    <row r="45" spans="1:2" x14ac:dyDescent="0.25">
      <c r="A45" t="s">
        <v>88</v>
      </c>
      <c r="B45">
        <v>9661270782</v>
      </c>
    </row>
    <row r="46" spans="1:2" x14ac:dyDescent="0.25">
      <c r="A46" t="s">
        <v>90</v>
      </c>
      <c r="B46">
        <v>9819128389</v>
      </c>
    </row>
    <row r="47" spans="1:2" x14ac:dyDescent="0.25">
      <c r="A47" t="s">
        <v>92</v>
      </c>
      <c r="B47">
        <v>8268665777</v>
      </c>
    </row>
    <row r="48" spans="1:2" x14ac:dyDescent="0.25">
      <c r="A48" t="s">
        <v>94</v>
      </c>
      <c r="B48">
        <v>9920085455</v>
      </c>
    </row>
    <row r="49" spans="1:2" x14ac:dyDescent="0.25">
      <c r="A49" t="s">
        <v>96</v>
      </c>
      <c r="B49">
        <v>9424584007</v>
      </c>
    </row>
    <row r="50" spans="1:2" x14ac:dyDescent="0.25">
      <c r="A50" t="s">
        <v>782</v>
      </c>
      <c r="B50">
        <v>9819004363</v>
      </c>
    </row>
    <row r="51" spans="1:2" x14ac:dyDescent="0.25">
      <c r="A51" t="s">
        <v>784</v>
      </c>
      <c r="B51">
        <v>9321133166</v>
      </c>
    </row>
    <row r="52" spans="1:2" x14ac:dyDescent="0.25">
      <c r="A52" t="s">
        <v>786</v>
      </c>
      <c r="B52">
        <v>9321532327</v>
      </c>
    </row>
    <row r="53" spans="1:2" x14ac:dyDescent="0.25">
      <c r="A53" t="s">
        <v>788</v>
      </c>
      <c r="B53">
        <v>8879785324</v>
      </c>
    </row>
    <row r="54" spans="1:2" x14ac:dyDescent="0.25">
      <c r="A54" t="s">
        <v>790</v>
      </c>
      <c r="B54">
        <v>9702260383</v>
      </c>
    </row>
    <row r="55" spans="1:2" x14ac:dyDescent="0.25">
      <c r="A55" t="s">
        <v>792</v>
      </c>
      <c r="B55">
        <v>9322066124</v>
      </c>
    </row>
    <row r="56" spans="1:2" x14ac:dyDescent="0.25">
      <c r="A56" t="s">
        <v>794</v>
      </c>
      <c r="B56">
        <v>9892303256</v>
      </c>
    </row>
    <row r="57" spans="1:2" x14ac:dyDescent="0.25">
      <c r="A57" t="s">
        <v>796</v>
      </c>
      <c r="B57">
        <v>9920145200</v>
      </c>
    </row>
    <row r="58" spans="1:2" x14ac:dyDescent="0.25">
      <c r="A58" t="s">
        <v>798</v>
      </c>
      <c r="B58">
        <v>9320309630</v>
      </c>
    </row>
    <row r="59" spans="1:2" x14ac:dyDescent="0.25">
      <c r="A59" t="s">
        <v>800</v>
      </c>
      <c r="B59">
        <v>9324233820</v>
      </c>
    </row>
    <row r="60" spans="1:2" x14ac:dyDescent="0.25">
      <c r="A60" t="s">
        <v>802</v>
      </c>
      <c r="B60">
        <v>8879333966</v>
      </c>
    </row>
    <row r="61" spans="1:2" x14ac:dyDescent="0.25">
      <c r="A61" t="s">
        <v>804</v>
      </c>
      <c r="B61">
        <v>9323826288</v>
      </c>
    </row>
    <row r="62" spans="1:2" x14ac:dyDescent="0.25">
      <c r="A62" t="s">
        <v>806</v>
      </c>
      <c r="B62">
        <v>9320770849</v>
      </c>
    </row>
    <row r="63" spans="1:2" x14ac:dyDescent="0.25">
      <c r="A63" t="s">
        <v>808</v>
      </c>
      <c r="B63">
        <v>9321694896</v>
      </c>
    </row>
    <row r="64" spans="1:2" x14ac:dyDescent="0.25">
      <c r="A64" t="s">
        <v>810</v>
      </c>
      <c r="B64">
        <v>9619090608</v>
      </c>
    </row>
    <row r="65" spans="1:2" x14ac:dyDescent="0.25">
      <c r="A65" t="s">
        <v>812</v>
      </c>
      <c r="B65">
        <v>9320269488</v>
      </c>
    </row>
    <row r="66" spans="1:2" x14ac:dyDescent="0.25">
      <c r="A66" t="s">
        <v>814</v>
      </c>
      <c r="B66">
        <v>9320624230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CD30D-AC15-4EA4-BC53-FE0F7ABBAC30}">
  <dimension ref="A1:I366"/>
  <sheetViews>
    <sheetView tabSelected="1" topLeftCell="B121" workbookViewId="0">
      <selection activeCell="F137" sqref="F137"/>
    </sheetView>
  </sheetViews>
  <sheetFormatPr defaultColWidth="32.42578125" defaultRowHeight="15" x14ac:dyDescent="0.25"/>
  <cols>
    <col min="1" max="1" width="14.5703125" bestFit="1" customWidth="1"/>
    <col min="2" max="2" width="32.42578125" style="20"/>
  </cols>
  <sheetData>
    <row r="1" spans="1:9" ht="15.75" thickBot="1" x14ac:dyDescent="0.3">
      <c r="A1" t="s">
        <v>1048</v>
      </c>
      <c r="B1" s="19" t="s">
        <v>1019</v>
      </c>
      <c r="C1" s="11" t="s">
        <v>1020</v>
      </c>
      <c r="D1" s="11" t="s">
        <v>1014</v>
      </c>
      <c r="E1" s="11" t="s">
        <v>1015</v>
      </c>
      <c r="F1" s="11" t="s">
        <v>1021</v>
      </c>
      <c r="G1" s="11" t="s">
        <v>1022</v>
      </c>
      <c r="H1" s="12" t="s">
        <v>1023</v>
      </c>
      <c r="I1" s="36" t="s">
        <v>1124</v>
      </c>
    </row>
    <row r="2" spans="1:9" ht="15.75" thickBot="1" x14ac:dyDescent="0.3">
      <c r="A2">
        <f>F2</f>
        <v>7045887557</v>
      </c>
      <c r="B2" s="70">
        <f>fromNewLinkREsponses!A114</f>
        <v>45668.69971064815</v>
      </c>
      <c r="C2" s="71" t="str">
        <f>fromNewLinkREsponses!B114</f>
        <v>vipin0785@gmail.com</v>
      </c>
      <c r="D2" s="71" t="str">
        <f>fromNewLinkREsponses!D114</f>
        <v>Vipin Saboo</v>
      </c>
      <c r="E2" s="71" t="str">
        <f>fromNewLinkREsponses!E114</f>
        <v>Rajesh Ramawatar Sodhani</v>
      </c>
      <c r="F2" s="71">
        <f>fromNewLinkREsponses!F114</f>
        <v>7045887557</v>
      </c>
      <c r="G2" s="72" t="str">
        <f>fromNewLinkREsponses!C114</f>
        <v>May be Attending</v>
      </c>
      <c r="H2" s="73" t="str">
        <f>fromNewLinkREsponses!G114</f>
        <v>Not sure. If free 2 would be attending</v>
      </c>
    </row>
    <row r="3" spans="1:9" ht="15.75" thickBot="1" x14ac:dyDescent="0.3">
      <c r="A3">
        <f>F3</f>
        <v>7045991852</v>
      </c>
      <c r="B3" s="35">
        <v>45957.860567129632</v>
      </c>
      <c r="C3" s="22"/>
      <c r="D3" s="24" t="s">
        <v>82</v>
      </c>
      <c r="E3" s="24" t="s">
        <v>421</v>
      </c>
      <c r="F3" s="26">
        <v>7045991852</v>
      </c>
      <c r="G3" s="24" t="s">
        <v>1012</v>
      </c>
      <c r="H3" s="14"/>
      <c r="I3" t="b">
        <f>F2=F3</f>
        <v>0</v>
      </c>
    </row>
    <row r="4" spans="1:9" ht="15.75" thickBot="1" x14ac:dyDescent="0.3">
      <c r="A4">
        <f>F4</f>
        <v>7303221249</v>
      </c>
      <c r="B4" s="34">
        <f>fromNewLinkREsponses!A115</f>
        <v>45668.702372685184</v>
      </c>
      <c r="C4" s="23" t="str">
        <f>fromNewLinkREsponses!B115</f>
        <v>akajainca@gmail.com</v>
      </c>
      <c r="D4" s="23" t="str">
        <f>fromNewLinkREsponses!D115</f>
        <v>Akansha Rahul Somani</v>
      </c>
      <c r="E4" s="23" t="str">
        <f>fromNewLinkREsponses!E115</f>
        <v>Sudha Manoj Falor</v>
      </c>
      <c r="F4" s="23">
        <f>fromNewLinkREsponses!F115</f>
        <v>7303221249</v>
      </c>
      <c r="G4" s="25" t="str">
        <f>fromNewLinkREsponses!C115</f>
        <v>Confirmed Presence</v>
      </c>
      <c r="H4" s="16">
        <f>fromNewLinkREsponses!G115</f>
        <v>0</v>
      </c>
      <c r="I4" t="b">
        <f t="shared" ref="I4:I67" si="0">F3=F4</f>
        <v>0</v>
      </c>
    </row>
    <row r="5" spans="1:9" ht="15.75" thickBot="1" x14ac:dyDescent="0.3">
      <c r="A5">
        <f>F5</f>
        <v>7387113012</v>
      </c>
      <c r="B5" s="34">
        <f>fromNewLinkREsponses!A77</f>
        <v>45668.660810185182</v>
      </c>
      <c r="C5" s="23" t="str">
        <f>fromNewLinkREsponses!B77</f>
        <v>caprachirathi@gmail.com</v>
      </c>
      <c r="D5" s="23" t="str">
        <f>fromNewLinkREsponses!D77</f>
        <v>Prachi Ankit Kabra</v>
      </c>
      <c r="E5" s="23" t="str">
        <f>fromNewLinkREsponses!E77</f>
        <v>Rupesh Ramkisan Somani</v>
      </c>
      <c r="F5" s="23">
        <f>fromNewLinkREsponses!F77</f>
        <v>7387113012</v>
      </c>
      <c r="G5" s="25" t="str">
        <f>fromNewLinkREsponses!C77</f>
        <v>Confirmed Presence</v>
      </c>
      <c r="H5" s="16" t="str">
        <f>fromNewLinkREsponses!G77</f>
        <v>He mentioned that it is done ✅</v>
      </c>
      <c r="I5" t="b">
        <f t="shared" si="0"/>
        <v>0</v>
      </c>
    </row>
    <row r="6" spans="1:9" ht="15.75" thickBot="1" x14ac:dyDescent="0.3">
      <c r="A6">
        <f>F6</f>
        <v>7506055680</v>
      </c>
      <c r="B6" s="35">
        <v>45944.770543981482</v>
      </c>
      <c r="C6" s="22"/>
      <c r="D6" s="24" t="s">
        <v>45</v>
      </c>
      <c r="E6" s="24" t="s">
        <v>592</v>
      </c>
      <c r="F6" s="26">
        <v>7506055680</v>
      </c>
      <c r="G6" s="24" t="s">
        <v>1012</v>
      </c>
      <c r="H6" s="14"/>
      <c r="I6" t="b">
        <f t="shared" si="0"/>
        <v>0</v>
      </c>
    </row>
    <row r="7" spans="1:9" ht="15.75" thickBot="1" x14ac:dyDescent="0.3">
      <c r="A7">
        <f>F7</f>
        <v>7506371178</v>
      </c>
      <c r="B7" s="29">
        <v>45957.918749999997</v>
      </c>
      <c r="C7" s="15"/>
      <c r="D7" s="6" t="s">
        <v>790</v>
      </c>
      <c r="E7" s="6" t="s">
        <v>850</v>
      </c>
      <c r="F7" s="7">
        <v>7506371178</v>
      </c>
      <c r="G7" s="6" t="s">
        <v>1012</v>
      </c>
      <c r="H7" s="16"/>
      <c r="I7" t="b">
        <f t="shared" si="0"/>
        <v>0</v>
      </c>
    </row>
    <row r="8" spans="1:9" ht="15.75" thickBot="1" x14ac:dyDescent="0.3">
      <c r="A8">
        <f>F8</f>
        <v>7506747155</v>
      </c>
      <c r="B8" s="34">
        <f>fromNewLinkREsponses!A21</f>
        <v>45668.573888888888</v>
      </c>
      <c r="C8" s="23" t="str">
        <f>fromNewLinkREsponses!B21</f>
        <v>jagdish.lahoti92@gmail.com</v>
      </c>
      <c r="D8" s="23" t="str">
        <f>fromNewLinkREsponses!D21</f>
        <v>Jagdish Rameshchand Lahoti</v>
      </c>
      <c r="E8" s="23" t="str">
        <f>fromNewLinkREsponses!E21</f>
        <v>Jayprakash Madanlal Rathi</v>
      </c>
      <c r="F8" s="23">
        <f>fromNewLinkREsponses!F21</f>
        <v>7506747155</v>
      </c>
      <c r="G8" s="25" t="str">
        <f>fromNewLinkREsponses!C21</f>
        <v>Not Reachable</v>
      </c>
      <c r="H8" s="16">
        <f>fromNewLinkREsponses!G21</f>
        <v>0</v>
      </c>
      <c r="I8" t="b">
        <f t="shared" si="0"/>
        <v>0</v>
      </c>
    </row>
    <row r="9" spans="1:9" ht="15.75" thickBot="1" x14ac:dyDescent="0.3">
      <c r="A9">
        <f>F9</f>
        <v>7506809269</v>
      </c>
      <c r="B9" s="29">
        <f>fromNewLinkREsponses!A26</f>
        <v>45668.576944444445</v>
      </c>
      <c r="C9" s="6" t="str">
        <f>fromNewLinkREsponses!B26</f>
        <v>jagdish.lahoti92@gmail.com</v>
      </c>
      <c r="D9" s="6" t="str">
        <f>fromNewLinkREsponses!D26</f>
        <v>Jagdish Rameshchand Lahoti</v>
      </c>
      <c r="E9" s="6" t="str">
        <f>fromNewLinkREsponses!E26</f>
        <v>Mehul Dilip Maheshwari</v>
      </c>
      <c r="F9" s="6">
        <f>fromNewLinkREsponses!F26</f>
        <v>7506809269</v>
      </c>
      <c r="G9" s="7" t="str">
        <f>fromNewLinkREsponses!C26</f>
        <v>Confirmed Presence</v>
      </c>
      <c r="H9" s="16">
        <f>fromNewLinkREsponses!G26</f>
        <v>0</v>
      </c>
      <c r="I9" t="b">
        <f t="shared" si="0"/>
        <v>0</v>
      </c>
    </row>
    <row r="10" spans="1:9" ht="15.75" thickBot="1" x14ac:dyDescent="0.3">
      <c r="A10">
        <f>F10</f>
        <v>7738385694</v>
      </c>
      <c r="B10" s="34">
        <f>fromNewLinkREsponses!A163</f>
        <v>45699.528865740744</v>
      </c>
      <c r="C10" s="23" t="str">
        <f>fromNewLinkREsponses!B163</f>
        <v>caananddaliya@gmail.com</v>
      </c>
      <c r="D10" s="23" t="str">
        <f>fromNewLinkREsponses!D163</f>
        <v>Anand Omprakash Daliya</v>
      </c>
      <c r="E10" s="23" t="str">
        <f>fromNewLinkREsponses!E163</f>
        <v>Alok Surajmal Mantri</v>
      </c>
      <c r="F10" s="23">
        <f>fromNewLinkREsponses!F163</f>
        <v>7738385694</v>
      </c>
      <c r="G10" s="25" t="str">
        <f>fromNewLinkREsponses!C163</f>
        <v>Not Reachable</v>
      </c>
      <c r="H10" s="16" t="str">
        <f>fromNewLinkREsponses!G163</f>
        <v>Incoming call not active</v>
      </c>
      <c r="I10" t="b">
        <f t="shared" si="0"/>
        <v>0</v>
      </c>
    </row>
    <row r="11" spans="1:9" ht="15.75" thickBot="1" x14ac:dyDescent="0.3">
      <c r="A11">
        <f>F11</f>
        <v>7738388091</v>
      </c>
      <c r="B11" s="29">
        <f>fromNewLinkREsponses!A167</f>
        <v>45699.53707175926</v>
      </c>
      <c r="C11" s="6" t="str">
        <f>fromNewLinkREsponses!B167</f>
        <v>caananddaliya@gmail.com</v>
      </c>
      <c r="D11" s="6" t="str">
        <f>fromNewLinkREsponses!D167</f>
        <v>Anand Omprakash Daliya</v>
      </c>
      <c r="E11" s="6" t="str">
        <f>fromNewLinkREsponses!E167</f>
        <v>Alok Purshottamlal Bang</v>
      </c>
      <c r="F11" s="6">
        <f>fromNewLinkREsponses!F167</f>
        <v>7738388091</v>
      </c>
      <c r="G11" s="7" t="str">
        <f>fromNewLinkREsponses!C167</f>
        <v>May be Attending</v>
      </c>
      <c r="H11" s="16" t="str">
        <f>fromNewLinkREsponses!G167</f>
        <v>Will confirm soon</v>
      </c>
      <c r="I11" t="b">
        <f t="shared" si="0"/>
        <v>0</v>
      </c>
    </row>
    <row r="12" spans="1:9" ht="15.75" thickBot="1" x14ac:dyDescent="0.3">
      <c r="A12">
        <f>F12</f>
        <v>7798729876</v>
      </c>
      <c r="B12" s="34">
        <f>fromNewLinkREsponses!A173</f>
        <v>45699.584548611114</v>
      </c>
      <c r="C12" s="23" t="str">
        <f>fromNewLinkREsponses!B173</f>
        <v>prdhoot@gmail.com</v>
      </c>
      <c r="D12" s="23" t="str">
        <f>fromNewLinkREsponses!D173</f>
        <v>Prateek Ramesh Dhoot</v>
      </c>
      <c r="E12" s="23" t="str">
        <f>fromNewLinkREsponses!E173</f>
        <v>Amit Omprakash Bahedia</v>
      </c>
      <c r="F12" s="23">
        <f>fromNewLinkREsponses!F173</f>
        <v>7798729876</v>
      </c>
      <c r="G12" s="25" t="str">
        <f>fromNewLinkREsponses!C173</f>
        <v>Not Reachable</v>
      </c>
      <c r="H12" s="16" t="str">
        <f>fromNewLinkREsponses!G173</f>
        <v>phone is with some other person</v>
      </c>
      <c r="I12" t="b">
        <f t="shared" si="0"/>
        <v>0</v>
      </c>
    </row>
    <row r="13" spans="1:9" ht="15.75" thickBot="1" x14ac:dyDescent="0.3">
      <c r="A13">
        <f>F13</f>
        <v>7874999912</v>
      </c>
      <c r="B13" s="35">
        <v>45957.862534722219</v>
      </c>
      <c r="C13" s="22"/>
      <c r="D13" s="24" t="s">
        <v>82</v>
      </c>
      <c r="E13" s="24" t="s">
        <v>183</v>
      </c>
      <c r="F13" s="26">
        <v>7874999912</v>
      </c>
      <c r="G13" s="24" t="s">
        <v>1010</v>
      </c>
      <c r="H13" s="14"/>
      <c r="I13" t="b">
        <f t="shared" si="0"/>
        <v>0</v>
      </c>
    </row>
    <row r="14" spans="1:9" ht="15.75" thickBot="1" x14ac:dyDescent="0.3">
      <c r="A14">
        <f>F14</f>
        <v>7977214168</v>
      </c>
      <c r="B14" s="28">
        <v>45943.492407407408</v>
      </c>
      <c r="C14" s="13"/>
      <c r="D14" s="1" t="s">
        <v>800</v>
      </c>
      <c r="E14" s="1" t="s">
        <v>977</v>
      </c>
      <c r="F14" s="2">
        <v>7977214168</v>
      </c>
      <c r="G14" s="1" t="s">
        <v>1010</v>
      </c>
      <c r="H14" s="14"/>
      <c r="I14" t="b">
        <f t="shared" si="0"/>
        <v>0</v>
      </c>
    </row>
    <row r="15" spans="1:9" ht="15.75" thickBot="1" x14ac:dyDescent="0.3">
      <c r="A15">
        <f>F15</f>
        <v>7977439717</v>
      </c>
      <c r="B15" s="29">
        <f>fromNewLinkREsponses!A75</f>
        <v>45668.653749999998</v>
      </c>
      <c r="C15" s="6" t="str">
        <f>fromNewLinkREsponses!B75</f>
        <v>arkmantri@gmail.com</v>
      </c>
      <c r="D15" s="6" t="str">
        <f>fromNewLinkREsponses!D75</f>
        <v>Shri Avinash Mantri</v>
      </c>
      <c r="E15" s="6" t="str">
        <f>fromNewLinkREsponses!E75</f>
        <v>Sureshkumar Ramniwas Jajoo</v>
      </c>
      <c r="F15" s="6">
        <f>fromNewLinkREsponses!F75</f>
        <v>7977439717</v>
      </c>
      <c r="G15" s="7" t="str">
        <f>fromNewLinkREsponses!C75</f>
        <v>Confirmed Presence</v>
      </c>
      <c r="H15" s="16" t="str">
        <f>fromNewLinkREsponses!G75</f>
        <v>Will register</v>
      </c>
      <c r="I15" t="b">
        <f t="shared" si="0"/>
        <v>0</v>
      </c>
    </row>
    <row r="16" spans="1:9" ht="15.75" thickBot="1" x14ac:dyDescent="0.3">
      <c r="A16">
        <f>F16</f>
        <v>8097078048</v>
      </c>
      <c r="B16" s="34">
        <v>45957.923900462964</v>
      </c>
      <c r="C16" s="21"/>
      <c r="D16" s="23" t="s">
        <v>790</v>
      </c>
      <c r="E16" s="23" t="s">
        <v>972</v>
      </c>
      <c r="F16" s="25">
        <v>8097078048</v>
      </c>
      <c r="G16" s="23" t="s">
        <v>1012</v>
      </c>
      <c r="H16" s="16"/>
      <c r="I16" t="b">
        <f t="shared" si="0"/>
        <v>0</v>
      </c>
    </row>
    <row r="17" spans="1:9" ht="15.75" thickBot="1" x14ac:dyDescent="0.3">
      <c r="A17">
        <f>F17</f>
        <v>8291612305</v>
      </c>
      <c r="B17" s="34">
        <f>fromNewLinkREsponses!A144</f>
        <v>45699.438472222224</v>
      </c>
      <c r="C17" s="23" t="str">
        <f>fromNewLinkREsponses!B144</f>
        <v>onlinevdarak@gmail.com</v>
      </c>
      <c r="D17" s="23" t="str">
        <f>fromNewLinkREsponses!D144</f>
        <v>Varun Kanhaiyalal Darak</v>
      </c>
      <c r="E17" s="23" t="str">
        <f>fromNewLinkREsponses!E144</f>
        <v>Shubham Sampat Bhattad</v>
      </c>
      <c r="F17" s="23">
        <f>fromNewLinkREsponses!F144</f>
        <v>8291612305</v>
      </c>
      <c r="G17" s="25" t="str">
        <f>fromNewLinkREsponses!C144</f>
        <v>Phone Busy</v>
      </c>
      <c r="H17" s="16">
        <f>fromNewLinkREsponses!G144</f>
        <v>0</v>
      </c>
      <c r="I17" t="b">
        <f t="shared" si="0"/>
        <v>0</v>
      </c>
    </row>
    <row r="18" spans="1:9" ht="15.75" thickBot="1" x14ac:dyDescent="0.3">
      <c r="A18">
        <f>F18</f>
        <v>8425048184</v>
      </c>
      <c r="B18" s="29">
        <f>fromNewLinkREsponses!A172</f>
        <v>45699.58390046296</v>
      </c>
      <c r="C18" s="6" t="str">
        <f>fromNewLinkREsponses!B172</f>
        <v>prdhoot@gmail.com</v>
      </c>
      <c r="D18" s="6" t="str">
        <f>fromNewLinkREsponses!D172</f>
        <v>Prateek Ramesh Dhoot</v>
      </c>
      <c r="E18" s="6" t="str">
        <f>fromNewLinkREsponses!E172</f>
        <v>Akhilesh Premkishan Mantri</v>
      </c>
      <c r="F18" s="6">
        <f>fromNewLinkREsponses!F172</f>
        <v>8425048184</v>
      </c>
      <c r="G18" s="7" t="str">
        <f>fromNewLinkREsponses!C172</f>
        <v>Confirmed Presence</v>
      </c>
      <c r="H18" s="16" t="str">
        <f>fromNewLinkREsponses!G172</f>
        <v>said will register</v>
      </c>
      <c r="I18" t="b">
        <f t="shared" si="0"/>
        <v>0</v>
      </c>
    </row>
    <row r="19" spans="1:9" ht="15.75" thickBot="1" x14ac:dyDescent="0.3">
      <c r="A19">
        <f>F19</f>
        <v>8446381106</v>
      </c>
      <c r="B19" s="28">
        <v>45957.908807870372</v>
      </c>
      <c r="C19" s="13"/>
      <c r="D19" s="1" t="s">
        <v>790</v>
      </c>
      <c r="E19" s="1" t="s">
        <v>865</v>
      </c>
      <c r="F19" s="2">
        <v>8446381106</v>
      </c>
      <c r="G19" s="1" t="s">
        <v>1012</v>
      </c>
      <c r="H19" s="14"/>
      <c r="I19" t="b">
        <f t="shared" si="0"/>
        <v>0</v>
      </c>
    </row>
    <row r="20" spans="1:9" ht="15.75" thickBot="1" x14ac:dyDescent="0.3">
      <c r="A20">
        <f>F20</f>
        <v>8600106060</v>
      </c>
      <c r="B20" s="35">
        <v>45942.663368055553</v>
      </c>
      <c r="C20" s="22"/>
      <c r="D20" s="24" t="s">
        <v>17</v>
      </c>
      <c r="E20" s="24" t="s">
        <v>483</v>
      </c>
      <c r="F20" s="26">
        <v>8600106060</v>
      </c>
      <c r="G20" s="24" t="s">
        <v>1010</v>
      </c>
      <c r="H20" s="14"/>
      <c r="I20" t="b">
        <f t="shared" si="0"/>
        <v>0</v>
      </c>
    </row>
    <row r="21" spans="1:9" ht="15.75" thickBot="1" x14ac:dyDescent="0.3">
      <c r="A21">
        <f>F21</f>
        <v>8652071304</v>
      </c>
      <c r="B21" s="28">
        <v>45957.903668981482</v>
      </c>
      <c r="C21" s="13"/>
      <c r="D21" s="1" t="s">
        <v>790</v>
      </c>
      <c r="E21" s="1" t="s">
        <v>925</v>
      </c>
      <c r="F21" s="2">
        <v>8652071304</v>
      </c>
      <c r="G21" s="1" t="s">
        <v>1011</v>
      </c>
      <c r="H21" s="14"/>
      <c r="I21" t="b">
        <f t="shared" si="0"/>
        <v>0</v>
      </c>
    </row>
    <row r="22" spans="1:9" ht="15.75" thickBot="1" x14ac:dyDescent="0.3">
      <c r="A22">
        <f>F22</f>
        <v>8777740593</v>
      </c>
      <c r="B22" s="29">
        <f>fromNewLinkREsponses!A20</f>
        <v>45668.573009259257</v>
      </c>
      <c r="C22" s="6" t="str">
        <f>fromNewLinkREsponses!B20</f>
        <v>jagdish.lahoti92@gmail.com</v>
      </c>
      <c r="D22" s="6" t="str">
        <f>fromNewLinkREsponses!D20</f>
        <v>Jagdish Rameshchand Lahoti</v>
      </c>
      <c r="E22" s="6" t="str">
        <f>fromNewLinkREsponses!E20</f>
        <v>Harinarayan Champalal Karnani</v>
      </c>
      <c r="F22" s="6">
        <f>fromNewLinkREsponses!F20</f>
        <v>8777740593</v>
      </c>
      <c r="G22" s="7" t="str">
        <f>fromNewLinkREsponses!C20</f>
        <v>Not Reachable</v>
      </c>
      <c r="H22" s="16">
        <f>fromNewLinkREsponses!G20</f>
        <v>0</v>
      </c>
      <c r="I22" t="b">
        <f t="shared" si="0"/>
        <v>0</v>
      </c>
    </row>
    <row r="23" spans="1:9" ht="15.75" thickBot="1" x14ac:dyDescent="0.3">
      <c r="A23">
        <f>F23</f>
        <v>8779689904</v>
      </c>
      <c r="B23" s="34">
        <f>fromNewLinkREsponses!A145</f>
        <v>45699.438668981478</v>
      </c>
      <c r="C23" s="23" t="str">
        <f>fromNewLinkREsponses!B145</f>
        <v>rassawa@gmail.com</v>
      </c>
      <c r="D23" s="23" t="str">
        <f>fromNewLinkREsponses!D145</f>
        <v>Rahul Omshankar Assawa</v>
      </c>
      <c r="E23" s="23" t="str">
        <f>fromNewLinkREsponses!E145</f>
        <v>Preet Premswaroop Sikchi</v>
      </c>
      <c r="F23" s="23">
        <f>fromNewLinkREsponses!F145</f>
        <v>8779689904</v>
      </c>
      <c r="G23" s="25" t="str">
        <f>fromNewLinkREsponses!C145</f>
        <v>Not Reachable</v>
      </c>
      <c r="H23" s="16" t="str">
        <f>fromNewLinkREsponses!G145</f>
        <v>Number not available</v>
      </c>
      <c r="I23" t="b">
        <f t="shared" si="0"/>
        <v>0</v>
      </c>
    </row>
    <row r="24" spans="1:9" ht="15.75" thickBot="1" x14ac:dyDescent="0.3">
      <c r="A24">
        <f>F24</f>
        <v>8779756681</v>
      </c>
      <c r="B24" s="29">
        <f>fromNewLinkREsponses!A30</f>
        <v>45668.579456018517</v>
      </c>
      <c r="C24" s="6" t="str">
        <f>fromNewLinkREsponses!B30</f>
        <v>jagdish.lahoti92@gmail.com</v>
      </c>
      <c r="D24" s="6" t="str">
        <f>fromNewLinkREsponses!D30</f>
        <v>Jagdish Rameshchand Lahoti</v>
      </c>
      <c r="E24" s="6" t="str">
        <f>fromNewLinkREsponses!E30</f>
        <v>Murlimanohar Bodulaal Kasat</v>
      </c>
      <c r="F24" s="6">
        <f>fromNewLinkREsponses!F30</f>
        <v>8779756681</v>
      </c>
      <c r="G24" s="7" t="str">
        <f>fromNewLinkREsponses!C30</f>
        <v>Not Reachable</v>
      </c>
      <c r="H24" s="16">
        <f>fromNewLinkREsponses!G30</f>
        <v>0</v>
      </c>
      <c r="I24" t="b">
        <f t="shared" si="0"/>
        <v>0</v>
      </c>
    </row>
    <row r="25" spans="1:9" ht="26.25" thickBot="1" x14ac:dyDescent="0.3">
      <c r="A25">
        <f>F25</f>
        <v>8823915926</v>
      </c>
      <c r="B25" s="34">
        <f>fromNewLinkREsponses!A146</f>
        <v>45699.439849537041</v>
      </c>
      <c r="C25" s="23" t="str">
        <f>fromNewLinkREsponses!B146</f>
        <v>onlinevdarak@gmail.com</v>
      </c>
      <c r="D25" s="23" t="str">
        <f>fromNewLinkREsponses!D146</f>
        <v>Varun Kanhaiyalal Darak</v>
      </c>
      <c r="E25" s="23" t="str">
        <f>fromNewLinkREsponses!E146</f>
        <v>Siddhant Kishan Ladda</v>
      </c>
      <c r="F25" s="23">
        <f>fromNewLinkREsponses!F146</f>
        <v>8823915926</v>
      </c>
      <c r="G25" s="25" t="str">
        <f>fromNewLinkREsponses!C146</f>
        <v>Not Reachable</v>
      </c>
      <c r="H25" s="16" t="str">
        <f>fromNewLinkREsponses!G146</f>
        <v>Number does not exist. Needs correction/revision in calling list</v>
      </c>
      <c r="I25" t="b">
        <f t="shared" si="0"/>
        <v>0</v>
      </c>
    </row>
    <row r="26" spans="1:9" ht="15.75" thickBot="1" x14ac:dyDescent="0.3">
      <c r="A26">
        <f>F26</f>
        <v>8871984007</v>
      </c>
      <c r="B26" s="29">
        <f>fromNewLinkREsponses!A169</f>
        <v>45699.538761574076</v>
      </c>
      <c r="C26" s="6" t="str">
        <f>fromNewLinkREsponses!B169</f>
        <v>swatichandak90@gmail.com</v>
      </c>
      <c r="D26" s="6" t="str">
        <f>fromNewLinkREsponses!D169</f>
        <v>Kaushalyadevi Dineshkumar Gaggad</v>
      </c>
      <c r="E26" s="6" t="str">
        <f>fromNewLinkREsponses!E169</f>
        <v>Prachi Ankit Kabra</v>
      </c>
      <c r="F26" s="6">
        <f>fromNewLinkREsponses!F169</f>
        <v>8871984007</v>
      </c>
      <c r="G26" s="7" t="str">
        <f>fromNewLinkREsponses!C169</f>
        <v>Confirmed Presence</v>
      </c>
      <c r="H26" s="16">
        <f>fromNewLinkREsponses!G169</f>
        <v>0</v>
      </c>
      <c r="I26" t="b">
        <f t="shared" si="0"/>
        <v>0</v>
      </c>
    </row>
    <row r="27" spans="1:9" ht="15.75" thickBot="1" x14ac:dyDescent="0.3">
      <c r="A27">
        <f>F27</f>
        <v>8879097778</v>
      </c>
      <c r="B27" s="29">
        <f>fromNewLinkREsponses!A149</f>
        <v>45699.440983796296</v>
      </c>
      <c r="C27" s="6" t="str">
        <f>fromNewLinkREsponses!B149</f>
        <v>rassawa@gmail.com</v>
      </c>
      <c r="D27" s="6" t="str">
        <f>fromNewLinkREsponses!D149</f>
        <v>Rahul Omshankar Assawa</v>
      </c>
      <c r="E27" s="6" t="str">
        <f>fromNewLinkREsponses!E149</f>
        <v>Radheyshyam Bankatlal Soni</v>
      </c>
      <c r="F27" s="6">
        <f>fromNewLinkREsponses!F149</f>
        <v>8879097778</v>
      </c>
      <c r="G27" s="7" t="str">
        <f>fromNewLinkREsponses!C149</f>
        <v>Phone Busy</v>
      </c>
      <c r="H27" s="16" t="str">
        <f>fromNewLinkREsponses!G149</f>
        <v>Will try again</v>
      </c>
      <c r="I27" t="b">
        <f t="shared" si="0"/>
        <v>0</v>
      </c>
    </row>
    <row r="28" spans="1:9" ht="15.75" thickBot="1" x14ac:dyDescent="0.3">
      <c r="A28">
        <f>F28</f>
        <v>8879380701</v>
      </c>
      <c r="B28" s="34">
        <v>45957.861388888887</v>
      </c>
      <c r="C28" s="21"/>
      <c r="D28" s="23" t="s">
        <v>82</v>
      </c>
      <c r="E28" s="23" t="s">
        <v>515</v>
      </c>
      <c r="F28" s="25">
        <v>8879380701</v>
      </c>
      <c r="G28" s="23" t="s">
        <v>1010</v>
      </c>
      <c r="H28" s="16"/>
      <c r="I28" t="b">
        <f t="shared" si="0"/>
        <v>0</v>
      </c>
    </row>
    <row r="29" spans="1:9" ht="15.75" thickBot="1" x14ac:dyDescent="0.3">
      <c r="A29">
        <f>F29</f>
        <v>8919841473</v>
      </c>
      <c r="B29" s="29">
        <f>fromNewLinkREsponses!A130</f>
        <v>45699.422418981485</v>
      </c>
      <c r="C29" s="6" t="str">
        <f>fromNewLinkREsponses!B130</f>
        <v>onlinevdarak@gmail.com</v>
      </c>
      <c r="D29" s="6" t="str">
        <f>fromNewLinkREsponses!D130</f>
        <v>Varun Kanhaiyalal Darak</v>
      </c>
      <c r="E29" s="6" t="str">
        <f>fromNewLinkREsponses!E130</f>
        <v>Ashish DIneshchandra Baheti</v>
      </c>
      <c r="F29" s="6">
        <f>fromNewLinkREsponses!F130</f>
        <v>8919841473</v>
      </c>
      <c r="G29" s="7" t="str">
        <f>fromNewLinkREsponses!C130</f>
        <v>Not Coming</v>
      </c>
      <c r="H29" s="16" t="str">
        <f>fromNewLinkREsponses!G130</f>
        <v>Have a family function on same day</v>
      </c>
      <c r="I29" t="b">
        <f t="shared" si="0"/>
        <v>0</v>
      </c>
    </row>
    <row r="30" spans="1:9" ht="15.75" thickBot="1" x14ac:dyDescent="0.3">
      <c r="A30">
        <f>F30</f>
        <v>8999747002</v>
      </c>
      <c r="B30" s="34">
        <f>fromNewLinkREsponses!A119</f>
        <v>45668.767384259256</v>
      </c>
      <c r="C30" s="23" t="str">
        <f>fromNewLinkREsponses!B119</f>
        <v>jyotis1311@gmail.com</v>
      </c>
      <c r="D30" s="23" t="str">
        <f>fromNewLinkREsponses!D119</f>
        <v>Jyotsna Sohan Sarda</v>
      </c>
      <c r="E30" s="23" t="str">
        <f>fromNewLinkREsponses!E119</f>
        <v>Kanchan Atul Bhutada</v>
      </c>
      <c r="F30" s="23">
        <f>fromNewLinkREsponses!F119</f>
        <v>8999747002</v>
      </c>
      <c r="G30" s="25" t="str">
        <f>fromNewLinkREsponses!C119</f>
        <v>Confirmed Presence</v>
      </c>
      <c r="H30" s="16" t="str">
        <f>fromNewLinkREsponses!G119</f>
        <v>Coming</v>
      </c>
      <c r="I30" t="b">
        <f t="shared" si="0"/>
        <v>0</v>
      </c>
    </row>
    <row r="31" spans="1:9" ht="15.75" thickBot="1" x14ac:dyDescent="0.3">
      <c r="A31">
        <f>F31</f>
        <v>9000438763</v>
      </c>
      <c r="B31" s="35">
        <v>45943.491724537038</v>
      </c>
      <c r="C31" s="22"/>
      <c r="D31" s="24" t="s">
        <v>800</v>
      </c>
      <c r="E31" s="24" t="s">
        <v>994</v>
      </c>
      <c r="F31" s="26">
        <v>9000438763</v>
      </c>
      <c r="G31" s="24" t="s">
        <v>1011</v>
      </c>
      <c r="H31" s="18" t="s">
        <v>1029</v>
      </c>
      <c r="I31" t="b">
        <f t="shared" si="0"/>
        <v>0</v>
      </c>
    </row>
    <row r="32" spans="1:9" ht="15.75" thickBot="1" x14ac:dyDescent="0.3">
      <c r="A32">
        <f>F32</f>
        <v>9004255553</v>
      </c>
      <c r="B32" s="28">
        <v>45941.612662037034</v>
      </c>
      <c r="C32" s="13"/>
      <c r="D32" s="1" t="s">
        <v>47</v>
      </c>
      <c r="E32" s="1" t="s">
        <v>308</v>
      </c>
      <c r="F32" s="2">
        <v>9004255553</v>
      </c>
      <c r="G32" s="1" t="s">
        <v>1010</v>
      </c>
      <c r="H32" s="14"/>
      <c r="I32" t="b">
        <f t="shared" si="0"/>
        <v>0</v>
      </c>
    </row>
    <row r="33" spans="1:9" ht="15.75" thickBot="1" x14ac:dyDescent="0.3">
      <c r="A33">
        <f>F33</f>
        <v>9004259412</v>
      </c>
      <c r="B33" s="29">
        <v>45942.449340277781</v>
      </c>
      <c r="C33" s="15"/>
      <c r="D33" s="6" t="s">
        <v>49</v>
      </c>
      <c r="E33" s="6" t="s">
        <v>118</v>
      </c>
      <c r="F33" s="7">
        <v>9004259412</v>
      </c>
      <c r="G33" s="6" t="s">
        <v>1010</v>
      </c>
      <c r="H33" s="16"/>
      <c r="I33" t="b">
        <f t="shared" si="0"/>
        <v>0</v>
      </c>
    </row>
    <row r="34" spans="1:9" ht="15.75" thickBot="1" x14ac:dyDescent="0.3">
      <c r="A34">
        <f>F34</f>
        <v>9004351568</v>
      </c>
      <c r="B34" s="28">
        <v>45943.52002314815</v>
      </c>
      <c r="C34" s="13"/>
      <c r="D34" s="1" t="s">
        <v>45</v>
      </c>
      <c r="E34" s="1" t="s">
        <v>164</v>
      </c>
      <c r="F34" s="2">
        <v>9004351568</v>
      </c>
      <c r="G34" s="1" t="s">
        <v>1010</v>
      </c>
      <c r="H34" s="14"/>
      <c r="I34" t="b">
        <f t="shared" si="0"/>
        <v>0</v>
      </c>
    </row>
    <row r="35" spans="1:9" ht="15.75" thickBot="1" x14ac:dyDescent="0.3">
      <c r="A35">
        <f>F35</f>
        <v>9004481082</v>
      </c>
      <c r="B35" s="29">
        <f>fromNewLinkREsponses!A40</f>
        <v>45668.583078703705</v>
      </c>
      <c r="C35" s="6" t="str">
        <f>fromNewLinkREsponses!B40</f>
        <v>impt85@gmail.com</v>
      </c>
      <c r="D35" s="6" t="str">
        <f>fromNewLinkREsponses!D40</f>
        <v>Shri Premji Taparia</v>
      </c>
      <c r="E35" s="6" t="str">
        <f>fromNewLinkREsponses!E40</f>
        <v>Ramanuj Babulal Dad</v>
      </c>
      <c r="F35" s="6">
        <f>fromNewLinkREsponses!F40</f>
        <v>9004481082</v>
      </c>
      <c r="G35" s="7" t="str">
        <f>fromNewLinkREsponses!C40</f>
        <v>Confirmed Presence</v>
      </c>
      <c r="H35" s="16">
        <f>fromNewLinkREsponses!G40</f>
        <v>0</v>
      </c>
      <c r="I35" t="b">
        <f t="shared" si="0"/>
        <v>0</v>
      </c>
    </row>
    <row r="36" spans="1:9" ht="15.75" thickBot="1" x14ac:dyDescent="0.3">
      <c r="A36">
        <f>F36</f>
        <v>9004547878</v>
      </c>
      <c r="B36" s="35">
        <v>45958.875358796293</v>
      </c>
      <c r="C36" s="22"/>
      <c r="D36" s="24" t="s">
        <v>43</v>
      </c>
      <c r="E36" s="24" t="s">
        <v>543</v>
      </c>
      <c r="F36" s="26">
        <v>9004547878</v>
      </c>
      <c r="G36" s="24" t="s">
        <v>1010</v>
      </c>
      <c r="H36" s="18" t="s">
        <v>1113</v>
      </c>
      <c r="I36" t="b">
        <f t="shared" si="0"/>
        <v>0</v>
      </c>
    </row>
    <row r="37" spans="1:9" ht="15.75" thickBot="1" x14ac:dyDescent="0.3">
      <c r="A37">
        <f>F37</f>
        <v>9004677979</v>
      </c>
      <c r="B37" s="34">
        <v>45959.382337962961</v>
      </c>
      <c r="C37" s="21"/>
      <c r="D37" s="23" t="s">
        <v>61</v>
      </c>
      <c r="E37" s="23" t="s">
        <v>220</v>
      </c>
      <c r="F37" s="25">
        <v>9004677979</v>
      </c>
      <c r="G37" s="23" t="s">
        <v>1012</v>
      </c>
      <c r="H37" s="17" t="s">
        <v>1121</v>
      </c>
      <c r="I37" t="b">
        <f t="shared" si="0"/>
        <v>0</v>
      </c>
    </row>
    <row r="38" spans="1:9" ht="15.75" thickBot="1" x14ac:dyDescent="0.3">
      <c r="A38">
        <f>F38</f>
        <v>9022963335</v>
      </c>
      <c r="B38" s="29">
        <v>45949.476840277777</v>
      </c>
      <c r="C38" s="15"/>
      <c r="D38" s="6" t="s">
        <v>35</v>
      </c>
      <c r="E38" s="6" t="s">
        <v>587</v>
      </c>
      <c r="F38" s="7">
        <v>9022963335</v>
      </c>
      <c r="G38" s="6" t="s">
        <v>1025</v>
      </c>
      <c r="H38" s="17" t="s">
        <v>1036</v>
      </c>
      <c r="I38" t="b">
        <f t="shared" si="0"/>
        <v>0</v>
      </c>
    </row>
    <row r="39" spans="1:9" ht="15.75" thickBot="1" x14ac:dyDescent="0.3">
      <c r="A39">
        <f>F39</f>
        <v>9028711211</v>
      </c>
      <c r="B39" s="34">
        <v>45942.648310185185</v>
      </c>
      <c r="C39" s="21"/>
      <c r="D39" s="23" t="s">
        <v>17</v>
      </c>
      <c r="E39" s="23" t="s">
        <v>626</v>
      </c>
      <c r="F39" s="25">
        <v>9028711211</v>
      </c>
      <c r="G39" s="23" t="s">
        <v>1010</v>
      </c>
      <c r="H39" s="16"/>
      <c r="I39" t="b">
        <f t="shared" si="0"/>
        <v>0</v>
      </c>
    </row>
    <row r="40" spans="1:9" ht="15.75" thickBot="1" x14ac:dyDescent="0.3">
      <c r="A40">
        <f>F40</f>
        <v>9029355691</v>
      </c>
      <c r="B40" s="29">
        <v>45957.857928240737</v>
      </c>
      <c r="C40" s="15"/>
      <c r="D40" s="6" t="s">
        <v>82</v>
      </c>
      <c r="E40" s="6" t="s">
        <v>135</v>
      </c>
      <c r="F40" s="7">
        <v>9029355691</v>
      </c>
      <c r="G40" s="6" t="s">
        <v>1013</v>
      </c>
      <c r="H40" s="17" t="s">
        <v>1041</v>
      </c>
      <c r="I40" t="b">
        <f t="shared" si="0"/>
        <v>0</v>
      </c>
    </row>
    <row r="41" spans="1:9" ht="15.75" thickBot="1" x14ac:dyDescent="0.3">
      <c r="A41">
        <f>F41</f>
        <v>9029889349</v>
      </c>
      <c r="B41" s="34">
        <f>fromNewLinkREsponses!A97</f>
        <v>45668.686840277776</v>
      </c>
      <c r="C41" s="23" t="str">
        <f>fromNewLinkREsponses!B97</f>
        <v>akajainca@gmail.com</v>
      </c>
      <c r="D41" s="23" t="str">
        <f>fromNewLinkREsponses!D97</f>
        <v>Akansha Rahul Somani</v>
      </c>
      <c r="E41" s="23" t="str">
        <f>fromNewLinkREsponses!E97</f>
        <v>Mahendrda Mohan Kabra</v>
      </c>
      <c r="F41" s="23">
        <f>fromNewLinkREsponses!F97</f>
        <v>9029889349</v>
      </c>
      <c r="G41" s="25" t="str">
        <f>fromNewLinkREsponses!C97</f>
        <v>Phone Busy</v>
      </c>
      <c r="H41" s="16">
        <f>fromNewLinkREsponses!G97</f>
        <v>0</v>
      </c>
      <c r="I41" t="b">
        <f t="shared" si="0"/>
        <v>0</v>
      </c>
    </row>
    <row r="42" spans="1:9" ht="15.75" thickBot="1" x14ac:dyDescent="0.3">
      <c r="A42">
        <f>F42</f>
        <v>9076054588</v>
      </c>
      <c r="B42" s="29">
        <f>fromNewLinkREsponses!A47</f>
        <v>45668.587592592594</v>
      </c>
      <c r="C42" s="6" t="str">
        <f>fromNewLinkREsponses!B47</f>
        <v>arkmantri@gmail.com</v>
      </c>
      <c r="D42" s="6" t="str">
        <f>fromNewLinkREsponses!D47</f>
        <v>Shri Avinash Mantri</v>
      </c>
      <c r="E42" s="6" t="str">
        <f>fromNewLinkREsponses!E47</f>
        <v>Harsh Harish Rathi</v>
      </c>
      <c r="F42" s="6">
        <f>fromNewLinkREsponses!F47</f>
        <v>9076054588</v>
      </c>
      <c r="G42" s="7" t="str">
        <f>fromNewLinkREsponses!C47</f>
        <v>Confirmed Presence</v>
      </c>
      <c r="H42" s="16" t="str">
        <f>fromNewLinkREsponses!G47</f>
        <v>Will register</v>
      </c>
      <c r="I42" t="b">
        <f t="shared" si="0"/>
        <v>0</v>
      </c>
    </row>
    <row r="43" spans="1:9" ht="15.75" thickBot="1" x14ac:dyDescent="0.3">
      <c r="A43">
        <f>F43</f>
        <v>9082360561</v>
      </c>
      <c r="B43" s="28">
        <v>45942.668842592589</v>
      </c>
      <c r="C43" s="13"/>
      <c r="D43" s="1" t="s">
        <v>17</v>
      </c>
      <c r="E43" s="1" t="s">
        <v>769</v>
      </c>
      <c r="F43" s="2">
        <v>9082360561</v>
      </c>
      <c r="G43" s="1" t="s">
        <v>1010</v>
      </c>
      <c r="H43" s="14"/>
      <c r="I43" t="b">
        <f t="shared" si="0"/>
        <v>0</v>
      </c>
    </row>
    <row r="44" spans="1:9" ht="15.75" thickBot="1" x14ac:dyDescent="0.3">
      <c r="A44">
        <f>F44</f>
        <v>9167234508</v>
      </c>
      <c r="B44" s="34">
        <f>fromNewLinkREsponses!A132</f>
        <v>45699.42659722222</v>
      </c>
      <c r="C44" s="23" t="str">
        <f>fromNewLinkREsponses!B132</f>
        <v>onlinevdarak@gmail.com</v>
      </c>
      <c r="D44" s="23" t="str">
        <f>fromNewLinkREsponses!D132</f>
        <v>Varun Kanhaiyalal Darak</v>
      </c>
      <c r="E44" s="23" t="str">
        <f>fromNewLinkREsponses!E132</f>
        <v>Harsh Naanakram Sodhani</v>
      </c>
      <c r="F44" s="23">
        <f>fromNewLinkREsponses!F132</f>
        <v>9167234508</v>
      </c>
      <c r="G44" s="25" t="str">
        <f>fromNewLinkREsponses!C132</f>
        <v>Not Reachable</v>
      </c>
      <c r="H44" s="16">
        <f>fromNewLinkREsponses!G132</f>
        <v>0</v>
      </c>
      <c r="I44" t="b">
        <f t="shared" si="0"/>
        <v>0</v>
      </c>
    </row>
    <row r="45" spans="1:9" ht="15.75" thickBot="1" x14ac:dyDescent="0.3">
      <c r="A45">
        <f>F45</f>
        <v>9167598389</v>
      </c>
      <c r="B45" s="35">
        <v>45943.705960648149</v>
      </c>
      <c r="C45" s="22"/>
      <c r="D45" s="24" t="s">
        <v>45</v>
      </c>
      <c r="E45" s="24" t="s">
        <v>212</v>
      </c>
      <c r="F45" s="26">
        <v>9167598389</v>
      </c>
      <c r="G45" s="24" t="s">
        <v>1011</v>
      </c>
      <c r="H45" s="18" t="s">
        <v>1031</v>
      </c>
      <c r="I45" t="b">
        <f t="shared" si="0"/>
        <v>0</v>
      </c>
    </row>
    <row r="46" spans="1:9" ht="15.75" thickBot="1" x14ac:dyDescent="0.3">
      <c r="A46">
        <f>F46</f>
        <v>9167730854</v>
      </c>
      <c r="B46" s="34">
        <v>45957.855532407404</v>
      </c>
      <c r="C46" s="21"/>
      <c r="D46" s="23" t="s">
        <v>82</v>
      </c>
      <c r="E46" s="23" t="s">
        <v>326</v>
      </c>
      <c r="F46" s="25">
        <v>9167730854</v>
      </c>
      <c r="G46" s="23" t="s">
        <v>1011</v>
      </c>
      <c r="H46" s="17" t="s">
        <v>1040</v>
      </c>
      <c r="I46" t="b">
        <f t="shared" si="0"/>
        <v>0</v>
      </c>
    </row>
    <row r="47" spans="1:9" ht="15.75" thickBot="1" x14ac:dyDescent="0.3">
      <c r="A47">
        <f>F47</f>
        <v>9167900897</v>
      </c>
      <c r="B47" s="29">
        <v>45942.452905092592</v>
      </c>
      <c r="C47" s="15"/>
      <c r="D47" s="6" t="s">
        <v>49</v>
      </c>
      <c r="E47" s="6" t="s">
        <v>404</v>
      </c>
      <c r="F47" s="7">
        <v>9167900897</v>
      </c>
      <c r="G47" s="6" t="s">
        <v>1010</v>
      </c>
      <c r="H47" s="16"/>
      <c r="I47" t="b">
        <f t="shared" si="0"/>
        <v>0</v>
      </c>
    </row>
    <row r="48" spans="1:9" ht="15.75" thickBot="1" x14ac:dyDescent="0.3">
      <c r="A48">
        <f>F48</f>
        <v>9223427892</v>
      </c>
      <c r="B48" s="28">
        <v>45957.894594907404</v>
      </c>
      <c r="C48" s="13"/>
      <c r="D48" s="1" t="s">
        <v>33</v>
      </c>
      <c r="E48" s="1" t="s">
        <v>777</v>
      </c>
      <c r="F48" s="2">
        <v>9223427892</v>
      </c>
      <c r="G48" s="1" t="s">
        <v>1011</v>
      </c>
      <c r="H48" s="18" t="s">
        <v>1046</v>
      </c>
      <c r="I48" t="b">
        <f t="shared" si="0"/>
        <v>0</v>
      </c>
    </row>
    <row r="49" spans="1:9" ht="15.75" thickBot="1" x14ac:dyDescent="0.3">
      <c r="A49">
        <f>F49</f>
        <v>9223464075</v>
      </c>
      <c r="B49" s="29">
        <v>45941.574652777781</v>
      </c>
      <c r="C49" s="15"/>
      <c r="D49" s="6" t="s">
        <v>47</v>
      </c>
      <c r="E49" s="6" t="s">
        <v>497</v>
      </c>
      <c r="F49" s="7">
        <v>9223464075</v>
      </c>
      <c r="G49" s="6" t="s">
        <v>1012</v>
      </c>
      <c r="H49" s="16"/>
      <c r="I49" t="b">
        <f t="shared" si="0"/>
        <v>0</v>
      </c>
    </row>
    <row r="50" spans="1:9" ht="15.75" thickBot="1" x14ac:dyDescent="0.3">
      <c r="A50">
        <f>F50</f>
        <v>9224198417</v>
      </c>
      <c r="B50" s="28">
        <v>45942.660370370373</v>
      </c>
      <c r="C50" s="13"/>
      <c r="D50" s="1" t="s">
        <v>17</v>
      </c>
      <c r="E50" s="1" t="s">
        <v>103</v>
      </c>
      <c r="F50" s="2">
        <v>9224198417</v>
      </c>
      <c r="G50" s="1" t="s">
        <v>1010</v>
      </c>
      <c r="H50" s="14"/>
      <c r="I50" t="b">
        <f t="shared" si="0"/>
        <v>0</v>
      </c>
    </row>
    <row r="51" spans="1:9" ht="15.75" thickBot="1" x14ac:dyDescent="0.3">
      <c r="A51">
        <f>F51</f>
        <v>9225211083</v>
      </c>
      <c r="B51" s="34">
        <v>45943.492662037039</v>
      </c>
      <c r="C51" s="21"/>
      <c r="D51" s="23" t="s">
        <v>800</v>
      </c>
      <c r="E51" s="23" t="s">
        <v>84</v>
      </c>
      <c r="F51" s="25">
        <v>9225211083</v>
      </c>
      <c r="G51" s="23" t="s">
        <v>1010</v>
      </c>
      <c r="H51" s="16"/>
      <c r="I51" t="b">
        <f t="shared" si="0"/>
        <v>0</v>
      </c>
    </row>
    <row r="52" spans="1:9" ht="15.75" thickBot="1" x14ac:dyDescent="0.3">
      <c r="A52">
        <f>F52</f>
        <v>9320035084</v>
      </c>
      <c r="B52" s="35">
        <v>45942.460833333331</v>
      </c>
      <c r="C52" s="22"/>
      <c r="D52" s="24" t="s">
        <v>49</v>
      </c>
      <c r="E52" s="24" t="s">
        <v>498</v>
      </c>
      <c r="F52" s="26">
        <v>9320035084</v>
      </c>
      <c r="G52" s="24" t="s">
        <v>1010</v>
      </c>
      <c r="H52" s="14"/>
      <c r="I52" t="b">
        <f t="shared" si="0"/>
        <v>0</v>
      </c>
    </row>
    <row r="53" spans="1:9" ht="15.75" thickBot="1" x14ac:dyDescent="0.3">
      <c r="A53">
        <f>F53</f>
        <v>9320102206</v>
      </c>
      <c r="B53" s="34">
        <f>fromNewLinkREsponses!A106</f>
        <v>45668.691712962966</v>
      </c>
      <c r="C53" s="23" t="str">
        <f>fromNewLinkREsponses!B106</f>
        <v>akajainca@gmail.com</v>
      </c>
      <c r="D53" s="23" t="str">
        <f>fromNewLinkREsponses!D106</f>
        <v>Akansha Rahul Somani</v>
      </c>
      <c r="E53" s="23" t="str">
        <f>fromNewLinkREsponses!E106</f>
        <v>Shankarlal Suganchandji Chandak</v>
      </c>
      <c r="F53" s="23">
        <f>fromNewLinkREsponses!F106</f>
        <v>9320102206</v>
      </c>
      <c r="G53" s="25" t="str">
        <f>fromNewLinkREsponses!C106</f>
        <v>May be Attending</v>
      </c>
      <c r="H53" s="16">
        <f>fromNewLinkREsponses!G106</f>
        <v>0</v>
      </c>
      <c r="I53" t="b">
        <f t="shared" si="0"/>
        <v>0</v>
      </c>
    </row>
    <row r="54" spans="1:9" ht="15.75" thickBot="1" x14ac:dyDescent="0.3">
      <c r="A54">
        <f>F54</f>
        <v>9320105607</v>
      </c>
      <c r="B54" s="29">
        <f>fromNewLinkREsponses!A183</f>
        <v>45699.589675925927</v>
      </c>
      <c r="C54" s="6" t="str">
        <f>fromNewLinkREsponses!B183</f>
        <v>prdhoot@gmail.com</v>
      </c>
      <c r="D54" s="6" t="str">
        <f>fromNewLinkREsponses!D183</f>
        <v>Prateek Ramesh Dhoot</v>
      </c>
      <c r="E54" s="6" t="str">
        <f>fromNewLinkREsponses!E183</f>
        <v>Shreekrishna Loonkaran Bhattad</v>
      </c>
      <c r="F54" s="6">
        <f>fromNewLinkREsponses!F183</f>
        <v>9320105607</v>
      </c>
      <c r="G54" s="7" t="str">
        <f>fromNewLinkREsponses!C183</f>
        <v>Not Coming</v>
      </c>
      <c r="H54" s="16" t="str">
        <f>fromNewLinkREsponses!G183</f>
        <v>not in mumbai</v>
      </c>
      <c r="I54" t="b">
        <f t="shared" si="0"/>
        <v>0</v>
      </c>
    </row>
    <row r="55" spans="1:9" ht="15.75" thickBot="1" x14ac:dyDescent="0.3">
      <c r="A55">
        <f>F55</f>
        <v>9320308008</v>
      </c>
      <c r="B55" s="34" t="str">
        <f>fromNewLinkREsponses!A10</f>
        <v>31/10/2025 22:02:07</v>
      </c>
      <c r="C55" s="23" t="str">
        <f>fromNewLinkREsponses!B10</f>
        <v>nikechandak@gmail.com</v>
      </c>
      <c r="D55" s="23" t="str">
        <f>fromNewLinkREsponses!D10</f>
        <v>Shri Nikhilji Chandak</v>
      </c>
      <c r="E55" s="23" t="str">
        <f>fromNewLinkREsponses!E10</f>
        <v>Vinit Rameshchandra Maheshwari</v>
      </c>
      <c r="F55" s="23">
        <f>fromNewLinkREsponses!F10</f>
        <v>9320308008</v>
      </c>
      <c r="G55" s="25" t="str">
        <f>fromNewLinkREsponses!C10</f>
        <v>Confirmed Presence</v>
      </c>
      <c r="H55" s="16" t="str">
        <f>fromNewLinkREsponses!G10</f>
        <v>3 people have confirmed</v>
      </c>
      <c r="I55" t="b">
        <f t="shared" si="0"/>
        <v>0</v>
      </c>
    </row>
    <row r="56" spans="1:9" ht="15.75" thickBot="1" x14ac:dyDescent="0.3">
      <c r="A56">
        <f>F56</f>
        <v>9320683201</v>
      </c>
      <c r="B56" s="35">
        <v>45958.887719907405</v>
      </c>
      <c r="C56" s="22"/>
      <c r="D56" s="24" t="s">
        <v>1117</v>
      </c>
      <c r="E56" s="24" t="s">
        <v>1118</v>
      </c>
      <c r="F56" s="26">
        <v>9320683201</v>
      </c>
      <c r="G56" s="24" t="s">
        <v>1012</v>
      </c>
      <c r="H56" s="18" t="s">
        <v>1120</v>
      </c>
      <c r="I56" t="b">
        <f t="shared" si="0"/>
        <v>0</v>
      </c>
    </row>
    <row r="57" spans="1:9" ht="15.75" thickBot="1" x14ac:dyDescent="0.3">
      <c r="A57">
        <f>F57</f>
        <v>9320770849</v>
      </c>
      <c r="B57" s="28">
        <v>45957.919687499998</v>
      </c>
      <c r="C57" s="13"/>
      <c r="D57" s="1" t="s">
        <v>790</v>
      </c>
      <c r="E57" s="1" t="s">
        <v>806</v>
      </c>
      <c r="F57" s="2">
        <v>9320770849</v>
      </c>
      <c r="G57" s="1" t="s">
        <v>1025</v>
      </c>
      <c r="H57" s="14"/>
      <c r="I57" t="b">
        <f t="shared" si="0"/>
        <v>0</v>
      </c>
    </row>
    <row r="58" spans="1:9" ht="15.75" thickBot="1" x14ac:dyDescent="0.3">
      <c r="A58">
        <f>F58</f>
        <v>9320916175</v>
      </c>
      <c r="B58" s="29">
        <f>fromNewLinkREsponses!A52</f>
        <v>45668.606481481482</v>
      </c>
      <c r="C58" s="6" t="str">
        <f>fromNewLinkREsponses!B52</f>
        <v>arkmantri@gmail.com</v>
      </c>
      <c r="D58" s="6" t="str">
        <f>fromNewLinkREsponses!D52</f>
        <v>Shri Avinash Mantri</v>
      </c>
      <c r="E58" s="6" t="str">
        <f>fromNewLinkREsponses!E52</f>
        <v>Harish  Kumar Sarda</v>
      </c>
      <c r="F58" s="6">
        <f>fromNewLinkREsponses!F52</f>
        <v>9320916175</v>
      </c>
      <c r="G58" s="7" t="str">
        <f>fromNewLinkREsponses!C52</f>
        <v>Confirmed Presence</v>
      </c>
      <c r="H58" s="16" t="str">
        <f>fromNewLinkREsponses!G52</f>
        <v>Will register</v>
      </c>
      <c r="I58" t="b">
        <f t="shared" si="0"/>
        <v>0</v>
      </c>
    </row>
    <row r="59" spans="1:9" ht="15.75" thickBot="1" x14ac:dyDescent="0.3">
      <c r="A59">
        <f>F59</f>
        <v>9320969649</v>
      </c>
      <c r="B59" s="34">
        <f>fromNewLinkREsponses!A19</f>
        <v>45668.572025462963</v>
      </c>
      <c r="C59" s="23" t="str">
        <f>fromNewLinkREsponses!B19</f>
        <v>jagdish.lahoti92@gmail.com</v>
      </c>
      <c r="D59" s="23" t="str">
        <f>fromNewLinkREsponses!D19</f>
        <v>Jagdish Rameshchand Lahoti</v>
      </c>
      <c r="E59" s="23" t="str">
        <f>fromNewLinkREsponses!E19</f>
        <v>Gajanand Ganpatrai Gaggar</v>
      </c>
      <c r="F59" s="23">
        <f>fromNewLinkREsponses!F19</f>
        <v>9320969649</v>
      </c>
      <c r="G59" s="25" t="str">
        <f>fromNewLinkREsponses!C19</f>
        <v>Confirmed Presence</v>
      </c>
      <c r="H59" s="16">
        <f>fromNewLinkREsponses!G19</f>
        <v>0</v>
      </c>
      <c r="I59" t="b">
        <f t="shared" si="0"/>
        <v>0</v>
      </c>
    </row>
    <row r="60" spans="1:9" ht="15.75" thickBot="1" x14ac:dyDescent="0.3">
      <c r="A60">
        <f>F60</f>
        <v>9321169646</v>
      </c>
      <c r="B60" s="29">
        <f>fromNewLinkREsponses!A43</f>
        <v>45668.585428240738</v>
      </c>
      <c r="C60" s="6" t="str">
        <f>fromNewLinkREsponses!B43</f>
        <v>jagdish.lahoti92@gmail.com</v>
      </c>
      <c r="D60" s="6" t="str">
        <f>fromNewLinkREsponses!D43</f>
        <v>Jagdish Rameshchand Lahoti</v>
      </c>
      <c r="E60" s="6" t="str">
        <f>fromNewLinkREsponses!E43</f>
        <v>Vithaldas Tejmal Bhattad</v>
      </c>
      <c r="F60" s="6">
        <f>fromNewLinkREsponses!F43</f>
        <v>9321169646</v>
      </c>
      <c r="G60" s="7" t="str">
        <f>fromNewLinkREsponses!C43</f>
        <v>May be Attending</v>
      </c>
      <c r="H60" s="16">
        <f>fromNewLinkREsponses!G43</f>
        <v>0</v>
      </c>
      <c r="I60" t="b">
        <f t="shared" si="0"/>
        <v>0</v>
      </c>
    </row>
    <row r="61" spans="1:9" ht="26.25" thickBot="1" x14ac:dyDescent="0.3">
      <c r="A61">
        <f>F61</f>
        <v>9321296213</v>
      </c>
      <c r="B61" s="34">
        <v>45941.590231481481</v>
      </c>
      <c r="C61" s="21"/>
      <c r="D61" s="23" t="s">
        <v>47</v>
      </c>
      <c r="E61" s="23" t="s">
        <v>261</v>
      </c>
      <c r="F61" s="25">
        <v>9321296213</v>
      </c>
      <c r="G61" s="23" t="s">
        <v>1012</v>
      </c>
      <c r="H61" s="16"/>
      <c r="I61" t="b">
        <f t="shared" si="0"/>
        <v>0</v>
      </c>
    </row>
    <row r="62" spans="1:9" ht="15.75" thickBot="1" x14ac:dyDescent="0.3">
      <c r="A62">
        <f>F62</f>
        <v>9321346176</v>
      </c>
      <c r="B62" s="35">
        <v>45941.591909722221</v>
      </c>
      <c r="C62" s="22"/>
      <c r="D62" s="24" t="s">
        <v>47</v>
      </c>
      <c r="E62" s="24" t="s">
        <v>403</v>
      </c>
      <c r="F62" s="26">
        <v>9321346176</v>
      </c>
      <c r="G62" s="24" t="s">
        <v>1010</v>
      </c>
      <c r="H62" s="14"/>
      <c r="I62" t="b">
        <f t="shared" si="0"/>
        <v>0</v>
      </c>
    </row>
    <row r="63" spans="1:9" ht="15.75" thickBot="1" x14ac:dyDescent="0.3">
      <c r="A63">
        <f>F63</f>
        <v>9321489104</v>
      </c>
      <c r="B63" s="34">
        <f>fromNewLinkREsponses!A153</f>
        <v>45699.443854166668</v>
      </c>
      <c r="C63" s="23" t="str">
        <f>fromNewLinkREsponses!B153</f>
        <v>onlinevdarak@gmail.com</v>
      </c>
      <c r="D63" s="23" t="str">
        <f>fromNewLinkREsponses!D153</f>
        <v>Varun Kanhaiyalal Darak</v>
      </c>
      <c r="E63" s="23" t="str">
        <f>fromNewLinkREsponses!E153</f>
        <v>Yogesh Nathmal Mantri</v>
      </c>
      <c r="F63" s="23">
        <f>fromNewLinkREsponses!F153</f>
        <v>9321489104</v>
      </c>
      <c r="G63" s="25" t="str">
        <f>fromNewLinkREsponses!C153</f>
        <v>Phone Busy</v>
      </c>
      <c r="H63" s="16">
        <f>fromNewLinkREsponses!G153</f>
        <v>0</v>
      </c>
      <c r="I63" t="b">
        <f t="shared" si="0"/>
        <v>0</v>
      </c>
    </row>
    <row r="64" spans="1:9" ht="15.75" thickBot="1" x14ac:dyDescent="0.3">
      <c r="A64">
        <f>F64</f>
        <v>9321882437</v>
      </c>
      <c r="B64" s="29">
        <v>45958.874108796299</v>
      </c>
      <c r="C64" s="15"/>
      <c r="D64" s="6" t="s">
        <v>43</v>
      </c>
      <c r="E64" s="6" t="s">
        <v>734</v>
      </c>
      <c r="F64" s="7">
        <v>9321882437</v>
      </c>
      <c r="G64" s="6" t="s">
        <v>1011</v>
      </c>
      <c r="H64" s="17" t="s">
        <v>1112</v>
      </c>
      <c r="I64" t="b">
        <f t="shared" si="0"/>
        <v>0</v>
      </c>
    </row>
    <row r="65" spans="1:9" ht="15.75" thickBot="1" x14ac:dyDescent="0.3">
      <c r="A65">
        <f>F65</f>
        <v>9322080898</v>
      </c>
      <c r="B65" s="34">
        <f>fromNewLinkREsponses!A57</f>
        <v>45668.620208333334</v>
      </c>
      <c r="C65" s="23" t="str">
        <f>fromNewLinkREsponses!B57</f>
        <v>trysachin@gmail.com</v>
      </c>
      <c r="D65" s="23" t="str">
        <f>fromNewLinkREsponses!D57</f>
        <v>Khushboo Sachin Dhoot</v>
      </c>
      <c r="E65" s="23" t="str">
        <f>fromNewLinkREsponses!E57</f>
        <v>Anilkumar Shannimal Mundhra</v>
      </c>
      <c r="F65" s="23">
        <f>fromNewLinkREsponses!F57</f>
        <v>9322080898</v>
      </c>
      <c r="G65" s="25" t="str">
        <f>fromNewLinkREsponses!C57</f>
        <v>May be Attending</v>
      </c>
      <c r="H65" s="16">
        <f>fromNewLinkREsponses!G57</f>
        <v>0</v>
      </c>
      <c r="I65" t="b">
        <f t="shared" si="0"/>
        <v>0</v>
      </c>
    </row>
    <row r="66" spans="1:9" ht="15.75" thickBot="1" x14ac:dyDescent="0.3">
      <c r="A66">
        <f>F66</f>
        <v>9322123231</v>
      </c>
      <c r="B66" s="34">
        <v>45958.883043981485</v>
      </c>
      <c r="C66" s="21"/>
      <c r="D66" s="23" t="s">
        <v>43</v>
      </c>
      <c r="E66" s="23" t="s">
        <v>686</v>
      </c>
      <c r="F66" s="25">
        <v>9322123231</v>
      </c>
      <c r="G66" s="23" t="s">
        <v>1011</v>
      </c>
      <c r="H66" s="17" t="s">
        <v>1116</v>
      </c>
      <c r="I66" t="b">
        <f t="shared" si="0"/>
        <v>0</v>
      </c>
    </row>
    <row r="67" spans="1:9" ht="15.75" thickBot="1" x14ac:dyDescent="0.3">
      <c r="A67">
        <f>F67</f>
        <v>9322177391</v>
      </c>
      <c r="B67" s="29">
        <f>fromNewLinkREsponses!A124</f>
        <v>45668.768784722219</v>
      </c>
      <c r="C67" s="6" t="str">
        <f>fromNewLinkREsponses!B124</f>
        <v>jyotis1311@gmail.com</v>
      </c>
      <c r="D67" s="6" t="str">
        <f>fromNewLinkREsponses!D124</f>
        <v>Jyotsna Sohan Sarda</v>
      </c>
      <c r="E67" s="6" t="str">
        <f>fromNewLinkREsponses!E124</f>
        <v>Sangeeta Vinaykumar Sharda</v>
      </c>
      <c r="F67" s="6">
        <f>fromNewLinkREsponses!F124</f>
        <v>9322177391</v>
      </c>
      <c r="G67" s="7">
        <f>fromNewLinkREsponses!C124</f>
        <v>0</v>
      </c>
      <c r="H67" s="16" t="str">
        <f>fromNewLinkREsponses!G124</f>
        <v>Not picked up</v>
      </c>
      <c r="I67" t="b">
        <f t="shared" si="0"/>
        <v>0</v>
      </c>
    </row>
    <row r="68" spans="1:9" ht="15.75" thickBot="1" x14ac:dyDescent="0.3">
      <c r="A68">
        <f>F68</f>
        <v>9322177718</v>
      </c>
      <c r="B68" s="34">
        <f>fromNewLinkREsponses!A120</f>
        <v>45668.767627314817</v>
      </c>
      <c r="C68" s="23" t="str">
        <f>fromNewLinkREsponses!B120</f>
        <v>jyotis1311@gmail.com</v>
      </c>
      <c r="D68" s="23" t="str">
        <f>fromNewLinkREsponses!D120</f>
        <v>Jyotsna Sohan Sarda</v>
      </c>
      <c r="E68" s="23" t="str">
        <f>fromNewLinkREsponses!E120</f>
        <v>Nandadevi Shyamsundar Laddha</v>
      </c>
      <c r="F68" s="23">
        <f>fromNewLinkREsponses!F120</f>
        <v>9322177718</v>
      </c>
      <c r="G68" s="25">
        <f>fromNewLinkREsponses!C120</f>
        <v>0</v>
      </c>
      <c r="H68" s="16" t="str">
        <f>fromNewLinkREsponses!G120</f>
        <v>Wrong number</v>
      </c>
      <c r="I68" t="b">
        <f t="shared" ref="I68:I131" si="1">F67=F68</f>
        <v>0</v>
      </c>
    </row>
    <row r="69" spans="1:9" ht="15.75" thickBot="1" x14ac:dyDescent="0.3">
      <c r="A69">
        <f>F69</f>
        <v>9322210725</v>
      </c>
      <c r="B69" s="29">
        <f>fromNewLinkREsponses!A80</f>
        <v>45668.665752314817</v>
      </c>
      <c r="C69" s="6" t="str">
        <f>fromNewLinkREsponses!B80</f>
        <v>caprachirathi@gmail.com</v>
      </c>
      <c r="D69" s="6" t="str">
        <f>fromNewLinkREsponses!D80</f>
        <v>Prachi Ankit Kabra</v>
      </c>
      <c r="E69" s="6" t="str">
        <f>fromNewLinkREsponses!E80</f>
        <v>Hari Dwarikadas Daga</v>
      </c>
      <c r="F69" s="6">
        <f>fromNewLinkREsponses!F80</f>
        <v>9322210725</v>
      </c>
      <c r="G69" s="7" t="str">
        <f>fromNewLinkREsponses!C80</f>
        <v>Not Coming</v>
      </c>
      <c r="H69" s="16" t="str">
        <f>fromNewLinkREsponses!G80</f>
        <v>Death at home in last 5 days</v>
      </c>
      <c r="I69" t="b">
        <f t="shared" si="1"/>
        <v>0</v>
      </c>
    </row>
    <row r="70" spans="1:9" ht="15.75" thickBot="1" x14ac:dyDescent="0.3">
      <c r="A70">
        <f>F70</f>
        <v>9322232683</v>
      </c>
      <c r="B70" s="34">
        <f>fromNewLinkREsponses!A82</f>
        <v>45668.669247685182</v>
      </c>
      <c r="C70" s="23" t="str">
        <f>fromNewLinkREsponses!B82</f>
        <v>caprachirathi@gmail.com</v>
      </c>
      <c r="D70" s="23" t="str">
        <f>fromNewLinkREsponses!D82</f>
        <v>Prachi Ankit Kabra</v>
      </c>
      <c r="E70" s="23" t="str">
        <f>fromNewLinkREsponses!E82</f>
        <v>Kamalkishore Thanmal Rathi</v>
      </c>
      <c r="F70" s="23">
        <f>fromNewLinkREsponses!F82</f>
        <v>9322232683</v>
      </c>
      <c r="G70" s="25" t="str">
        <f>fromNewLinkREsponses!C82</f>
        <v>May be Attending</v>
      </c>
      <c r="H70" s="16" t="str">
        <f>fromNewLinkREsponses!G82</f>
        <v>He is out of town, wife might attend.</v>
      </c>
      <c r="I70" t="b">
        <f t="shared" si="1"/>
        <v>0</v>
      </c>
    </row>
    <row r="71" spans="1:9" ht="15.75" thickBot="1" x14ac:dyDescent="0.3">
      <c r="A71">
        <f>F71</f>
        <v>9322233166</v>
      </c>
      <c r="B71" s="29">
        <f>fromNewLinkREsponses!A148</f>
        <v>45699.440729166665</v>
      </c>
      <c r="C71" s="6" t="str">
        <f>fromNewLinkREsponses!B148</f>
        <v>rassawa@gmail.com</v>
      </c>
      <c r="D71" s="6" t="str">
        <f>fromNewLinkREsponses!D148</f>
        <v>Rahul Omshankar Assawa</v>
      </c>
      <c r="E71" s="6" t="str">
        <f>fromNewLinkREsponses!E148</f>
        <v>Bajranglal Nathulal Sarda</v>
      </c>
      <c r="F71" s="6">
        <f>fromNewLinkREsponses!F148</f>
        <v>9322233166</v>
      </c>
      <c r="G71" s="7" t="str">
        <f>fromNewLinkREsponses!C148</f>
        <v>Phone Busy</v>
      </c>
      <c r="H71" s="16">
        <f>fromNewLinkREsponses!G148</f>
        <v>0</v>
      </c>
      <c r="I71" t="b">
        <f t="shared" si="1"/>
        <v>0</v>
      </c>
    </row>
    <row r="72" spans="1:9" ht="15.75" thickBot="1" x14ac:dyDescent="0.3">
      <c r="A72">
        <f>F72</f>
        <v>9322239904</v>
      </c>
      <c r="B72" s="34">
        <v>45958.874918981484</v>
      </c>
      <c r="C72" s="21"/>
      <c r="D72" s="23" t="s">
        <v>43</v>
      </c>
      <c r="E72" s="23" t="s">
        <v>163</v>
      </c>
      <c r="F72" s="25">
        <v>9322239904</v>
      </c>
      <c r="G72" s="23" t="s">
        <v>1011</v>
      </c>
      <c r="H72" s="17" t="s">
        <v>1031</v>
      </c>
      <c r="I72" t="b">
        <f t="shared" si="1"/>
        <v>0</v>
      </c>
    </row>
    <row r="73" spans="1:9" ht="15.75" thickBot="1" x14ac:dyDescent="0.3">
      <c r="A73">
        <f>F73</f>
        <v>9322249379</v>
      </c>
      <c r="B73" s="34">
        <v>45956.613055555557</v>
      </c>
      <c r="C73" s="21"/>
      <c r="D73" s="23" t="s">
        <v>73</v>
      </c>
      <c r="E73" s="23" t="s">
        <v>178</v>
      </c>
      <c r="F73" s="25">
        <v>9322249379</v>
      </c>
      <c r="G73" s="23" t="s">
        <v>1012</v>
      </c>
      <c r="H73" s="16"/>
      <c r="I73" t="b">
        <f t="shared" si="1"/>
        <v>0</v>
      </c>
    </row>
    <row r="74" spans="1:9" ht="15.75" thickBot="1" x14ac:dyDescent="0.3">
      <c r="A74">
        <f>F74</f>
        <v>9322275160</v>
      </c>
      <c r="B74" s="29">
        <f>fromNewLinkREsponses!A37</f>
        <v>45668.58189814815</v>
      </c>
      <c r="C74" s="6" t="str">
        <f>fromNewLinkREsponses!B37</f>
        <v>impt85@gmail.com</v>
      </c>
      <c r="D74" s="6" t="str">
        <f>fromNewLinkREsponses!D37</f>
        <v>Shri Premji Taparia</v>
      </c>
      <c r="E74" s="6" t="str">
        <f>fromNewLinkREsponses!E37</f>
        <v>Arun Shivkumar Saboo</v>
      </c>
      <c r="F74" s="6">
        <f>fromNewLinkREsponses!F37</f>
        <v>9322275160</v>
      </c>
      <c r="G74" s="7" t="str">
        <f>fromNewLinkREsponses!C37</f>
        <v>Phone Busy</v>
      </c>
      <c r="H74" s="16">
        <f>fromNewLinkREsponses!G37</f>
        <v>0</v>
      </c>
      <c r="I74" t="b">
        <f t="shared" si="1"/>
        <v>0</v>
      </c>
    </row>
    <row r="75" spans="1:9" ht="15.75" thickBot="1" x14ac:dyDescent="0.3">
      <c r="A75">
        <f>F75</f>
        <v>9322297743</v>
      </c>
      <c r="B75" s="34">
        <v>45942.648761574077</v>
      </c>
      <c r="C75" s="21"/>
      <c r="D75" s="23" t="s">
        <v>17</v>
      </c>
      <c r="E75" s="23" t="s">
        <v>246</v>
      </c>
      <c r="F75" s="25">
        <v>9322297743</v>
      </c>
      <c r="G75" s="23" t="s">
        <v>1010</v>
      </c>
      <c r="H75" s="16"/>
      <c r="I75" t="b">
        <f t="shared" si="1"/>
        <v>0</v>
      </c>
    </row>
    <row r="76" spans="1:9" ht="15.75" thickBot="1" x14ac:dyDescent="0.3">
      <c r="A76">
        <f>F76</f>
        <v>9322335162</v>
      </c>
      <c r="B76" s="29">
        <f>fromNewLinkREsponses!A118</f>
        <v>45668.766956018517</v>
      </c>
      <c r="C76" s="6" t="str">
        <f>fromNewLinkREsponses!B118</f>
        <v>jyotis1311@gmail.com</v>
      </c>
      <c r="D76" s="6" t="str">
        <f>fromNewLinkREsponses!D118</f>
        <v>Jyotsna Sohan Sarda</v>
      </c>
      <c r="E76" s="6" t="str">
        <f>fromNewLinkREsponses!E118</f>
        <v>Durga Gajanand Bharadia</v>
      </c>
      <c r="F76" s="6">
        <f>fromNewLinkREsponses!F118</f>
        <v>9322335162</v>
      </c>
      <c r="G76" s="7" t="str">
        <f>fromNewLinkREsponses!C118</f>
        <v>Not Reachable</v>
      </c>
      <c r="H76" s="16" t="str">
        <f>fromNewLinkREsponses!G118</f>
        <v>Not picked up</v>
      </c>
      <c r="I76" t="b">
        <f t="shared" si="1"/>
        <v>0</v>
      </c>
    </row>
    <row r="77" spans="1:9" ht="15.75" thickBot="1" x14ac:dyDescent="0.3">
      <c r="A77">
        <f>F77</f>
        <v>9322397174</v>
      </c>
      <c r="B77" s="34">
        <f>fromNewLinkREsponses!A24</f>
        <v>45668.57613425926</v>
      </c>
      <c r="C77" s="23" t="str">
        <f>fromNewLinkREsponses!B24</f>
        <v>jagdish.lahoti92@gmail.com</v>
      </c>
      <c r="D77" s="23" t="str">
        <f>fromNewLinkREsponses!D24</f>
        <v>Jagdish Rameshchand Lahoti</v>
      </c>
      <c r="E77" s="23" t="str">
        <f>fromNewLinkREsponses!E24</f>
        <v>Madhusudan Narayanlal Sarda</v>
      </c>
      <c r="F77" s="23">
        <f>fromNewLinkREsponses!F24</f>
        <v>9322397174</v>
      </c>
      <c r="G77" s="25" t="str">
        <f>fromNewLinkREsponses!C24</f>
        <v>Confirmed Presence</v>
      </c>
      <c r="H77" s="16">
        <f>fromNewLinkREsponses!G24</f>
        <v>0</v>
      </c>
      <c r="I77" t="b">
        <f t="shared" si="1"/>
        <v>0</v>
      </c>
    </row>
    <row r="78" spans="1:9" ht="15.75" thickBot="1" x14ac:dyDescent="0.3">
      <c r="A78">
        <f>F78</f>
        <v>9322598681</v>
      </c>
      <c r="B78" s="29">
        <f>fromNewLinkREsponses!A174</f>
        <v>45699.585289351853</v>
      </c>
      <c r="C78" s="6" t="str">
        <f>fromNewLinkREsponses!B174</f>
        <v>prdhoot@gmail.com</v>
      </c>
      <c r="D78" s="6" t="str">
        <f>fromNewLinkREsponses!D174</f>
        <v>Prateek Ramesh Dhoot</v>
      </c>
      <c r="E78" s="6" t="str">
        <f>fromNewLinkREsponses!E174</f>
        <v>Gulab Bhanwar Jajoo</v>
      </c>
      <c r="F78" s="6">
        <f>fromNewLinkREsponses!F174</f>
        <v>9322598681</v>
      </c>
      <c r="G78" s="7" t="str">
        <f>fromNewLinkREsponses!C174</f>
        <v>Not Reachable</v>
      </c>
      <c r="H78" s="16" t="str">
        <f>fromNewLinkREsponses!G174</f>
        <v>phone not picking</v>
      </c>
      <c r="I78" t="b">
        <f t="shared" si="1"/>
        <v>0</v>
      </c>
    </row>
    <row r="79" spans="1:9" ht="15.75" thickBot="1" x14ac:dyDescent="0.3">
      <c r="A79">
        <f>F79</f>
        <v>9322874559</v>
      </c>
      <c r="B79" s="34" t="str">
        <f>fromNewLinkREsponses!A4</f>
        <v>31/10/2025 11:53:47</v>
      </c>
      <c r="C79" s="23" t="str">
        <f>fromNewLinkREsponses!B4</f>
        <v>ratishmoondra@gmail.com</v>
      </c>
      <c r="D79" s="23" t="str">
        <f>fromNewLinkREsponses!D4</f>
        <v>Shri Ratishji Mundhra</v>
      </c>
      <c r="E79" s="23" t="str">
        <f>fromNewLinkREsponses!E4</f>
        <v>Sureshkumar Girdharilal Sarda</v>
      </c>
      <c r="F79" s="23">
        <f>fromNewLinkREsponses!F4</f>
        <v>9322874559</v>
      </c>
      <c r="G79" s="25" t="str">
        <f>fromNewLinkREsponses!C4</f>
        <v>Not Reachable</v>
      </c>
      <c r="H79" s="16">
        <f>fromNewLinkREsponses!G4</f>
        <v>0</v>
      </c>
      <c r="I79" t="b">
        <f t="shared" si="1"/>
        <v>0</v>
      </c>
    </row>
    <row r="80" spans="1:9" ht="15.75" thickBot="1" x14ac:dyDescent="0.3">
      <c r="A80">
        <f>F80</f>
        <v>9322896944</v>
      </c>
      <c r="B80" s="34">
        <f>fromNewLinkREsponses!A86</f>
        <v>45668.675254629627</v>
      </c>
      <c r="C80" s="23" t="str">
        <f>fromNewLinkREsponses!B86</f>
        <v>caprachirathi@gmail.com</v>
      </c>
      <c r="D80" s="23" t="str">
        <f>fromNewLinkREsponses!D86</f>
        <v>Prachi Ankit Kabra</v>
      </c>
      <c r="E80" s="23" t="str">
        <f>fromNewLinkREsponses!E86</f>
        <v>Prahladrai Jugalkishore Somani</v>
      </c>
      <c r="F80" s="23">
        <f>fromNewLinkREsponses!F86</f>
        <v>9322896944</v>
      </c>
      <c r="G80" s="25" t="str">
        <f>fromNewLinkREsponses!C86</f>
        <v>May be Attending</v>
      </c>
      <c r="H80" s="16" t="str">
        <f>fromNewLinkREsponses!G86</f>
        <v>Daughter in law might attend</v>
      </c>
      <c r="I80" t="b">
        <f t="shared" si="1"/>
        <v>0</v>
      </c>
    </row>
    <row r="81" spans="1:9" ht="15.75" thickBot="1" x14ac:dyDescent="0.3">
      <c r="A81">
        <f>F81</f>
        <v>9323053856</v>
      </c>
      <c r="B81" s="29">
        <v>45941.575960648152</v>
      </c>
      <c r="C81" s="15"/>
      <c r="D81" s="6" t="s">
        <v>47</v>
      </c>
      <c r="E81" s="6" t="s">
        <v>593</v>
      </c>
      <c r="F81" s="7">
        <v>9323053856</v>
      </c>
      <c r="G81" s="6" t="s">
        <v>1011</v>
      </c>
      <c r="H81" s="16"/>
      <c r="I81" t="b">
        <f t="shared" si="1"/>
        <v>0</v>
      </c>
    </row>
    <row r="82" spans="1:9" ht="15.75" thickBot="1" x14ac:dyDescent="0.3">
      <c r="A82">
        <f>F82</f>
        <v>9323188245</v>
      </c>
      <c r="B82" s="34">
        <f>fromNewLinkREsponses!A42</f>
        <v>45668.584594907406</v>
      </c>
      <c r="C82" s="23" t="str">
        <f>fromNewLinkREsponses!B42</f>
        <v>jagdish.lahoti92@gmail.com</v>
      </c>
      <c r="D82" s="23" t="str">
        <f>fromNewLinkREsponses!D42</f>
        <v>Jagdish Rameshchand Lahoti</v>
      </c>
      <c r="E82" s="23" t="str">
        <f>fromNewLinkREsponses!E42</f>
        <v>Vinod Ramswaroop Pungalia</v>
      </c>
      <c r="F82" s="23">
        <f>fromNewLinkREsponses!F42</f>
        <v>9323188245</v>
      </c>
      <c r="G82" s="25" t="str">
        <f>fromNewLinkREsponses!C42</f>
        <v>May be Attending</v>
      </c>
      <c r="H82" s="16">
        <f>fromNewLinkREsponses!G42</f>
        <v>0</v>
      </c>
      <c r="I82" t="b">
        <f t="shared" si="1"/>
        <v>0</v>
      </c>
    </row>
    <row r="83" spans="1:9" ht="15.75" thickBot="1" x14ac:dyDescent="0.3">
      <c r="A83">
        <f>F83</f>
        <v>9323284295</v>
      </c>
      <c r="B83" s="35">
        <v>45958.874571759261</v>
      </c>
      <c r="C83" s="22"/>
      <c r="D83" s="24" t="s">
        <v>43</v>
      </c>
      <c r="E83" s="24" t="s">
        <v>259</v>
      </c>
      <c r="F83" s="26">
        <v>9323284295</v>
      </c>
      <c r="G83" s="24" t="s">
        <v>1011</v>
      </c>
      <c r="H83" s="18" t="s">
        <v>1031</v>
      </c>
      <c r="I83" t="b">
        <f t="shared" si="1"/>
        <v>0</v>
      </c>
    </row>
    <row r="84" spans="1:9" ht="15.75" thickBot="1" x14ac:dyDescent="0.3">
      <c r="A84">
        <f>F84</f>
        <v>9323549794</v>
      </c>
      <c r="B84" s="34">
        <f>fromNewLinkREsponses!A96</f>
        <v>45668.686620370368</v>
      </c>
      <c r="C84" s="23" t="str">
        <f>fromNewLinkREsponses!B96</f>
        <v>akajainca@gmail.com</v>
      </c>
      <c r="D84" s="23" t="str">
        <f>fromNewLinkREsponses!D96</f>
        <v>Akansha Rahul Somani</v>
      </c>
      <c r="E84" s="23" t="str">
        <f>fromNewLinkREsponses!E96</f>
        <v>Jugalkishor Mohanlal Jhawar</v>
      </c>
      <c r="F84" s="23">
        <f>fromNewLinkREsponses!F96</f>
        <v>9323549794</v>
      </c>
      <c r="G84" s="25" t="str">
        <f>fromNewLinkREsponses!C96</f>
        <v>Confirmed Presence</v>
      </c>
      <c r="H84" s="16">
        <f>fromNewLinkREsponses!G96</f>
        <v>0</v>
      </c>
      <c r="I84" t="b">
        <f t="shared" si="1"/>
        <v>0</v>
      </c>
    </row>
    <row r="85" spans="1:9" ht="15.75" thickBot="1" x14ac:dyDescent="0.3">
      <c r="A85">
        <f>F85</f>
        <v>9323589700</v>
      </c>
      <c r="B85" s="29">
        <f>fromNewLinkREsponses!A189</f>
        <v>45699.678935185184</v>
      </c>
      <c r="C85" s="6" t="str">
        <f>fromNewLinkREsponses!B189</f>
        <v>sagar.bhattad066@gmail.com</v>
      </c>
      <c r="D85" s="6" t="str">
        <f>fromNewLinkREsponses!D189</f>
        <v>Sagar Sampat Bhattad</v>
      </c>
      <c r="E85" s="6" t="str">
        <f>fromNewLinkREsponses!E189</f>
        <v>Pankaj Maganlal Rathi</v>
      </c>
      <c r="F85" s="6">
        <f>fromNewLinkREsponses!F189</f>
        <v>9323589700</v>
      </c>
      <c r="G85" s="7" t="str">
        <f>fromNewLinkREsponses!C189</f>
        <v>Confirmed Presence</v>
      </c>
      <c r="H85" s="16" t="str">
        <f>fromNewLinkREsponses!G189</f>
        <v>Registered for 1</v>
      </c>
      <c r="I85" t="b">
        <f t="shared" si="1"/>
        <v>0</v>
      </c>
    </row>
    <row r="86" spans="1:9" ht="15.75" thickBot="1" x14ac:dyDescent="0.3">
      <c r="A86">
        <f>F86</f>
        <v>9323698838</v>
      </c>
      <c r="B86" s="34">
        <f>fromNewLinkREsponses!A95</f>
        <v>45668.68608796296</v>
      </c>
      <c r="C86" s="23" t="str">
        <f>fromNewLinkREsponses!B95</f>
        <v>akajainca@gmail.com</v>
      </c>
      <c r="D86" s="23" t="str">
        <f>fromNewLinkREsponses!D95</f>
        <v>Akansha Rahul Somani</v>
      </c>
      <c r="E86" s="23" t="str">
        <f>fromNewLinkREsponses!E95</f>
        <v>Jagdish Rameshwarlal Agal</v>
      </c>
      <c r="F86" s="23">
        <f>fromNewLinkREsponses!F95</f>
        <v>9323698838</v>
      </c>
      <c r="G86" s="25" t="str">
        <f>fromNewLinkREsponses!C95</f>
        <v>Phone Busy</v>
      </c>
      <c r="H86" s="16">
        <f>fromNewLinkREsponses!G95</f>
        <v>0</v>
      </c>
      <c r="I86" t="b">
        <f t="shared" si="1"/>
        <v>0</v>
      </c>
    </row>
    <row r="87" spans="1:9" ht="15.75" thickBot="1" x14ac:dyDescent="0.3">
      <c r="A87">
        <f>F87</f>
        <v>9323852536</v>
      </c>
      <c r="B87" s="29">
        <v>45958.878645833334</v>
      </c>
      <c r="C87" s="15"/>
      <c r="D87" s="6" t="s">
        <v>43</v>
      </c>
      <c r="E87" s="6" t="s">
        <v>44</v>
      </c>
      <c r="F87" s="7">
        <v>9323852536</v>
      </c>
      <c r="G87" s="6" t="s">
        <v>1010</v>
      </c>
      <c r="H87" s="17" t="s">
        <v>1114</v>
      </c>
      <c r="I87" t="b">
        <f t="shared" si="1"/>
        <v>0</v>
      </c>
    </row>
    <row r="88" spans="1:9" ht="15.75" thickBot="1" x14ac:dyDescent="0.3">
      <c r="A88">
        <f>F88</f>
        <v>9323908004</v>
      </c>
      <c r="B88" s="34">
        <f>fromNewLinkREsponses!A58</f>
        <v>45668.620451388888</v>
      </c>
      <c r="C88" s="23" t="str">
        <f>fromNewLinkREsponses!B58</f>
        <v>trysachin@gmail.com</v>
      </c>
      <c r="D88" s="23" t="str">
        <f>fromNewLinkREsponses!D58</f>
        <v>Khushboo Sachin Dhoot</v>
      </c>
      <c r="E88" s="23" t="str">
        <f>fromNewLinkREsponses!E58</f>
        <v>Anup - Maheshwari</v>
      </c>
      <c r="F88" s="23">
        <f>fromNewLinkREsponses!F58</f>
        <v>9323908004</v>
      </c>
      <c r="G88" s="25" t="str">
        <f>fromNewLinkREsponses!C58</f>
        <v>Not Reachable</v>
      </c>
      <c r="H88" s="16" t="str">
        <f>fromNewLinkREsponses!G58</f>
        <v>Wrong Number</v>
      </c>
      <c r="I88" t="b">
        <f t="shared" si="1"/>
        <v>0</v>
      </c>
    </row>
    <row r="89" spans="1:9" ht="15.75" thickBot="1" x14ac:dyDescent="0.3">
      <c r="A89">
        <f>F89</f>
        <v>9323930259</v>
      </c>
      <c r="B89" s="34" t="str">
        <f>fromNewLinkREsponses!A14</f>
        <v>31/10/2025 22:18:00</v>
      </c>
      <c r="C89" s="23" t="str">
        <f>fromNewLinkREsponses!B14</f>
        <v>nikechandak@gmail.com</v>
      </c>
      <c r="D89" s="23" t="str">
        <f>fromNewLinkREsponses!D14</f>
        <v>Shri Nikhilji Chandak</v>
      </c>
      <c r="E89" s="23" t="str">
        <f>fromNewLinkREsponses!E14</f>
        <v>Satish Labhchand Totla</v>
      </c>
      <c r="F89" s="23">
        <f>fromNewLinkREsponses!F14</f>
        <v>9323930259</v>
      </c>
      <c r="G89" s="25" t="str">
        <f>fromNewLinkREsponses!C14</f>
        <v>Not Reachable</v>
      </c>
      <c r="H89" s="16">
        <f>fromNewLinkREsponses!G14</f>
        <v>0</v>
      </c>
      <c r="I89" t="b">
        <f t="shared" si="1"/>
        <v>0</v>
      </c>
    </row>
    <row r="90" spans="1:9" ht="15.75" thickBot="1" x14ac:dyDescent="0.3">
      <c r="A90">
        <f>F90</f>
        <v>9323949574</v>
      </c>
      <c r="B90" s="35">
        <v>45943.493206018517</v>
      </c>
      <c r="C90" s="22"/>
      <c r="D90" s="24" t="s">
        <v>800</v>
      </c>
      <c r="E90" s="24" t="s">
        <v>915</v>
      </c>
      <c r="F90" s="26">
        <v>9323949574</v>
      </c>
      <c r="G90" s="24" t="s">
        <v>1011</v>
      </c>
      <c r="H90" s="18" t="s">
        <v>1030</v>
      </c>
      <c r="I90" t="b">
        <f t="shared" si="1"/>
        <v>0</v>
      </c>
    </row>
    <row r="91" spans="1:9" ht="15.75" thickBot="1" x14ac:dyDescent="0.3">
      <c r="A91">
        <f>F91</f>
        <v>9324051973</v>
      </c>
      <c r="B91" s="29">
        <f>fromNewLinkREsponses!A39</f>
        <v>45668.582905092589</v>
      </c>
      <c r="C91" s="6" t="str">
        <f>fromNewLinkREsponses!B39</f>
        <v>jagdish.lahoti92@gmail.com</v>
      </c>
      <c r="D91" s="6" t="str">
        <f>fromNewLinkREsponses!D39</f>
        <v>Jagdish Rameshchand Lahoti</v>
      </c>
      <c r="E91" s="6" t="str">
        <f>fromNewLinkREsponses!E39</f>
        <v>Ramanuj Ramakishan Soni</v>
      </c>
      <c r="F91" s="6">
        <f>fromNewLinkREsponses!F39</f>
        <v>9324051973</v>
      </c>
      <c r="G91" s="7" t="str">
        <f>fromNewLinkREsponses!C39</f>
        <v>Not Coming</v>
      </c>
      <c r="H91" s="16">
        <f>fromNewLinkREsponses!G39</f>
        <v>0</v>
      </c>
      <c r="I91" t="b">
        <f t="shared" si="1"/>
        <v>0</v>
      </c>
    </row>
    <row r="92" spans="1:9" ht="15.75" thickBot="1" x14ac:dyDescent="0.3">
      <c r="A92">
        <f>F92</f>
        <v>9324059577</v>
      </c>
      <c r="B92" s="29">
        <f>fromNewLinkREsponses!A104</f>
        <v>45668.690613425926</v>
      </c>
      <c r="C92" s="6" t="str">
        <f>fromNewLinkREsponses!B104</f>
        <v>akajainca@gmail.com</v>
      </c>
      <c r="D92" s="6" t="str">
        <f>fromNewLinkREsponses!D104</f>
        <v>Akansha Rahul Somani</v>
      </c>
      <c r="E92" s="6" t="str">
        <f>fromNewLinkREsponses!E104</f>
        <v>Ramniwas Mansaram Sarda</v>
      </c>
      <c r="F92" s="6">
        <f>fromNewLinkREsponses!F104</f>
        <v>9324059577</v>
      </c>
      <c r="G92" s="7" t="str">
        <f>fromNewLinkREsponses!C104</f>
        <v>Not Coming</v>
      </c>
      <c r="H92" s="16">
        <f>fromNewLinkREsponses!G104</f>
        <v>0</v>
      </c>
      <c r="I92" t="b">
        <f t="shared" si="1"/>
        <v>0</v>
      </c>
    </row>
    <row r="93" spans="1:9" ht="15.75" thickBot="1" x14ac:dyDescent="0.3">
      <c r="A93">
        <f>F93</f>
        <v>9324163209</v>
      </c>
      <c r="B93" s="29">
        <v>45944.769050925926</v>
      </c>
      <c r="C93" s="15"/>
      <c r="D93" s="6" t="s">
        <v>45</v>
      </c>
      <c r="E93" s="6" t="s">
        <v>687</v>
      </c>
      <c r="F93" s="7">
        <v>9324163209</v>
      </c>
      <c r="G93" s="6" t="s">
        <v>1013</v>
      </c>
      <c r="H93" s="17" t="s">
        <v>1032</v>
      </c>
      <c r="I93" t="b">
        <f t="shared" si="1"/>
        <v>0</v>
      </c>
    </row>
    <row r="94" spans="1:9" ht="15.75" thickBot="1" x14ac:dyDescent="0.3">
      <c r="A94">
        <f>F94</f>
        <v>9324285448</v>
      </c>
      <c r="B94" s="34" t="str">
        <f>fromNewLinkREsponses!A11</f>
        <v>31/10/2025 22:02:55</v>
      </c>
      <c r="C94" s="23" t="str">
        <f>fromNewLinkREsponses!B11</f>
        <v>nikechandak@gmail.com</v>
      </c>
      <c r="D94" s="23" t="str">
        <f>fromNewLinkREsponses!D11</f>
        <v>Shri Nikhilji Chandak</v>
      </c>
      <c r="E94" s="23" t="str">
        <f>fromNewLinkREsponses!E11</f>
        <v>Unmesh Shrikant Bhandari</v>
      </c>
      <c r="F94" s="23">
        <f>fromNewLinkREsponses!F11</f>
        <v>9324285448</v>
      </c>
      <c r="G94" s="25" t="str">
        <f>fromNewLinkREsponses!C11</f>
        <v>Confirmed Presence</v>
      </c>
      <c r="H94" s="16">
        <f>fromNewLinkREsponses!G11</f>
        <v>0</v>
      </c>
      <c r="I94" t="b">
        <f t="shared" si="1"/>
        <v>0</v>
      </c>
    </row>
    <row r="95" spans="1:9" ht="15.75" thickBot="1" x14ac:dyDescent="0.3">
      <c r="A95">
        <f>F95</f>
        <v>9324287945</v>
      </c>
      <c r="B95" s="34">
        <v>45941.593622685185</v>
      </c>
      <c r="C95" s="21"/>
      <c r="D95" s="23" t="s">
        <v>47</v>
      </c>
      <c r="E95" s="23" t="s">
        <v>213</v>
      </c>
      <c r="F95" s="25">
        <v>9324287945</v>
      </c>
      <c r="G95" s="23" t="s">
        <v>1012</v>
      </c>
      <c r="H95" s="16"/>
      <c r="I95" t="b">
        <f t="shared" si="1"/>
        <v>0</v>
      </c>
    </row>
    <row r="96" spans="1:9" ht="15.75" thickBot="1" x14ac:dyDescent="0.3">
      <c r="A96">
        <f>F96</f>
        <v>9324309045</v>
      </c>
      <c r="B96" s="29">
        <v>45941.582037037035</v>
      </c>
      <c r="C96" s="15"/>
      <c r="D96" s="6" t="s">
        <v>47</v>
      </c>
      <c r="E96" s="6" t="s">
        <v>48</v>
      </c>
      <c r="F96" s="7">
        <v>9324309045</v>
      </c>
      <c r="G96" s="6" t="s">
        <v>1010</v>
      </c>
      <c r="H96" s="16"/>
      <c r="I96" t="b">
        <f t="shared" si="1"/>
        <v>0</v>
      </c>
    </row>
    <row r="97" spans="1:9" ht="15.75" thickBot="1" x14ac:dyDescent="0.3">
      <c r="A97">
        <f>F97</f>
        <v>9324403905</v>
      </c>
      <c r="B97" s="34">
        <f>fromNewLinkREsponses!A134</f>
        <v>45699.429606481484</v>
      </c>
      <c r="C97" s="23" t="str">
        <f>fromNewLinkREsponses!B134</f>
        <v>rassawa@gmail.com</v>
      </c>
      <c r="D97" s="23" t="str">
        <f>fromNewLinkREsponses!D134</f>
        <v>Rahul Omshankar Assawa</v>
      </c>
      <c r="E97" s="23" t="str">
        <f>fromNewLinkREsponses!E134</f>
        <v>Girish Rajkumar Kabra</v>
      </c>
      <c r="F97" s="23">
        <f>fromNewLinkREsponses!F134</f>
        <v>9324403905</v>
      </c>
      <c r="G97" s="25" t="str">
        <f>fromNewLinkREsponses!C134</f>
        <v>Not Coming</v>
      </c>
      <c r="H97" s="16" t="str">
        <f>fromNewLinkREsponses!G134</f>
        <v>Wrong number</v>
      </c>
      <c r="I97" t="b">
        <f t="shared" si="1"/>
        <v>0</v>
      </c>
    </row>
    <row r="98" spans="1:9" ht="15.75" thickBot="1" x14ac:dyDescent="0.3">
      <c r="A98">
        <f>F98</f>
        <v>9324471438</v>
      </c>
      <c r="B98" s="29">
        <v>45956.615358796298</v>
      </c>
      <c r="C98" s="15"/>
      <c r="D98" s="6" t="s">
        <v>73</v>
      </c>
      <c r="E98" s="6" t="s">
        <v>416</v>
      </c>
      <c r="F98" s="7">
        <v>9324471438</v>
      </c>
      <c r="G98" s="6" t="s">
        <v>1011</v>
      </c>
      <c r="H98" s="16"/>
      <c r="I98" t="b">
        <f t="shared" si="1"/>
        <v>0</v>
      </c>
    </row>
    <row r="99" spans="1:9" ht="15.75" thickBot="1" x14ac:dyDescent="0.3">
      <c r="A99">
        <f>F99</f>
        <v>9324474949</v>
      </c>
      <c r="B99" s="28">
        <v>45942.453842592593</v>
      </c>
      <c r="C99" s="13"/>
      <c r="D99" s="1" t="s">
        <v>49</v>
      </c>
      <c r="E99" s="1" t="s">
        <v>546</v>
      </c>
      <c r="F99" s="2">
        <v>9324474949</v>
      </c>
      <c r="G99" s="1" t="s">
        <v>1010</v>
      </c>
      <c r="H99" s="14"/>
      <c r="I99" t="b">
        <f t="shared" si="1"/>
        <v>0</v>
      </c>
    </row>
    <row r="100" spans="1:9" ht="15.75" thickBot="1" x14ac:dyDescent="0.3">
      <c r="A100">
        <f>F100</f>
        <v>9324478418</v>
      </c>
      <c r="B100" s="29">
        <v>45957.887615740743</v>
      </c>
      <c r="C100" s="15"/>
      <c r="D100" s="6" t="s">
        <v>33</v>
      </c>
      <c r="E100" s="6" t="s">
        <v>633</v>
      </c>
      <c r="F100" s="7">
        <v>9324478418</v>
      </c>
      <c r="G100" s="6" t="s">
        <v>1010</v>
      </c>
      <c r="H100" s="17" t="s">
        <v>1044</v>
      </c>
      <c r="I100" t="b">
        <f t="shared" si="1"/>
        <v>0</v>
      </c>
    </row>
    <row r="101" spans="1:9" ht="15.75" thickBot="1" x14ac:dyDescent="0.3">
      <c r="A101">
        <f>F101</f>
        <v>9324543199</v>
      </c>
      <c r="B101" s="34">
        <f>fromNewLinkREsponses!A150</f>
        <v>45699.441331018519</v>
      </c>
      <c r="C101" s="23" t="str">
        <f>fromNewLinkREsponses!B150</f>
        <v>onlinevdarak@gmail.com</v>
      </c>
      <c r="D101" s="23" t="str">
        <f>fromNewLinkREsponses!D150</f>
        <v>Varun Kanhaiyalal Darak</v>
      </c>
      <c r="E101" s="23" t="str">
        <f>fromNewLinkREsponses!E150</f>
        <v>Suresh Chandra Bansilal Kabra</v>
      </c>
      <c r="F101" s="23">
        <f>fromNewLinkREsponses!F150</f>
        <v>9324543199</v>
      </c>
      <c r="G101" s="25" t="str">
        <f>fromNewLinkREsponses!C150</f>
        <v>Confirmed Presence</v>
      </c>
      <c r="H101" s="16" t="str">
        <f>fromNewLinkREsponses!G150</f>
        <v>Will be attending</v>
      </c>
      <c r="I101" t="b">
        <f t="shared" si="1"/>
        <v>0</v>
      </c>
    </row>
    <row r="102" spans="1:9" ht="15.75" thickBot="1" x14ac:dyDescent="0.3">
      <c r="A102">
        <f>F102</f>
        <v>9324545321</v>
      </c>
      <c r="B102" s="35">
        <v>45941.582905092589</v>
      </c>
      <c r="C102" s="22"/>
      <c r="D102" s="24" t="s">
        <v>47</v>
      </c>
      <c r="E102" s="24" t="s">
        <v>640</v>
      </c>
      <c r="F102" s="26">
        <v>9324545321</v>
      </c>
      <c r="G102" s="24" t="s">
        <v>1011</v>
      </c>
      <c r="H102" s="14"/>
      <c r="I102" t="b">
        <f t="shared" si="1"/>
        <v>0</v>
      </c>
    </row>
    <row r="103" spans="1:9" ht="15.75" thickBot="1" x14ac:dyDescent="0.3">
      <c r="A103">
        <f>F103</f>
        <v>9324604104</v>
      </c>
      <c r="B103" s="34">
        <v>45956.610891203702</v>
      </c>
      <c r="C103" s="21"/>
      <c r="D103" s="23" t="s">
        <v>73</v>
      </c>
      <c r="E103" s="23" t="s">
        <v>701</v>
      </c>
      <c r="F103" s="25">
        <v>9324604104</v>
      </c>
      <c r="G103" s="23" t="s">
        <v>1012</v>
      </c>
      <c r="H103" s="16"/>
      <c r="I103" t="b">
        <f t="shared" si="1"/>
        <v>0</v>
      </c>
    </row>
    <row r="104" spans="1:9" ht="15.75" thickBot="1" x14ac:dyDescent="0.3">
      <c r="A104">
        <f>F104</f>
        <v>9324607730</v>
      </c>
      <c r="B104" s="34">
        <f>fromNewLinkREsponses!A131</f>
        <v>45699.424756944441</v>
      </c>
      <c r="C104" s="23" t="str">
        <f>fromNewLinkREsponses!B131</f>
        <v>onlinevdarak@gmail.com</v>
      </c>
      <c r="D104" s="23" t="str">
        <f>fromNewLinkREsponses!D131</f>
        <v>Varun Kanhaiyalal Darak</v>
      </c>
      <c r="E104" s="23" t="str">
        <f>fromNewLinkREsponses!E131</f>
        <v>Deepak Rupnarayan Saboo</v>
      </c>
      <c r="F104" s="23">
        <f>fromNewLinkREsponses!F131</f>
        <v>9324607730</v>
      </c>
      <c r="G104" s="25">
        <f>fromNewLinkREsponses!C131</f>
        <v>0</v>
      </c>
      <c r="H104" s="16" t="str">
        <f>fromNewLinkREsponses!G131</f>
        <v>Said will be attending</v>
      </c>
      <c r="I104" t="b">
        <f t="shared" si="1"/>
        <v>0</v>
      </c>
    </row>
    <row r="105" spans="1:9" ht="15.75" thickBot="1" x14ac:dyDescent="0.3">
      <c r="A105">
        <f>F105</f>
        <v>9324645508</v>
      </c>
      <c r="B105" s="29">
        <v>45942.657604166663</v>
      </c>
      <c r="C105" s="15"/>
      <c r="D105" s="6" t="s">
        <v>17</v>
      </c>
      <c r="E105" s="6" t="s">
        <v>293</v>
      </c>
      <c r="F105" s="7">
        <v>9324645508</v>
      </c>
      <c r="G105" s="6" t="s">
        <v>1025</v>
      </c>
      <c r="H105" s="17" t="s">
        <v>1026</v>
      </c>
      <c r="I105" t="b">
        <f t="shared" si="1"/>
        <v>0</v>
      </c>
    </row>
    <row r="106" spans="1:9" ht="15.75" thickBot="1" x14ac:dyDescent="0.3">
      <c r="A106">
        <f>F106</f>
        <v>9324698060</v>
      </c>
      <c r="B106" s="34">
        <f>fromNewLinkREsponses!A50</f>
        <v>45668.590277777781</v>
      </c>
      <c r="C106" s="23" t="str">
        <f>fromNewLinkREsponses!B50</f>
        <v>impt85@gmail.com</v>
      </c>
      <c r="D106" s="23" t="str">
        <f>fromNewLinkREsponses!D50</f>
        <v>Shri Premji Taparia</v>
      </c>
      <c r="E106" s="23" t="str">
        <f>fromNewLinkREsponses!E50</f>
        <v>Roshanlal Deepchand Mundra</v>
      </c>
      <c r="F106" s="23">
        <f>fromNewLinkREsponses!F50</f>
        <v>9324698060</v>
      </c>
      <c r="G106" s="25" t="str">
        <f>fromNewLinkREsponses!C50</f>
        <v>Confirmed Presence</v>
      </c>
      <c r="H106" s="16">
        <f>fromNewLinkREsponses!G50</f>
        <v>0</v>
      </c>
      <c r="I106" t="b">
        <f t="shared" si="1"/>
        <v>0</v>
      </c>
    </row>
    <row r="107" spans="1:9" ht="15.75" thickBot="1" x14ac:dyDescent="0.3">
      <c r="A107">
        <f>F107</f>
        <v>9324777747</v>
      </c>
      <c r="B107" s="29">
        <v>45942.436840277776</v>
      </c>
      <c r="C107" s="15"/>
      <c r="D107" s="6" t="s">
        <v>49</v>
      </c>
      <c r="E107" s="6" t="s">
        <v>689</v>
      </c>
      <c r="F107" s="7">
        <v>9324777747</v>
      </c>
      <c r="G107" s="6" t="s">
        <v>1010</v>
      </c>
      <c r="H107" s="16"/>
      <c r="I107" t="b">
        <f t="shared" si="1"/>
        <v>0</v>
      </c>
    </row>
    <row r="108" spans="1:9" ht="15.75" thickBot="1" x14ac:dyDescent="0.3">
      <c r="A108">
        <f>F108</f>
        <v>9324811111</v>
      </c>
      <c r="B108" s="34" t="str">
        <f>fromNewLinkREsponses!A5</f>
        <v>31/10/2025 21:44:16</v>
      </c>
      <c r="C108" s="23" t="str">
        <f>fromNewLinkREsponses!B5</f>
        <v>nikechandak@gmail.com</v>
      </c>
      <c r="D108" s="23" t="str">
        <f>fromNewLinkREsponses!D5</f>
        <v>Shri Nikhilji Chandak</v>
      </c>
      <c r="E108" s="23" t="str">
        <f>fromNewLinkREsponses!E5</f>
        <v>Rajkumar Shyamsunder Saboo</v>
      </c>
      <c r="F108" s="23">
        <f>fromNewLinkREsponses!F5</f>
        <v>9324811111</v>
      </c>
      <c r="G108" s="25" t="str">
        <f>fromNewLinkREsponses!C5</f>
        <v>Confirmed Presence</v>
      </c>
      <c r="H108" s="16" t="str">
        <f>fromNewLinkREsponses!G5</f>
        <v>2 member ll join</v>
      </c>
      <c r="I108" t="b">
        <f t="shared" si="1"/>
        <v>0</v>
      </c>
    </row>
    <row r="109" spans="1:9" ht="15.75" thickBot="1" x14ac:dyDescent="0.3">
      <c r="A109">
        <f>F109</f>
        <v>9324812699</v>
      </c>
      <c r="B109" s="29">
        <f>fromNewLinkREsponses!A139</f>
        <v>45699.432858796295</v>
      </c>
      <c r="C109" s="6" t="str">
        <f>fromNewLinkREsponses!B139</f>
        <v>onlinevdarak@gmail.com</v>
      </c>
      <c r="D109" s="6" t="str">
        <f>fromNewLinkREsponses!D139</f>
        <v>Varun Kanhaiyalal Darak</v>
      </c>
      <c r="E109" s="6" t="str">
        <f>fromNewLinkREsponses!E139</f>
        <v>Sampatkumar Krishnagopal Jajoo</v>
      </c>
      <c r="F109" s="6">
        <f>fromNewLinkREsponses!F139</f>
        <v>9324812699</v>
      </c>
      <c r="G109" s="7" t="str">
        <f>fromNewLinkREsponses!C139</f>
        <v>Not Reachable</v>
      </c>
      <c r="H109" s="16">
        <f>fromNewLinkREsponses!G139</f>
        <v>0</v>
      </c>
      <c r="I109" t="b">
        <f t="shared" si="1"/>
        <v>0</v>
      </c>
    </row>
    <row r="110" spans="1:9" ht="15.75" thickBot="1" x14ac:dyDescent="0.3">
      <c r="A110">
        <f>F110</f>
        <v>9324819088</v>
      </c>
      <c r="B110" s="34">
        <f>fromNewLinkREsponses!A72</f>
        <v>45668.623749999999</v>
      </c>
      <c r="C110" s="23" t="str">
        <f>fromNewLinkREsponses!B72</f>
        <v>arkmantri@gmail.com</v>
      </c>
      <c r="D110" s="23" t="str">
        <f>fromNewLinkREsponses!D72</f>
        <v>Shri Avinash Mantri</v>
      </c>
      <c r="E110" s="23" t="str">
        <f>fromNewLinkREsponses!E72</f>
        <v>Ramsahay Ramratan Kabra</v>
      </c>
      <c r="F110" s="23">
        <f>fromNewLinkREsponses!F72</f>
        <v>9324819088</v>
      </c>
      <c r="G110" s="25" t="str">
        <f>fromNewLinkREsponses!C72</f>
        <v>May be Attending</v>
      </c>
      <c r="H110" s="16" t="str">
        <f>fromNewLinkREsponses!G72</f>
        <v>Will ask their children to register</v>
      </c>
      <c r="I110" t="b">
        <f t="shared" si="1"/>
        <v>0</v>
      </c>
    </row>
    <row r="111" spans="1:9" ht="15.75" thickBot="1" x14ac:dyDescent="0.3">
      <c r="A111">
        <f>F111</f>
        <v>9324998811</v>
      </c>
      <c r="B111" s="35">
        <v>45958.432916666665</v>
      </c>
      <c r="C111" s="22"/>
      <c r="D111" s="24" t="s">
        <v>35</v>
      </c>
      <c r="E111" s="24" t="s">
        <v>682</v>
      </c>
      <c r="F111" s="26">
        <v>9324998811</v>
      </c>
      <c r="G111" s="24" t="s">
        <v>1010</v>
      </c>
      <c r="H111" s="14"/>
      <c r="I111" t="b">
        <f t="shared" si="1"/>
        <v>0</v>
      </c>
    </row>
    <row r="112" spans="1:9" ht="15.75" thickBot="1" x14ac:dyDescent="0.3">
      <c r="A112">
        <f>F112</f>
        <v>9326379737</v>
      </c>
      <c r="B112" s="34">
        <v>45957.859467592592</v>
      </c>
      <c r="C112" s="21"/>
      <c r="D112" s="23" t="s">
        <v>82</v>
      </c>
      <c r="E112" s="23" t="s">
        <v>83</v>
      </c>
      <c r="F112" s="25">
        <v>9326379737</v>
      </c>
      <c r="G112" s="23" t="s">
        <v>1010</v>
      </c>
      <c r="H112" s="16"/>
      <c r="I112" t="b">
        <f t="shared" si="1"/>
        <v>0</v>
      </c>
    </row>
    <row r="113" spans="1:9" ht="26.25" thickBot="1" x14ac:dyDescent="0.3">
      <c r="A113">
        <f>F113</f>
        <v>9331055539</v>
      </c>
      <c r="B113" s="29">
        <f>fromNewLinkREsponses!A85</f>
        <v>45668.674375000002</v>
      </c>
      <c r="C113" s="6" t="str">
        <f>fromNewLinkREsponses!B85</f>
        <v>caprachirathi@gmail.com</v>
      </c>
      <c r="D113" s="6" t="str">
        <f>fromNewLinkREsponses!D85</f>
        <v>Prachi Ankit Kabra</v>
      </c>
      <c r="E113" s="6" t="str">
        <f>fromNewLinkREsponses!E85</f>
        <v>Ravi Shivkumar Bagri</v>
      </c>
      <c r="F113" s="6">
        <f>fromNewLinkREsponses!F85</f>
        <v>9331055539</v>
      </c>
      <c r="G113" s="7" t="str">
        <f>fromNewLinkREsponses!C85</f>
        <v>May be Attending</v>
      </c>
      <c r="H113" s="16" t="str">
        <f>fromNewLinkREsponses!G85</f>
        <v>If other program is cancelled, they might attend.</v>
      </c>
      <c r="I113" t="b">
        <f t="shared" si="1"/>
        <v>0</v>
      </c>
    </row>
    <row r="114" spans="1:9" ht="15.75" thickBot="1" x14ac:dyDescent="0.3">
      <c r="A114">
        <f>F114</f>
        <v>9331290465</v>
      </c>
      <c r="B114" s="28">
        <v>45956.616956018515</v>
      </c>
      <c r="C114" s="13"/>
      <c r="D114" s="1" t="s">
        <v>73</v>
      </c>
      <c r="E114" s="1" t="s">
        <v>510</v>
      </c>
      <c r="F114" s="2">
        <v>9331290465</v>
      </c>
      <c r="G114" s="1" t="s">
        <v>1010</v>
      </c>
      <c r="H114" s="14"/>
      <c r="I114" t="b">
        <f t="shared" si="1"/>
        <v>0</v>
      </c>
    </row>
    <row r="115" spans="1:9" ht="15.75" thickBot="1" x14ac:dyDescent="0.3">
      <c r="A115">
        <f>F115</f>
        <v>9339057544</v>
      </c>
      <c r="B115" s="29">
        <f>fromNewLinkREsponses!A159</f>
        <v>45699.500937500001</v>
      </c>
      <c r="C115" s="6" t="str">
        <f>fromNewLinkREsponses!B159</f>
        <v>vipin0785@gmail.com</v>
      </c>
      <c r="D115" s="6" t="str">
        <f>fromNewLinkREsponses!D159</f>
        <v>Vipin Saboo</v>
      </c>
      <c r="E115" s="6" t="str">
        <f>fromNewLinkREsponses!E159</f>
        <v>Ramchand Mohanlal Baheti</v>
      </c>
      <c r="F115" s="6">
        <f>fromNewLinkREsponses!F159</f>
        <v>9339057544</v>
      </c>
      <c r="G115" s="7" t="str">
        <f>fromNewLinkREsponses!C159</f>
        <v>Not Coming</v>
      </c>
      <c r="H115" s="16" t="str">
        <f>fromNewLinkREsponses!G159</f>
        <v>Not in town</v>
      </c>
      <c r="I115" t="b">
        <f t="shared" si="1"/>
        <v>0</v>
      </c>
    </row>
    <row r="116" spans="1:9" ht="15.75" thickBot="1" x14ac:dyDescent="0.3">
      <c r="A116">
        <f>F116</f>
        <v>9370518000</v>
      </c>
      <c r="B116" s="34">
        <v>45942.670925925922</v>
      </c>
      <c r="C116" s="21"/>
      <c r="D116" s="23" t="s">
        <v>17</v>
      </c>
      <c r="E116" s="23" t="s">
        <v>436</v>
      </c>
      <c r="F116" s="25">
        <v>9370518000</v>
      </c>
      <c r="G116" s="23" t="s">
        <v>1010</v>
      </c>
      <c r="H116" s="17" t="s">
        <v>1028</v>
      </c>
      <c r="I116" t="b">
        <f t="shared" si="1"/>
        <v>0</v>
      </c>
    </row>
    <row r="117" spans="1:9" ht="15.75" thickBot="1" x14ac:dyDescent="0.3">
      <c r="A117">
        <f>F117</f>
        <v>9413561108</v>
      </c>
      <c r="B117" s="35">
        <v>45943.701631944445</v>
      </c>
      <c r="C117" s="22"/>
      <c r="D117" s="24" t="s">
        <v>45</v>
      </c>
      <c r="E117" s="24" t="s">
        <v>260</v>
      </c>
      <c r="F117" s="26">
        <v>9413561108</v>
      </c>
      <c r="G117" s="24" t="s">
        <v>1010</v>
      </c>
      <c r="H117" s="14"/>
      <c r="I117" t="b">
        <f t="shared" si="1"/>
        <v>0</v>
      </c>
    </row>
    <row r="118" spans="1:9" ht="15.75" thickBot="1" x14ac:dyDescent="0.3">
      <c r="A118">
        <f>F118</f>
        <v>9414069059</v>
      </c>
      <c r="B118" s="34">
        <f>fromNewLinkREsponses!A59</f>
        <v>45668.620787037034</v>
      </c>
      <c r="C118" s="23" t="str">
        <f>fromNewLinkREsponses!B59</f>
        <v>trysachin@gmail.com</v>
      </c>
      <c r="D118" s="23" t="str">
        <f>fromNewLinkREsponses!D59</f>
        <v>Khushboo Sachin Dhoot</v>
      </c>
      <c r="E118" s="23" t="str">
        <f>fromNewLinkREsponses!E59</f>
        <v>Bhavaishankar Hariram Sodhani</v>
      </c>
      <c r="F118" s="23">
        <f>fromNewLinkREsponses!F59</f>
        <v>9414069059</v>
      </c>
      <c r="G118" s="25" t="str">
        <f>fromNewLinkREsponses!C59</f>
        <v>Not Coming</v>
      </c>
      <c r="H118" s="16" t="str">
        <f>fromNewLinkREsponses!G59</f>
        <v>Out of town</v>
      </c>
      <c r="I118" t="b">
        <f t="shared" si="1"/>
        <v>0</v>
      </c>
    </row>
    <row r="119" spans="1:9" ht="15.75" thickBot="1" x14ac:dyDescent="0.3">
      <c r="A119">
        <f>F119</f>
        <v>9527814992</v>
      </c>
      <c r="B119" s="29">
        <f>fromNewLinkREsponses!A190</f>
        <v>45699.803402777776</v>
      </c>
      <c r="C119" s="6" t="str">
        <f>fromNewLinkREsponses!B190</f>
        <v>soniminu71@gmail.com</v>
      </c>
      <c r="D119" s="6" t="str">
        <f>fromNewLinkREsponses!D190</f>
        <v>Meenu Lalit Soni</v>
      </c>
      <c r="E119" s="6" t="str">
        <f>fromNewLinkREsponses!E190</f>
        <v>Chetna Harshal Lathi</v>
      </c>
      <c r="F119" s="6">
        <f>fromNewLinkREsponses!F190</f>
        <v>9527814992</v>
      </c>
      <c r="G119" s="7" t="str">
        <f>fromNewLinkREsponses!C190</f>
        <v>May be Attending</v>
      </c>
      <c r="H119" s="16">
        <f>fromNewLinkREsponses!G190</f>
        <v>0</v>
      </c>
      <c r="I119" t="b">
        <f t="shared" si="1"/>
        <v>0</v>
      </c>
    </row>
    <row r="120" spans="1:9" ht="15.75" thickBot="1" x14ac:dyDescent="0.3">
      <c r="A120">
        <f>F120</f>
        <v>9529611813</v>
      </c>
      <c r="B120" s="28">
        <v>45957.885810185187</v>
      </c>
      <c r="C120" s="13"/>
      <c r="D120" s="1" t="s">
        <v>1042</v>
      </c>
      <c r="E120" s="1" t="s">
        <v>729</v>
      </c>
      <c r="F120" s="2">
        <v>9529611813</v>
      </c>
      <c r="G120" s="1" t="s">
        <v>1010</v>
      </c>
      <c r="H120" s="18" t="s">
        <v>1043</v>
      </c>
      <c r="I120" t="b">
        <f t="shared" si="1"/>
        <v>0</v>
      </c>
    </row>
    <row r="121" spans="1:9" ht="15.75" thickBot="1" x14ac:dyDescent="0.3">
      <c r="A121">
        <f>F121</f>
        <v>9579122701</v>
      </c>
      <c r="B121" s="29">
        <f>fromNewLinkREsponses!A98</f>
        <v>45668.687106481484</v>
      </c>
      <c r="C121" s="6" t="str">
        <f>fromNewLinkREsponses!B98</f>
        <v>akajainca@gmail.com</v>
      </c>
      <c r="D121" s="6" t="str">
        <f>fromNewLinkREsponses!D98</f>
        <v>Akansha Rahul Somani</v>
      </c>
      <c r="E121" s="6" t="str">
        <f>fromNewLinkREsponses!E98</f>
        <v>Niraj Rajesh Khemani</v>
      </c>
      <c r="F121" s="6">
        <f>fromNewLinkREsponses!F98</f>
        <v>9579122701</v>
      </c>
      <c r="G121" s="7" t="str">
        <f>fromNewLinkREsponses!C98</f>
        <v>Not Reachable</v>
      </c>
      <c r="H121" s="16">
        <f>fromNewLinkREsponses!G98</f>
        <v>0</v>
      </c>
      <c r="I121" t="b">
        <f t="shared" si="1"/>
        <v>0</v>
      </c>
    </row>
    <row r="122" spans="1:9" ht="15.75" thickBot="1" x14ac:dyDescent="0.3">
      <c r="A122">
        <f>F122</f>
        <v>9594929376</v>
      </c>
      <c r="B122" s="34">
        <f>fromNewLinkREsponses!A178</f>
        <v>45699.587951388887</v>
      </c>
      <c r="C122" s="23" t="str">
        <f>fromNewLinkREsponses!B178</f>
        <v>prdhoot@gmail.com</v>
      </c>
      <c r="D122" s="23" t="str">
        <f>fromNewLinkREsponses!D178</f>
        <v>Prateek Ramesh Dhoot</v>
      </c>
      <c r="E122" s="23" t="str">
        <f>fromNewLinkREsponses!E178</f>
        <v>Rajesh Babulal Hurkat</v>
      </c>
      <c r="F122" s="23">
        <f>fromNewLinkREsponses!F178</f>
        <v>9594929376</v>
      </c>
      <c r="G122" s="25" t="str">
        <f>fromNewLinkREsponses!C178</f>
        <v>Phone Busy</v>
      </c>
      <c r="H122" s="16">
        <f>fromNewLinkREsponses!G178</f>
        <v>0</v>
      </c>
      <c r="I122" t="b">
        <f t="shared" si="1"/>
        <v>0</v>
      </c>
    </row>
    <row r="123" spans="1:9" ht="15.75" thickBot="1" x14ac:dyDescent="0.3">
      <c r="A123">
        <f>F123</f>
        <v>9594936594</v>
      </c>
      <c r="B123" s="29">
        <f>fromNewLinkREsponses!A91</f>
        <v>45668.676562499997</v>
      </c>
      <c r="C123" s="6" t="str">
        <f>fromNewLinkREsponses!B91</f>
        <v>caprachirathi@gmail.com</v>
      </c>
      <c r="D123" s="6" t="str">
        <f>fromNewLinkREsponses!D91</f>
        <v>Prachi Ankit Kabra</v>
      </c>
      <c r="E123" s="6" t="str">
        <f>fromNewLinkREsponses!E91</f>
        <v>Sagar Subhash Kabra</v>
      </c>
      <c r="F123" s="6">
        <f>fromNewLinkREsponses!F91</f>
        <v>9594936594</v>
      </c>
      <c r="G123" s="7" t="str">
        <f>fromNewLinkREsponses!C91</f>
        <v>Not Reachable</v>
      </c>
      <c r="H123" s="16" t="str">
        <f>fromNewLinkREsponses!G91</f>
        <v>Call not picked</v>
      </c>
      <c r="I123" t="b">
        <f t="shared" si="1"/>
        <v>0</v>
      </c>
    </row>
    <row r="124" spans="1:9" ht="15.75" thickBot="1" x14ac:dyDescent="0.3">
      <c r="A124">
        <f>F124</f>
        <v>9619136378</v>
      </c>
      <c r="B124" s="29">
        <f>fromNewLinkREsponses!A70</f>
        <v>45668.623182870368</v>
      </c>
      <c r="C124" s="6" t="str">
        <f>fromNewLinkREsponses!B70</f>
        <v>trysachin@gmail.com</v>
      </c>
      <c r="D124" s="6" t="str">
        <f>fromNewLinkREsponses!D70</f>
        <v>Khushboo Sachin Dhoot</v>
      </c>
      <c r="E124" s="6" t="str">
        <f>fromNewLinkREsponses!E70</f>
        <v>Shyamsunder Ramvallabh Kabra</v>
      </c>
      <c r="F124" s="6">
        <f>fromNewLinkREsponses!F70</f>
        <v>9619136378</v>
      </c>
      <c r="G124" s="7" t="str">
        <f>fromNewLinkREsponses!C70</f>
        <v>Not Reachable</v>
      </c>
      <c r="H124" s="16" t="str">
        <f>fromNewLinkREsponses!G70</f>
        <v>Not answering call</v>
      </c>
      <c r="I124" t="b">
        <f t="shared" si="1"/>
        <v>0</v>
      </c>
    </row>
    <row r="125" spans="1:9" ht="15.75" thickBot="1" x14ac:dyDescent="0.3">
      <c r="A125">
        <f>F125</f>
        <v>9619190941</v>
      </c>
      <c r="B125" s="34">
        <f>fromNewLinkREsponses!A66</f>
        <v>45668.622384259259</v>
      </c>
      <c r="C125" s="23" t="str">
        <f>fromNewLinkREsponses!B66</f>
        <v>trysachin@gmail.com</v>
      </c>
      <c r="D125" s="23" t="str">
        <f>fromNewLinkREsponses!D66</f>
        <v>Khushboo Sachin Dhoot</v>
      </c>
      <c r="E125" s="23" t="str">
        <f>fromNewLinkREsponses!E66</f>
        <v>Manoj Radheshyam Somani</v>
      </c>
      <c r="F125" s="23">
        <f>fromNewLinkREsponses!F66</f>
        <v>9619190941</v>
      </c>
      <c r="G125" s="25" t="str">
        <f>fromNewLinkREsponses!C66</f>
        <v>Not Reachable</v>
      </c>
      <c r="H125" s="16" t="str">
        <f>fromNewLinkREsponses!G66</f>
        <v>Not answering call</v>
      </c>
      <c r="I125" t="b">
        <f t="shared" si="1"/>
        <v>0</v>
      </c>
    </row>
    <row r="126" spans="1:9" ht="15.75" thickBot="1" x14ac:dyDescent="0.3">
      <c r="A126">
        <f>F126</f>
        <v>9619496390</v>
      </c>
      <c r="B126" s="35">
        <v>45943.527395833335</v>
      </c>
      <c r="C126" s="22"/>
      <c r="D126" s="24" t="s">
        <v>45</v>
      </c>
      <c r="E126" s="24" t="s">
        <v>402</v>
      </c>
      <c r="F126" s="26">
        <v>9619496390</v>
      </c>
      <c r="G126" s="24" t="s">
        <v>1010</v>
      </c>
      <c r="H126" s="14"/>
      <c r="I126" t="b">
        <f t="shared" si="1"/>
        <v>0</v>
      </c>
    </row>
    <row r="127" spans="1:9" ht="15.75" thickBot="1" x14ac:dyDescent="0.3">
      <c r="A127">
        <f>F127</f>
        <v>9619537250</v>
      </c>
      <c r="B127" s="34">
        <f>fromNewLinkREsponses!A62</f>
        <v>45668.621458333335</v>
      </c>
      <c r="C127" s="23" t="str">
        <f>fromNewLinkREsponses!B62</f>
        <v>trysachin@gmail.com</v>
      </c>
      <c r="D127" s="23" t="str">
        <f>fromNewLinkREsponses!D62</f>
        <v>Khushboo Sachin Dhoot</v>
      </c>
      <c r="E127" s="23" t="str">
        <f>fromNewLinkREsponses!E62</f>
        <v>Jaiprakash Jugalkishor Daga</v>
      </c>
      <c r="F127" s="23">
        <f>fromNewLinkREsponses!F62</f>
        <v>9619537250</v>
      </c>
      <c r="G127" s="25" t="str">
        <f>fromNewLinkREsponses!C62</f>
        <v>Not Coming</v>
      </c>
      <c r="H127" s="16" t="str">
        <f>fromNewLinkREsponses!G62</f>
        <v>Out of town</v>
      </c>
      <c r="I127" t="b">
        <f t="shared" si="1"/>
        <v>0</v>
      </c>
    </row>
    <row r="128" spans="1:9" ht="15.75" thickBot="1" x14ac:dyDescent="0.3">
      <c r="A128">
        <f>F128</f>
        <v>9664033466</v>
      </c>
      <c r="B128" s="35">
        <v>45949.476655092592</v>
      </c>
      <c r="C128" s="22"/>
      <c r="D128" s="24" t="s">
        <v>35</v>
      </c>
      <c r="E128" s="24" t="s">
        <v>730</v>
      </c>
      <c r="F128" s="26">
        <v>9664033466</v>
      </c>
      <c r="G128" s="24" t="s">
        <v>1025</v>
      </c>
      <c r="H128" s="18" t="s">
        <v>1035</v>
      </c>
      <c r="I128" t="b">
        <f t="shared" si="1"/>
        <v>0</v>
      </c>
    </row>
    <row r="129" spans="1:9" ht="15.75" thickBot="1" x14ac:dyDescent="0.3">
      <c r="A129">
        <f>F129</f>
        <v>9664188608</v>
      </c>
      <c r="B129" s="29">
        <f>fromNewLinkREsponses!A117</f>
        <v>45668.766250000001</v>
      </c>
      <c r="C129" s="6" t="str">
        <f>fromNewLinkREsponses!B117</f>
        <v>jyotis1311@gmail.com</v>
      </c>
      <c r="D129" s="6" t="str">
        <f>fromNewLinkREsponses!D117</f>
        <v>Jyotsna Sohan Sarda</v>
      </c>
      <c r="E129" s="6" t="str">
        <f>fromNewLinkREsponses!E117</f>
        <v>Ayushi Sunil Kabra</v>
      </c>
      <c r="F129" s="6">
        <f>fromNewLinkREsponses!F117</f>
        <v>9664188608</v>
      </c>
      <c r="G129" s="7" t="str">
        <f>fromNewLinkREsponses!C117</f>
        <v>Not Reachable</v>
      </c>
      <c r="H129" s="16" t="str">
        <f>fromNewLinkREsponses!G117</f>
        <v>On Voice mail</v>
      </c>
      <c r="I129" t="b">
        <f t="shared" si="1"/>
        <v>0</v>
      </c>
    </row>
    <row r="130" spans="1:9" ht="15.75" thickBot="1" x14ac:dyDescent="0.3">
      <c r="A130">
        <f>F130</f>
        <v>9664467750</v>
      </c>
      <c r="B130" s="34">
        <f>fromNewLinkREsponses!A69</f>
        <v>45668.622986111113</v>
      </c>
      <c r="C130" s="23" t="str">
        <f>fromNewLinkREsponses!B69</f>
        <v>trysachin@gmail.com</v>
      </c>
      <c r="D130" s="23" t="str">
        <f>fromNewLinkREsponses!D69</f>
        <v>Khushboo Sachin Dhoot</v>
      </c>
      <c r="E130" s="23" t="str">
        <f>fromNewLinkREsponses!E69</f>
        <v>Shivratan Bhanvarlal Gaggar</v>
      </c>
      <c r="F130" s="23">
        <f>fromNewLinkREsponses!F69</f>
        <v>9664467750</v>
      </c>
      <c r="G130" s="25" t="str">
        <f>fromNewLinkREsponses!C69</f>
        <v>Confirmed Presence</v>
      </c>
      <c r="H130" s="16" t="str">
        <f>fromNewLinkREsponses!G69</f>
        <v>Already registered</v>
      </c>
      <c r="I130" t="b">
        <f t="shared" si="1"/>
        <v>0</v>
      </c>
    </row>
    <row r="131" spans="1:9" ht="15.75" thickBot="1" x14ac:dyDescent="0.3">
      <c r="A131">
        <f>F131</f>
        <v>9699664643</v>
      </c>
      <c r="B131" s="35">
        <v>45959.385694444441</v>
      </c>
      <c r="C131" s="22"/>
      <c r="D131" s="24" t="s">
        <v>61</v>
      </c>
      <c r="E131" s="24" t="s">
        <v>267</v>
      </c>
      <c r="F131" s="26">
        <v>9699664643</v>
      </c>
      <c r="G131" s="24" t="s">
        <v>1010</v>
      </c>
      <c r="H131" s="18" t="s">
        <v>1123</v>
      </c>
      <c r="I131" t="b">
        <f t="shared" si="1"/>
        <v>0</v>
      </c>
    </row>
    <row r="132" spans="1:9" ht="15.75" thickBot="1" x14ac:dyDescent="0.3">
      <c r="A132">
        <f>F132</f>
        <v>9702045640</v>
      </c>
      <c r="B132" s="34">
        <v>45942.661145833335</v>
      </c>
      <c r="C132" s="21"/>
      <c r="D132" s="23" t="s">
        <v>17</v>
      </c>
      <c r="E132" s="23" t="s">
        <v>673</v>
      </c>
      <c r="F132" s="25">
        <v>9702045640</v>
      </c>
      <c r="G132" s="23" t="s">
        <v>1011</v>
      </c>
      <c r="H132" s="17" t="s">
        <v>1027</v>
      </c>
      <c r="I132" t="b">
        <f t="shared" ref="I132:I195" si="2">F131=F132</f>
        <v>0</v>
      </c>
    </row>
    <row r="133" spans="1:9" ht="15.75" thickBot="1" x14ac:dyDescent="0.3">
      <c r="A133">
        <f>F133</f>
        <v>9702060911</v>
      </c>
      <c r="B133" s="35">
        <v>45957.856724537036</v>
      </c>
      <c r="C133" s="22"/>
      <c r="D133" s="24" t="s">
        <v>82</v>
      </c>
      <c r="E133" s="24" t="s">
        <v>563</v>
      </c>
      <c r="F133" s="26">
        <v>9702060911</v>
      </c>
      <c r="G133" s="24" t="s">
        <v>1012</v>
      </c>
      <c r="H133" s="14"/>
      <c r="I133" t="b">
        <f t="shared" si="2"/>
        <v>0</v>
      </c>
    </row>
    <row r="134" spans="1:9" ht="26.25" thickBot="1" x14ac:dyDescent="0.3">
      <c r="A134">
        <f>F134</f>
        <v>9702088221</v>
      </c>
      <c r="B134" s="70">
        <f>fromNewLinkREsponses!A81</f>
        <v>45668.667569444442</v>
      </c>
      <c r="C134" s="71" t="str">
        <f>fromNewLinkREsponses!B81</f>
        <v>caprachirathi@gmail.com</v>
      </c>
      <c r="D134" s="71" t="str">
        <f>fromNewLinkREsponses!D81</f>
        <v>Prachi Ankit Kabra</v>
      </c>
      <c r="E134" s="71" t="str">
        <f>fromNewLinkREsponses!E81</f>
        <v>Harish Shyamlal Mundra</v>
      </c>
      <c r="F134" s="71">
        <f>fromNewLinkREsponses!F81</f>
        <v>9702088221</v>
      </c>
      <c r="G134" s="72" t="str">
        <f>fromNewLinkREsponses!C81</f>
        <v>Confirmed Presence</v>
      </c>
      <c r="H134" s="73" t="str">
        <f>fromNewLinkREsponses!G81</f>
        <v>3-4 people and son's marksheet submitted by him</v>
      </c>
      <c r="I134" t="b">
        <f t="shared" si="2"/>
        <v>0</v>
      </c>
    </row>
    <row r="135" spans="1:9" ht="15.75" thickBot="1" x14ac:dyDescent="0.3">
      <c r="A135">
        <f>F135</f>
        <v>9702224535</v>
      </c>
      <c r="B135" s="70">
        <f>fromNewLinkREsponses!A16</f>
        <v>45668.481898148151</v>
      </c>
      <c r="C135" s="71" t="str">
        <f>fromNewLinkREsponses!B16</f>
        <v>ravibhattad@gmail.com</v>
      </c>
      <c r="D135" s="71" t="str">
        <f>fromNewLinkREsponses!D16</f>
        <v>Ravindra Bhattad</v>
      </c>
      <c r="E135" s="71" t="str">
        <f>fromNewLinkREsponses!E16</f>
        <v>Hemantkumar Shyamsundar Bahedia</v>
      </c>
      <c r="F135" s="71">
        <f>fromNewLinkREsponses!F16</f>
        <v>9702224535</v>
      </c>
      <c r="G135" s="72" t="str">
        <f>fromNewLinkREsponses!C16</f>
        <v>Confirmed Presence</v>
      </c>
      <c r="H135" s="73" t="str">
        <f>fromNewLinkREsponses!G16</f>
        <v>Already Registered</v>
      </c>
      <c r="I135" t="b">
        <f t="shared" si="2"/>
        <v>0</v>
      </c>
    </row>
    <row r="136" spans="1:9" ht="15.75" thickBot="1" x14ac:dyDescent="0.3">
      <c r="A136">
        <f>F136</f>
        <v>9702260383</v>
      </c>
      <c r="B136" s="70">
        <f>fromNewLinkREsponses!A125</f>
        <v>45668.768958333334</v>
      </c>
      <c r="C136" s="71" t="str">
        <f>fromNewLinkREsponses!B125</f>
        <v>jyotis1311@gmail.com</v>
      </c>
      <c r="D136" s="71" t="str">
        <f>fromNewLinkREsponses!D125</f>
        <v>Jyotsna Sohan Sarda</v>
      </c>
      <c r="E136" s="71" t="str">
        <f>fromNewLinkREsponses!E125</f>
        <v>Shobha Kanhaiyalal Darak</v>
      </c>
      <c r="F136" s="71">
        <f>fromNewLinkREsponses!F125</f>
        <v>9702260383</v>
      </c>
      <c r="G136" s="72" t="str">
        <f>fromNewLinkREsponses!C125</f>
        <v>Confirmed Presence</v>
      </c>
      <c r="H136" s="73">
        <f>fromNewLinkREsponses!G125</f>
        <v>0</v>
      </c>
      <c r="I136" t="b">
        <f t="shared" si="2"/>
        <v>0</v>
      </c>
    </row>
    <row r="137" spans="1:9" ht="15.75" thickBot="1" x14ac:dyDescent="0.3">
      <c r="A137">
        <f>F137</f>
        <v>9702292855</v>
      </c>
      <c r="B137" s="70">
        <f>fromNewLinkREsponses!A22</f>
        <v>45668.574525462966</v>
      </c>
      <c r="C137" s="71" t="str">
        <f>fromNewLinkREsponses!B22</f>
        <v>jagdish.lahoti92@gmail.com</v>
      </c>
      <c r="D137" s="71" t="str">
        <f>fromNewLinkREsponses!D22</f>
        <v>Jagdish Rameshchand Lahoti</v>
      </c>
      <c r="E137" s="71" t="str">
        <f>fromNewLinkREsponses!E22</f>
        <v>Kamal Bhawarniwas Rathi</v>
      </c>
      <c r="F137" s="71">
        <f>fromNewLinkREsponses!F22</f>
        <v>9702292855</v>
      </c>
      <c r="G137" s="72" t="str">
        <f>fromNewLinkREsponses!C22</f>
        <v>Confirmed Presence</v>
      </c>
      <c r="H137" s="73">
        <f>fromNewLinkREsponses!G22</f>
        <v>0</v>
      </c>
      <c r="I137" t="b">
        <f t="shared" si="2"/>
        <v>0</v>
      </c>
    </row>
    <row r="138" spans="1:9" ht="15.75" thickBot="1" x14ac:dyDescent="0.3">
      <c r="A138">
        <f>F138</f>
        <v>9702497024</v>
      </c>
      <c r="B138" s="70">
        <v>45957.897685185184</v>
      </c>
      <c r="C138" s="74"/>
      <c r="D138" s="71" t="s">
        <v>33</v>
      </c>
      <c r="E138" s="71" t="s">
        <v>396</v>
      </c>
      <c r="F138" s="72">
        <v>9702497024</v>
      </c>
      <c r="G138" s="71" t="s">
        <v>1013</v>
      </c>
      <c r="H138" s="75" t="s">
        <v>1047</v>
      </c>
      <c r="I138" t="b">
        <f t="shared" si="2"/>
        <v>0</v>
      </c>
    </row>
    <row r="139" spans="1:9" ht="15.75" thickBot="1" x14ac:dyDescent="0.3">
      <c r="A139">
        <f>F139</f>
        <v>9702733311</v>
      </c>
      <c r="B139" s="70">
        <f>fromNewLinkREsponses!A71</f>
        <v>45668.623310185183</v>
      </c>
      <c r="C139" s="71" t="str">
        <f>fromNewLinkREsponses!B71</f>
        <v>trysachin@gmail.com</v>
      </c>
      <c r="D139" s="71" t="str">
        <f>fromNewLinkREsponses!D71</f>
        <v>Khushboo Sachin Dhoot</v>
      </c>
      <c r="E139" s="71" t="str">
        <f>fromNewLinkREsponses!E71</f>
        <v>Siddharth Vijay Mundra</v>
      </c>
      <c r="F139" s="71">
        <f>fromNewLinkREsponses!F71</f>
        <v>9702733311</v>
      </c>
      <c r="G139" s="72" t="str">
        <f>fromNewLinkREsponses!C71</f>
        <v>Not Coming</v>
      </c>
      <c r="H139" s="73">
        <f>fromNewLinkREsponses!G71</f>
        <v>0</v>
      </c>
      <c r="I139" t="b">
        <f t="shared" si="2"/>
        <v>0</v>
      </c>
    </row>
    <row r="140" spans="1:9" ht="15.75" thickBot="1" x14ac:dyDescent="0.3">
      <c r="A140">
        <f>F140</f>
        <v>9757272073</v>
      </c>
      <c r="B140" s="31">
        <v>45957.922199074077</v>
      </c>
      <c r="C140" s="32"/>
      <c r="D140" s="5" t="s">
        <v>790</v>
      </c>
      <c r="E140" s="5" t="s">
        <v>820</v>
      </c>
      <c r="F140" s="4">
        <v>9757272073</v>
      </c>
      <c r="G140" s="5" t="s">
        <v>1012</v>
      </c>
      <c r="H140" s="33"/>
      <c r="I140" t="b">
        <f t="shared" si="2"/>
        <v>0</v>
      </c>
    </row>
    <row r="141" spans="1:9" ht="15.75" thickBot="1" x14ac:dyDescent="0.3">
      <c r="A141">
        <f>F141</f>
        <v>9764005162</v>
      </c>
      <c r="B141" s="70">
        <f>fromNewLinkREsponses!A188</f>
        <v>45699.676180555558</v>
      </c>
      <c r="C141" s="71" t="str">
        <f>fromNewLinkREsponses!B188</f>
        <v>sagar.bhattad066@gmail.com</v>
      </c>
      <c r="D141" s="71" t="str">
        <f>fromNewLinkREsponses!D188</f>
        <v>Sagar Sampat Bhattad</v>
      </c>
      <c r="E141" s="71" t="str">
        <f>fromNewLinkREsponses!E188</f>
        <v>Atul Jagdish Bhutada</v>
      </c>
      <c r="F141" s="71">
        <f>fromNewLinkREsponses!F188</f>
        <v>9764005162</v>
      </c>
      <c r="G141" s="72" t="str">
        <f>fromNewLinkREsponses!C188</f>
        <v>Confirmed Presence</v>
      </c>
      <c r="H141" s="73" t="str">
        <f>fromNewLinkREsponses!G188</f>
        <v>Registered for 2</v>
      </c>
      <c r="I141" t="b">
        <f t="shared" si="2"/>
        <v>0</v>
      </c>
    </row>
    <row r="142" spans="1:9" ht="15.75" thickBot="1" x14ac:dyDescent="0.3">
      <c r="A142">
        <f>F142</f>
        <v>9768131767</v>
      </c>
      <c r="B142" s="31">
        <v>45941.577048611114</v>
      </c>
      <c r="C142" s="32"/>
      <c r="D142" s="5" t="s">
        <v>47</v>
      </c>
      <c r="E142" s="5" t="s">
        <v>165</v>
      </c>
      <c r="F142" s="4">
        <v>9768131767</v>
      </c>
      <c r="G142" s="5" t="s">
        <v>1010</v>
      </c>
      <c r="H142" s="33"/>
      <c r="I142" t="b">
        <f t="shared" si="2"/>
        <v>0</v>
      </c>
    </row>
    <row r="143" spans="1:9" ht="15.75" thickBot="1" x14ac:dyDescent="0.3">
      <c r="A143">
        <f>F143</f>
        <v>9768245456</v>
      </c>
      <c r="B143" s="70">
        <f>fromNewLinkREsponses!A60</f>
        <v>45668.620983796296</v>
      </c>
      <c r="C143" s="71" t="str">
        <f>fromNewLinkREsponses!B60</f>
        <v>trysachin@gmail.com</v>
      </c>
      <c r="D143" s="71" t="str">
        <f>fromNewLinkREsponses!D60</f>
        <v>Khushboo Sachin Dhoot</v>
      </c>
      <c r="E143" s="71" t="str">
        <f>fromNewLinkREsponses!E60</f>
        <v>Gaurav Sunil Kabra</v>
      </c>
      <c r="F143" s="71">
        <f>fromNewLinkREsponses!F60</f>
        <v>9768245456</v>
      </c>
      <c r="G143" s="72" t="str">
        <f>fromNewLinkREsponses!C60</f>
        <v>Not Reachable</v>
      </c>
      <c r="H143" s="73">
        <f>fromNewLinkREsponses!G60</f>
        <v>0</v>
      </c>
      <c r="I143" t="b">
        <f t="shared" si="2"/>
        <v>0</v>
      </c>
    </row>
    <row r="144" spans="1:9" ht="15.75" thickBot="1" x14ac:dyDescent="0.3">
      <c r="A144">
        <f>F144</f>
        <v>9768532064</v>
      </c>
      <c r="B144" s="70">
        <f>fromNewLinkREsponses!A79</f>
        <v>45668.664733796293</v>
      </c>
      <c r="C144" s="71" t="str">
        <f>fromNewLinkREsponses!B79</f>
        <v>caprachirathi@gmail.com</v>
      </c>
      <c r="D144" s="71" t="str">
        <f>fromNewLinkREsponses!D79</f>
        <v>Prachi Ankit Kabra</v>
      </c>
      <c r="E144" s="71" t="str">
        <f>fromNewLinkREsponses!E79</f>
        <v>Ashokkumar Tolaram Karnani</v>
      </c>
      <c r="F144" s="71">
        <f>fromNewLinkREsponses!F79</f>
        <v>9768532064</v>
      </c>
      <c r="G144" s="72" t="str">
        <f>fromNewLinkREsponses!C79</f>
        <v>Not Coming</v>
      </c>
      <c r="H144" s="73" t="str">
        <f>fromNewLinkREsponses!G79</f>
        <v>Busy with some other RSS event.</v>
      </c>
      <c r="I144" t="b">
        <f t="shared" si="2"/>
        <v>0</v>
      </c>
    </row>
    <row r="145" spans="1:9" ht="15.75" thickBot="1" x14ac:dyDescent="0.3">
      <c r="A145">
        <f>F145</f>
        <v>9769166643</v>
      </c>
      <c r="B145" s="31">
        <v>45956.508298611108</v>
      </c>
      <c r="C145" s="32"/>
      <c r="D145" s="5" t="s">
        <v>49</v>
      </c>
      <c r="E145" s="5" t="s">
        <v>214</v>
      </c>
      <c r="F145" s="4">
        <v>9769166643</v>
      </c>
      <c r="G145" s="5" t="s">
        <v>1011</v>
      </c>
      <c r="H145" s="33"/>
      <c r="I145" t="b">
        <f t="shared" si="2"/>
        <v>0</v>
      </c>
    </row>
    <row r="146" spans="1:9" ht="15.75" thickBot="1" x14ac:dyDescent="0.3">
      <c r="A146">
        <f>F146</f>
        <v>9769373893</v>
      </c>
      <c r="B146" s="70">
        <f>fromNewLinkREsponses!A27</f>
        <v>45668.577280092592</v>
      </c>
      <c r="C146" s="71" t="str">
        <f>fromNewLinkREsponses!B27</f>
        <v>impt85@gmail.com</v>
      </c>
      <c r="D146" s="71" t="str">
        <f>fromNewLinkREsponses!D27</f>
        <v>Shri Premji Taparia</v>
      </c>
      <c r="E146" s="71" t="str">
        <f>fromNewLinkREsponses!E27</f>
        <v>Akshay Sunil Rathi</v>
      </c>
      <c r="F146" s="71">
        <f>fromNewLinkREsponses!F27</f>
        <v>9769373893</v>
      </c>
      <c r="G146" s="72" t="str">
        <f>fromNewLinkREsponses!C27</f>
        <v>Confirmed Presence</v>
      </c>
      <c r="H146" s="73">
        <f>fromNewLinkREsponses!G27</f>
        <v>0</v>
      </c>
      <c r="I146" t="b">
        <f t="shared" si="2"/>
        <v>0</v>
      </c>
    </row>
    <row r="147" spans="1:9" ht="15.75" thickBot="1" x14ac:dyDescent="0.3">
      <c r="A147">
        <f>F147</f>
        <v>9769422928</v>
      </c>
      <c r="B147" s="70" t="str">
        <f>fromNewLinkREsponses!A2</f>
        <v>31/10/2025 11:45:03</v>
      </c>
      <c r="C147" s="71" t="str">
        <f>fromNewLinkREsponses!B2</f>
        <v>ratishmoondra@gmail.com</v>
      </c>
      <c r="D147" s="71" t="str">
        <f>fromNewLinkREsponses!D2</f>
        <v>Shri Ratishji Mundhra</v>
      </c>
      <c r="E147" s="71" t="str">
        <f>fromNewLinkREsponses!E2</f>
        <v>Alekh Jaggannath Gandhi</v>
      </c>
      <c r="F147" s="71">
        <f>fromNewLinkREsponses!F2</f>
        <v>9769422928</v>
      </c>
      <c r="G147" s="72" t="str">
        <f>fromNewLinkREsponses!C2</f>
        <v>Not Reachable</v>
      </c>
      <c r="H147" s="73" t="str">
        <f>fromNewLinkREsponses!G2</f>
        <v>Not on whatsapp</v>
      </c>
      <c r="I147" t="b">
        <f t="shared" si="2"/>
        <v>0</v>
      </c>
    </row>
    <row r="148" spans="1:9" ht="15.75" thickBot="1" x14ac:dyDescent="0.3">
      <c r="A148">
        <f>F148</f>
        <v>9769859980</v>
      </c>
      <c r="B148" s="70">
        <f>fromNewLinkREsponses!A129</f>
        <v>45668.769733796296</v>
      </c>
      <c r="C148" s="71" t="str">
        <f>fromNewLinkREsponses!B129</f>
        <v>jyotis1311@gmail.com</v>
      </c>
      <c r="D148" s="71" t="str">
        <f>fromNewLinkREsponses!D129</f>
        <v>Jyotsna Sohan Sarda</v>
      </c>
      <c r="E148" s="71" t="str">
        <f>fromNewLinkREsponses!E129</f>
        <v>Vidhya Rajaram Kankani</v>
      </c>
      <c r="F148" s="71">
        <f>fromNewLinkREsponses!F129</f>
        <v>9769859980</v>
      </c>
      <c r="G148" s="72" t="str">
        <f>fromNewLinkREsponses!C129</f>
        <v>Phone Busy</v>
      </c>
      <c r="H148" s="73">
        <f>fromNewLinkREsponses!G129</f>
        <v>0</v>
      </c>
      <c r="I148" t="b">
        <f t="shared" si="2"/>
        <v>0</v>
      </c>
    </row>
    <row r="149" spans="1:9" ht="15.75" thickBot="1" x14ac:dyDescent="0.3">
      <c r="A149">
        <f>F149</f>
        <v>9815222337</v>
      </c>
      <c r="B149" s="70">
        <f>fromNewLinkREsponses!A90</f>
        <v>45668.676053240742</v>
      </c>
      <c r="C149" s="71" t="str">
        <f>fromNewLinkREsponses!B90</f>
        <v>rameshmundhra123@gmail.com</v>
      </c>
      <c r="D149" s="71" t="str">
        <f>fromNewLinkREsponses!D90</f>
        <v>Shri Rameshji Mundhra</v>
      </c>
      <c r="E149" s="71" t="str">
        <f>fromNewLinkREsponses!E90</f>
        <v>Pranav Jagdishchandra Toshniwal</v>
      </c>
      <c r="F149" s="71">
        <f>fromNewLinkREsponses!F90</f>
        <v>9815222337</v>
      </c>
      <c r="G149" s="72" t="str">
        <f>fromNewLinkREsponses!C90</f>
        <v>Not Reachable</v>
      </c>
      <c r="H149" s="73" t="str">
        <f>fromNewLinkREsponses!G90</f>
        <v>Seems incorrect number</v>
      </c>
      <c r="I149" t="b">
        <f t="shared" si="2"/>
        <v>0</v>
      </c>
    </row>
    <row r="150" spans="1:9" ht="15.75" thickBot="1" x14ac:dyDescent="0.3">
      <c r="A150">
        <f>F150</f>
        <v>9819064004</v>
      </c>
      <c r="B150" s="31">
        <v>45946.845462962963</v>
      </c>
      <c r="C150" s="32"/>
      <c r="D150" s="5" t="s">
        <v>73</v>
      </c>
      <c r="E150" s="5" t="s">
        <v>653</v>
      </c>
      <c r="F150" s="4">
        <v>9819064004</v>
      </c>
      <c r="G150" s="5" t="s">
        <v>1011</v>
      </c>
      <c r="H150" s="67" t="s">
        <v>1033</v>
      </c>
      <c r="I150" t="b">
        <f t="shared" si="2"/>
        <v>0</v>
      </c>
    </row>
    <row r="151" spans="1:9" ht="15.75" thickBot="1" x14ac:dyDescent="0.3">
      <c r="A151">
        <f>F151</f>
        <v>9819086999</v>
      </c>
      <c r="B151" s="70">
        <v>45957.920659722222</v>
      </c>
      <c r="C151" s="74"/>
      <c r="D151" s="71" t="s">
        <v>790</v>
      </c>
      <c r="E151" s="71" t="s">
        <v>835</v>
      </c>
      <c r="F151" s="72">
        <v>9819086999</v>
      </c>
      <c r="G151" s="71" t="s">
        <v>1025</v>
      </c>
      <c r="H151" s="73"/>
      <c r="I151" t="b">
        <f t="shared" si="2"/>
        <v>0</v>
      </c>
    </row>
    <row r="152" spans="1:9" ht="15.75" thickBot="1" x14ac:dyDescent="0.3">
      <c r="A152">
        <f>F152</f>
        <v>9819141611</v>
      </c>
      <c r="B152" s="70">
        <f>fromNewLinkREsponses!A175</f>
        <v>45699.585763888892</v>
      </c>
      <c r="C152" s="71" t="str">
        <f>fromNewLinkREsponses!B175</f>
        <v>prdhoot@gmail.com</v>
      </c>
      <c r="D152" s="71" t="str">
        <f>fromNewLinkREsponses!D175</f>
        <v>Prateek Ramesh Dhoot</v>
      </c>
      <c r="E152" s="71" t="str">
        <f>fromNewLinkREsponses!E175</f>
        <v>Hardik Naanakram Sodhani</v>
      </c>
      <c r="F152" s="71">
        <f>fromNewLinkREsponses!F175</f>
        <v>9819141611</v>
      </c>
      <c r="G152" s="72" t="str">
        <f>fromNewLinkREsponses!C175</f>
        <v>Not Reachable</v>
      </c>
      <c r="H152" s="73" t="str">
        <f>fromNewLinkREsponses!G175</f>
        <v>phone switched off</v>
      </c>
      <c r="I152" t="b">
        <f t="shared" si="2"/>
        <v>0</v>
      </c>
    </row>
    <row r="153" spans="1:9" ht="15.75" thickBot="1" x14ac:dyDescent="0.3">
      <c r="A153">
        <f>F153</f>
        <v>9819199907</v>
      </c>
      <c r="B153" s="70">
        <v>45944.771886574075</v>
      </c>
      <c r="C153" s="74"/>
      <c r="D153" s="71" t="s">
        <v>45</v>
      </c>
      <c r="E153" s="71" t="s">
        <v>544</v>
      </c>
      <c r="F153" s="72">
        <v>9819199907</v>
      </c>
      <c r="G153" s="71" t="s">
        <v>1011</v>
      </c>
      <c r="H153" s="73"/>
      <c r="I153" t="b">
        <f t="shared" si="2"/>
        <v>0</v>
      </c>
    </row>
    <row r="154" spans="1:9" ht="15.75" thickBot="1" x14ac:dyDescent="0.3">
      <c r="A154">
        <f>F154</f>
        <v>9819332481</v>
      </c>
      <c r="B154" s="70">
        <f>fromNewLinkREsponses!A84</f>
        <v>45668.671805555554</v>
      </c>
      <c r="C154" s="71" t="str">
        <f>fromNewLinkREsponses!B84</f>
        <v>caprachirathi@gmail.com</v>
      </c>
      <c r="D154" s="71" t="str">
        <f>fromNewLinkREsponses!D84</f>
        <v>Prachi Ankit Kabra</v>
      </c>
      <c r="E154" s="71" t="str">
        <f>fromNewLinkREsponses!E84</f>
        <v>Rajesh Nathulal Mundhra</v>
      </c>
      <c r="F154" s="71">
        <f>fromNewLinkREsponses!F84</f>
        <v>9819332481</v>
      </c>
      <c r="G154" s="72" t="str">
        <f>fromNewLinkREsponses!C84</f>
        <v>Not Reachable</v>
      </c>
      <c r="H154" s="73" t="str">
        <f>fromNewLinkREsponses!G84</f>
        <v>Number invalid</v>
      </c>
      <c r="I154" t="b">
        <f t="shared" si="2"/>
        <v>0</v>
      </c>
    </row>
    <row r="155" spans="1:9" ht="26.25" thickBot="1" x14ac:dyDescent="0.3">
      <c r="A155">
        <f>F155</f>
        <v>9819345040</v>
      </c>
      <c r="B155" s="31">
        <v>45959.3827662037</v>
      </c>
      <c r="C155" s="32"/>
      <c r="D155" s="5" t="s">
        <v>61</v>
      </c>
      <c r="E155" s="5" t="s">
        <v>62</v>
      </c>
      <c r="F155" s="4">
        <v>9819345040</v>
      </c>
      <c r="G155" s="5" t="s">
        <v>1025</v>
      </c>
      <c r="H155" s="67" t="s">
        <v>1122</v>
      </c>
      <c r="I155" t="b">
        <f t="shared" si="2"/>
        <v>0</v>
      </c>
    </row>
    <row r="156" spans="1:9" ht="15.75" thickBot="1" x14ac:dyDescent="0.3">
      <c r="A156">
        <f>F156</f>
        <v>9819364345</v>
      </c>
      <c r="B156" s="70">
        <v>45941.560914351852</v>
      </c>
      <c r="C156" s="74"/>
      <c r="D156" s="71" t="s">
        <v>29</v>
      </c>
      <c r="E156" s="71" t="s">
        <v>29</v>
      </c>
      <c r="F156" s="72">
        <v>9819364345</v>
      </c>
      <c r="G156" s="71" t="s">
        <v>1010</v>
      </c>
      <c r="H156" s="73"/>
      <c r="I156" t="b">
        <f t="shared" si="2"/>
        <v>0</v>
      </c>
    </row>
    <row r="157" spans="1:9" ht="15.75" thickBot="1" x14ac:dyDescent="0.3">
      <c r="A157">
        <f>F157</f>
        <v>9819383377</v>
      </c>
      <c r="B157" s="31">
        <v>45956.621203703704</v>
      </c>
      <c r="C157" s="32"/>
      <c r="D157" s="5" t="s">
        <v>73</v>
      </c>
      <c r="E157" s="5" t="s">
        <v>74</v>
      </c>
      <c r="F157" s="4">
        <v>9819383377</v>
      </c>
      <c r="G157" s="5" t="s">
        <v>1013</v>
      </c>
      <c r="H157" s="33"/>
      <c r="I157" t="b">
        <f t="shared" si="2"/>
        <v>0</v>
      </c>
    </row>
    <row r="158" spans="1:9" ht="15.75" thickBot="1" x14ac:dyDescent="0.3">
      <c r="A158">
        <f>F158</f>
        <v>9819421252</v>
      </c>
      <c r="B158" s="31">
        <v>45938.356203703705</v>
      </c>
      <c r="C158" s="32"/>
      <c r="D158" s="5" t="s">
        <v>63</v>
      </c>
      <c r="E158" s="5" t="s">
        <v>173</v>
      </c>
      <c r="F158" s="4">
        <v>9819421252</v>
      </c>
      <c r="G158" s="5" t="s">
        <v>1010</v>
      </c>
      <c r="H158" s="33"/>
      <c r="I158" t="b">
        <f t="shared" si="2"/>
        <v>0</v>
      </c>
    </row>
    <row r="159" spans="1:9" ht="26.25" thickBot="1" x14ac:dyDescent="0.3">
      <c r="A159">
        <f>F159</f>
        <v>9819424430</v>
      </c>
      <c r="B159" s="70">
        <f>fromNewLinkREsponses!A182</f>
        <v>45699.589386574073</v>
      </c>
      <c r="C159" s="71" t="str">
        <f>fromNewLinkREsponses!B182</f>
        <v>prdhoot@gmail.com</v>
      </c>
      <c r="D159" s="71" t="str">
        <f>fromNewLinkREsponses!D182</f>
        <v>Prateek Ramesh Dhoot</v>
      </c>
      <c r="E159" s="71" t="str">
        <f>fromNewLinkREsponses!E182</f>
        <v>Shailendra Kumar Devendra Kumar Mantri</v>
      </c>
      <c r="F159" s="71">
        <f>fromNewLinkREsponses!F182</f>
        <v>9819424430</v>
      </c>
      <c r="G159" s="72" t="str">
        <f>fromNewLinkREsponses!C182</f>
        <v>Confirmed Presence</v>
      </c>
      <c r="H159" s="73">
        <f>fromNewLinkREsponses!G182</f>
        <v>0</v>
      </c>
      <c r="I159" t="b">
        <f t="shared" si="2"/>
        <v>0</v>
      </c>
    </row>
    <row r="160" spans="1:9" ht="15.75" thickBot="1" x14ac:dyDescent="0.3">
      <c r="A160">
        <f>F160</f>
        <v>9819442861</v>
      </c>
      <c r="B160" s="31">
        <v>45956.517141203702</v>
      </c>
      <c r="C160" s="32"/>
      <c r="D160" s="5" t="s">
        <v>49</v>
      </c>
      <c r="E160" s="5" t="s">
        <v>357</v>
      </c>
      <c r="F160" s="4">
        <v>9819442861</v>
      </c>
      <c r="G160" s="5" t="s">
        <v>1010</v>
      </c>
      <c r="H160" s="33"/>
      <c r="I160" t="b">
        <f t="shared" si="2"/>
        <v>0</v>
      </c>
    </row>
    <row r="161" spans="1:9" ht="15.75" thickBot="1" x14ac:dyDescent="0.3">
      <c r="A161">
        <f>F161</f>
        <v>9819461122</v>
      </c>
      <c r="B161" s="70">
        <f>fromNewLinkREsponses!A17</f>
        <v>45668.483923611115</v>
      </c>
      <c r="C161" s="71" t="str">
        <f>fromNewLinkREsponses!B17</f>
        <v>onlinevdarak@gmail.com</v>
      </c>
      <c r="D161" s="71" t="str">
        <f>fromNewLinkREsponses!D17</f>
        <v>Varun Kanhaiyalal Darak</v>
      </c>
      <c r="E161" s="71" t="str">
        <f>fromNewLinkREsponses!E17</f>
        <v>Anand Gulabchand Mantri</v>
      </c>
      <c r="F161" s="71">
        <f>fromNewLinkREsponses!F17</f>
        <v>9819461122</v>
      </c>
      <c r="G161" s="72" t="str">
        <f>fromNewLinkREsponses!C17</f>
        <v>Not Coming</v>
      </c>
      <c r="H161" s="73" t="str">
        <f>fromNewLinkREsponses!G17</f>
        <v>Not in town</v>
      </c>
      <c r="I161" t="b">
        <f t="shared" si="2"/>
        <v>0</v>
      </c>
    </row>
    <row r="162" spans="1:9" ht="15.75" thickBot="1" x14ac:dyDescent="0.3">
      <c r="A162">
        <f>F162</f>
        <v>9819578232</v>
      </c>
      <c r="B162" s="70" t="str">
        <f>fromNewLinkREsponses!A9</f>
        <v>31/10/2025 21:57:30</v>
      </c>
      <c r="C162" s="71" t="str">
        <f>fromNewLinkREsponses!B9</f>
        <v>nikechandak@gmail.com</v>
      </c>
      <c r="D162" s="71" t="str">
        <f>fromNewLinkREsponses!D9</f>
        <v>Shri Nikhilji Chandak</v>
      </c>
      <c r="E162" s="71" t="str">
        <f>fromNewLinkREsponses!E9</f>
        <v>Subhash Loonkaran Gandhi</v>
      </c>
      <c r="F162" s="71">
        <f>fromNewLinkREsponses!F9</f>
        <v>9819578232</v>
      </c>
      <c r="G162" s="72" t="str">
        <f>fromNewLinkREsponses!C9</f>
        <v>Confirmed Presence</v>
      </c>
      <c r="H162" s="73" t="str">
        <f>fromNewLinkREsponses!G9</f>
        <v>3 member ll join</v>
      </c>
      <c r="I162" t="b">
        <f t="shared" si="2"/>
        <v>0</v>
      </c>
    </row>
    <row r="163" spans="1:9" ht="15.75" thickBot="1" x14ac:dyDescent="0.3">
      <c r="A163">
        <f>F163</f>
        <v>9819621190</v>
      </c>
      <c r="B163" s="70">
        <f>fromNewLinkREsponses!A141</f>
        <v>45699.434583333335</v>
      </c>
      <c r="C163" s="71" t="str">
        <f>fromNewLinkREsponses!B141</f>
        <v>rassawa@gmail.com</v>
      </c>
      <c r="D163" s="71" t="str">
        <f>fromNewLinkREsponses!D141</f>
        <v>Rahul Omshankar Assawa</v>
      </c>
      <c r="E163" s="71" t="str">
        <f>fromNewLinkREsponses!E141</f>
        <v>Mahesh Govardhan Lohia</v>
      </c>
      <c r="F163" s="71">
        <f>fromNewLinkREsponses!F141</f>
        <v>9819621190</v>
      </c>
      <c r="G163" s="72" t="str">
        <f>fromNewLinkREsponses!C141</f>
        <v>Confirmed Presence</v>
      </c>
      <c r="H163" s="73">
        <f>fromNewLinkREsponses!G141</f>
        <v>0</v>
      </c>
      <c r="I163" t="b">
        <f t="shared" si="2"/>
        <v>0</v>
      </c>
    </row>
    <row r="164" spans="1:9" ht="39" thickBot="1" x14ac:dyDescent="0.3">
      <c r="A164">
        <f>F164</f>
        <v>9819700400</v>
      </c>
      <c r="B164" s="70">
        <f>fromNewLinkREsponses!A78</f>
        <v>45668.661979166667</v>
      </c>
      <c r="C164" s="71" t="str">
        <f>fromNewLinkREsponses!B78</f>
        <v>caprachirathi@gmail.com</v>
      </c>
      <c r="D164" s="71" t="str">
        <f>fromNewLinkREsponses!D78</f>
        <v>Prachi Ankit Kabra</v>
      </c>
      <c r="E164" s="71" t="str">
        <f>fromNewLinkREsponses!E78</f>
        <v>Nilesh Kapurchand Malani</v>
      </c>
      <c r="F164" s="71">
        <f>fromNewLinkREsponses!F78</f>
        <v>9819700400</v>
      </c>
      <c r="G164" s="72" t="str">
        <f>fromNewLinkREsponses!C78</f>
        <v>Confirmed Presence</v>
      </c>
      <c r="H164" s="73" t="str">
        <f>fromNewLinkREsponses!G78</f>
        <v>He said he will do the registration and wanted to upload the child's marksheet for 10 th std</v>
      </c>
      <c r="I164" t="b">
        <f t="shared" si="2"/>
        <v>0</v>
      </c>
    </row>
    <row r="165" spans="1:9" ht="15.75" thickBot="1" x14ac:dyDescent="0.3">
      <c r="A165">
        <f>F165</f>
        <v>9819758430</v>
      </c>
      <c r="B165" s="70">
        <f>fromNewLinkREsponses!A133</f>
        <v>45699.428854166668</v>
      </c>
      <c r="C165" s="71" t="str">
        <f>fromNewLinkREsponses!B133</f>
        <v>onlinevdarak@gmail.com</v>
      </c>
      <c r="D165" s="71" t="str">
        <f>fromNewLinkREsponses!D133</f>
        <v>Varun Kanhaiyalal Darak</v>
      </c>
      <c r="E165" s="71" t="str">
        <f>fromNewLinkREsponses!E133</f>
        <v>Mukeshkumar Shridhar Rathi</v>
      </c>
      <c r="F165" s="71">
        <f>fromNewLinkREsponses!F133</f>
        <v>9819758430</v>
      </c>
      <c r="G165" s="72" t="str">
        <f>fromNewLinkREsponses!C133</f>
        <v>Confirmed Presence</v>
      </c>
      <c r="H165" s="73" t="str">
        <f>fromNewLinkREsponses!G133</f>
        <v>No marksheets</v>
      </c>
      <c r="I165" t="b">
        <f t="shared" si="2"/>
        <v>0</v>
      </c>
    </row>
    <row r="166" spans="1:9" ht="15.75" thickBot="1" x14ac:dyDescent="0.3">
      <c r="A166">
        <f>F166</f>
        <v>9819789523</v>
      </c>
      <c r="B166" s="70">
        <f>fromNewLinkREsponses!A29</f>
        <v>45668.57885416667</v>
      </c>
      <c r="C166" s="71" t="str">
        <f>fromNewLinkREsponses!B29</f>
        <v>impt85@gmail.com</v>
      </c>
      <c r="D166" s="71" t="str">
        <f>fromNewLinkREsponses!D29</f>
        <v>Shri Premji Taparia</v>
      </c>
      <c r="E166" s="71" t="str">
        <f>fromNewLinkREsponses!E29</f>
        <v>Ganeshilal Ramkishan Bharadia</v>
      </c>
      <c r="F166" s="71">
        <f>fromNewLinkREsponses!F29</f>
        <v>9819789523</v>
      </c>
      <c r="G166" s="72" t="str">
        <f>fromNewLinkREsponses!C29</f>
        <v>Confirmed Presence</v>
      </c>
      <c r="H166" s="73">
        <f>fromNewLinkREsponses!G29</f>
        <v>0</v>
      </c>
      <c r="I166" t="b">
        <f t="shared" si="2"/>
        <v>0</v>
      </c>
    </row>
    <row r="167" spans="1:9" ht="15.75" thickBot="1" x14ac:dyDescent="0.3">
      <c r="A167">
        <f>F167</f>
        <v>9819802826</v>
      </c>
      <c r="B167" s="70">
        <f>fromNewLinkREsponses!A168</f>
        <v>45699.538356481484</v>
      </c>
      <c r="C167" s="71" t="str">
        <f>fromNewLinkREsponses!B168</f>
        <v>caananddaliya@gmail.com</v>
      </c>
      <c r="D167" s="71" t="str">
        <f>fromNewLinkREsponses!D168</f>
        <v>Anand Omprakash Daliya</v>
      </c>
      <c r="E167" s="71" t="str">
        <f>fromNewLinkREsponses!E168</f>
        <v>Ghanshyam Chandmal Darak</v>
      </c>
      <c r="F167" s="71">
        <f>fromNewLinkREsponses!F168</f>
        <v>9819802826</v>
      </c>
      <c r="G167" s="72" t="str">
        <f>fromNewLinkREsponses!C168</f>
        <v>Not Reachable</v>
      </c>
      <c r="H167" s="73" t="str">
        <f>fromNewLinkREsponses!G168</f>
        <v>Switch off</v>
      </c>
      <c r="I167" t="b">
        <f t="shared" si="2"/>
        <v>0</v>
      </c>
    </row>
    <row r="168" spans="1:9" ht="15.75" thickBot="1" x14ac:dyDescent="0.3">
      <c r="A168">
        <f>F168</f>
        <v>9819884085</v>
      </c>
      <c r="B168" s="70">
        <f>fromNewLinkREsponses!A157</f>
        <v>45699.499236111114</v>
      </c>
      <c r="C168" s="71" t="str">
        <f>fromNewLinkREsponses!B157</f>
        <v>vipin0785@gmail.com</v>
      </c>
      <c r="D168" s="71" t="str">
        <f>fromNewLinkREsponses!D157</f>
        <v>Vipin Saboo</v>
      </c>
      <c r="E168" s="71" t="str">
        <f>fromNewLinkREsponses!E157</f>
        <v>Sandeep Jawaharlalji Ladha</v>
      </c>
      <c r="F168" s="71">
        <f>fromNewLinkREsponses!F157</f>
        <v>9819884085</v>
      </c>
      <c r="G168" s="72" t="str">
        <f>fromNewLinkREsponses!C157</f>
        <v>Not Reachable</v>
      </c>
      <c r="H168" s="73" t="str">
        <f>fromNewLinkREsponses!G157</f>
        <v>Did not attending the call</v>
      </c>
      <c r="I168" t="b">
        <f t="shared" si="2"/>
        <v>0</v>
      </c>
    </row>
    <row r="169" spans="1:9" ht="15.75" thickBot="1" x14ac:dyDescent="0.3">
      <c r="A169">
        <f>F169</f>
        <v>9819920011</v>
      </c>
      <c r="B169" s="70" t="str">
        <f>fromNewLinkREsponses!A3</f>
        <v>31/10/2025 11:49:22</v>
      </c>
      <c r="C169" s="71" t="str">
        <f>fromNewLinkREsponses!B3</f>
        <v>ratishmoondra2025@gmail.com</v>
      </c>
      <c r="D169" s="71" t="str">
        <f>fromNewLinkREsponses!D3</f>
        <v>Rahul Omshankar Assawa</v>
      </c>
      <c r="E169" s="71" t="str">
        <f>fromNewLinkREsponses!E3</f>
        <v>Ashok Harnarain Chandak</v>
      </c>
      <c r="F169" s="71">
        <f>fromNewLinkREsponses!F3</f>
        <v>9819920011</v>
      </c>
      <c r="G169" s="72" t="str">
        <f>fromNewLinkREsponses!C3</f>
        <v>Phone Busy</v>
      </c>
      <c r="H169" s="73">
        <f>fromNewLinkREsponses!G3</f>
        <v>0</v>
      </c>
      <c r="I169" t="b">
        <f t="shared" si="2"/>
        <v>0</v>
      </c>
    </row>
    <row r="170" spans="1:9" ht="15.75" thickBot="1" x14ac:dyDescent="0.3">
      <c r="A170">
        <f>F170</f>
        <v>9819929206</v>
      </c>
      <c r="B170" s="70">
        <f>fromNewLinkREsponses!A187</f>
        <v>45699.643518518518</v>
      </c>
      <c r="C170" s="71" t="str">
        <f>fromNewLinkREsponses!B187</f>
        <v>veenasarda20@gmail.com</v>
      </c>
      <c r="D170" s="71" t="str">
        <f>fromNewLinkREsponses!D187</f>
        <v>Veena Sarda</v>
      </c>
      <c r="E170" s="71" t="str">
        <f>fromNewLinkREsponses!E187</f>
        <v>Chandradevi Narayandas Daga</v>
      </c>
      <c r="F170" s="71">
        <f>fromNewLinkREsponses!F187</f>
        <v>9819929206</v>
      </c>
      <c r="G170" s="72" t="str">
        <f>fromNewLinkREsponses!C187</f>
        <v>May be Attending</v>
      </c>
      <c r="H170" s="73">
        <f>fromNewLinkREsponses!G187</f>
        <v>0</v>
      </c>
      <c r="I170" t="b">
        <f t="shared" si="2"/>
        <v>0</v>
      </c>
    </row>
    <row r="171" spans="1:9" ht="15.75" thickBot="1" x14ac:dyDescent="0.3">
      <c r="A171">
        <f>F171</f>
        <v>9820001618</v>
      </c>
      <c r="B171" s="31">
        <v>45958.880509259259</v>
      </c>
      <c r="C171" s="32"/>
      <c r="D171" s="5" t="s">
        <v>43</v>
      </c>
      <c r="E171" s="5" t="s">
        <v>115</v>
      </c>
      <c r="F171" s="4">
        <v>9820001618</v>
      </c>
      <c r="G171" s="5" t="s">
        <v>1010</v>
      </c>
      <c r="H171" s="67" t="s">
        <v>1115</v>
      </c>
      <c r="I171" t="b">
        <f t="shared" si="2"/>
        <v>0</v>
      </c>
    </row>
    <row r="172" spans="1:9" ht="15.75" thickBot="1" x14ac:dyDescent="0.3">
      <c r="A172">
        <f>F172</f>
        <v>9820027895</v>
      </c>
      <c r="B172" s="70">
        <f>fromNewLinkREsponses!A113</f>
        <v>45668.699212962965</v>
      </c>
      <c r="C172" s="71" t="str">
        <f>fromNewLinkREsponses!B113</f>
        <v>vipin0785@gmail.com</v>
      </c>
      <c r="D172" s="71" t="str">
        <f>fromNewLinkREsponses!D113</f>
        <v>Vipin Saboo</v>
      </c>
      <c r="E172" s="71" t="str">
        <f>fromNewLinkREsponses!E113</f>
        <v>Kuldeep Gulabchand Mantri</v>
      </c>
      <c r="F172" s="71">
        <f>fromNewLinkREsponses!F113</f>
        <v>9820027895</v>
      </c>
      <c r="G172" s="72" t="str">
        <f>fromNewLinkREsponses!C113</f>
        <v>Not Coming</v>
      </c>
      <c r="H172" s="73">
        <f>fromNewLinkREsponses!G113</f>
        <v>0</v>
      </c>
      <c r="I172" t="b">
        <f t="shared" si="2"/>
        <v>0</v>
      </c>
    </row>
    <row r="173" spans="1:9" ht="15.75" thickBot="1" x14ac:dyDescent="0.3">
      <c r="A173">
        <f>F173</f>
        <v>9820032318</v>
      </c>
      <c r="B173" s="70">
        <v>45949.47991898148</v>
      </c>
      <c r="C173" s="74"/>
      <c r="D173" s="71" t="s">
        <v>35</v>
      </c>
      <c r="E173" s="71" t="s">
        <v>397</v>
      </c>
      <c r="F173" s="72">
        <v>9820032318</v>
      </c>
      <c r="G173" s="71" t="s">
        <v>1012</v>
      </c>
      <c r="H173" s="73"/>
      <c r="I173" t="b">
        <f t="shared" si="2"/>
        <v>0</v>
      </c>
    </row>
    <row r="174" spans="1:9" ht="15.75" thickBot="1" x14ac:dyDescent="0.3">
      <c r="A174">
        <f>F174</f>
        <v>9820043682</v>
      </c>
      <c r="B174" s="70">
        <v>45942.667824074073</v>
      </c>
      <c r="C174" s="74"/>
      <c r="D174" s="71" t="s">
        <v>17</v>
      </c>
      <c r="E174" s="71" t="s">
        <v>198</v>
      </c>
      <c r="F174" s="72">
        <v>9820043682</v>
      </c>
      <c r="G174" s="71" t="s">
        <v>1010</v>
      </c>
      <c r="H174" s="73"/>
      <c r="I174" t="b">
        <f t="shared" si="2"/>
        <v>0</v>
      </c>
    </row>
    <row r="175" spans="1:9" ht="15.75" thickBot="1" x14ac:dyDescent="0.3">
      <c r="A175">
        <f>F175</f>
        <v>9820048419</v>
      </c>
      <c r="B175" s="31">
        <v>45941.594398148147</v>
      </c>
      <c r="C175" s="32"/>
      <c r="D175" s="5" t="s">
        <v>47</v>
      </c>
      <c r="E175" s="5" t="s">
        <v>450</v>
      </c>
      <c r="F175" s="4">
        <v>9820048419</v>
      </c>
      <c r="G175" s="5" t="s">
        <v>1010</v>
      </c>
      <c r="H175" s="33"/>
      <c r="I175" t="b">
        <f t="shared" si="2"/>
        <v>0</v>
      </c>
    </row>
    <row r="176" spans="1:9" ht="15.75" thickBot="1" x14ac:dyDescent="0.3">
      <c r="A176">
        <f>F176</f>
        <v>9820066427</v>
      </c>
      <c r="B176" s="70">
        <f>fromNewLinkREsponses!A38</f>
        <v>45668.582083333335</v>
      </c>
      <c r="C176" s="71" t="str">
        <f>fromNewLinkREsponses!B38</f>
        <v>jagdish.lahoti92@gmail.com</v>
      </c>
      <c r="D176" s="71" t="str">
        <f>fromNewLinkREsponses!D38</f>
        <v>Jagdish Rameshchand Lahoti</v>
      </c>
      <c r="E176" s="71" t="str">
        <f>fromNewLinkREsponses!E38</f>
        <v>Rajesh Purushottam Bang</v>
      </c>
      <c r="F176" s="71">
        <f>fromNewLinkREsponses!F38</f>
        <v>9820066427</v>
      </c>
      <c r="G176" s="72" t="str">
        <f>fromNewLinkREsponses!C38</f>
        <v>Confirmed Presence</v>
      </c>
      <c r="H176" s="73">
        <f>fromNewLinkREsponses!G38</f>
        <v>0</v>
      </c>
      <c r="I176" t="b">
        <f t="shared" si="2"/>
        <v>0</v>
      </c>
    </row>
    <row r="177" spans="1:9" ht="15.75" thickBot="1" x14ac:dyDescent="0.3">
      <c r="A177">
        <f>F177</f>
        <v>9820070274</v>
      </c>
      <c r="B177" s="70">
        <f>fromNewLinkREsponses!A165</f>
        <v>45699.533668981479</v>
      </c>
      <c r="C177" s="71" t="str">
        <f>fromNewLinkREsponses!B165</f>
        <v>caananddaliya@gmail.com</v>
      </c>
      <c r="D177" s="71" t="str">
        <f>fromNewLinkREsponses!D165</f>
        <v>Anand Omprakash Daliya</v>
      </c>
      <c r="E177" s="71" t="str">
        <f>fromNewLinkREsponses!E165</f>
        <v>Biharilal Satynarayan Jhawar</v>
      </c>
      <c r="F177" s="71">
        <f>fromNewLinkREsponses!F165</f>
        <v>9820070274</v>
      </c>
      <c r="G177" s="72" t="str">
        <f>fromNewLinkREsponses!C165</f>
        <v>Confirmed Presence</v>
      </c>
      <c r="H177" s="73" t="str">
        <f>fromNewLinkREsponses!G165</f>
        <v>2 Confirmation</v>
      </c>
      <c r="I177" t="b">
        <f t="shared" si="2"/>
        <v>0</v>
      </c>
    </row>
    <row r="178" spans="1:9" ht="15.75" thickBot="1" x14ac:dyDescent="0.3">
      <c r="A178">
        <f>F178</f>
        <v>9820075931</v>
      </c>
      <c r="B178" s="70">
        <f>fromNewLinkREsponses!A160</f>
        <v>45699.501226851855</v>
      </c>
      <c r="C178" s="71" t="str">
        <f>fromNewLinkREsponses!B160</f>
        <v>vipin0785@gmail.com</v>
      </c>
      <c r="D178" s="71" t="str">
        <f>fromNewLinkREsponses!D160</f>
        <v>Vipin Saboo</v>
      </c>
      <c r="E178" s="71" t="str">
        <f>fromNewLinkREsponses!E160</f>
        <v>Dilip Chandanmal Jhanwar</v>
      </c>
      <c r="F178" s="71">
        <f>fromNewLinkREsponses!F160</f>
        <v>9820075931</v>
      </c>
      <c r="G178" s="72" t="str">
        <f>fromNewLinkREsponses!C160</f>
        <v>Not Coming</v>
      </c>
      <c r="H178" s="73" t="str">
        <f>fromNewLinkREsponses!G160</f>
        <v>Not available</v>
      </c>
      <c r="I178" t="b">
        <f t="shared" si="2"/>
        <v>0</v>
      </c>
    </row>
    <row r="179" spans="1:9" ht="15.75" thickBot="1" x14ac:dyDescent="0.3">
      <c r="A179">
        <f>F179</f>
        <v>9820087717</v>
      </c>
      <c r="B179" s="31">
        <v>45942.6565162037</v>
      </c>
      <c r="C179" s="32"/>
      <c r="D179" s="5" t="s">
        <v>17</v>
      </c>
      <c r="E179" s="5" t="s">
        <v>578</v>
      </c>
      <c r="F179" s="4">
        <v>9820087717</v>
      </c>
      <c r="G179" s="5" t="s">
        <v>1010</v>
      </c>
      <c r="H179" s="33"/>
      <c r="I179" t="b">
        <f t="shared" si="2"/>
        <v>0</v>
      </c>
    </row>
    <row r="180" spans="1:9" ht="15.75" thickBot="1" x14ac:dyDescent="0.3">
      <c r="A180">
        <f>F180</f>
        <v>9820089651</v>
      </c>
      <c r="B180" s="70">
        <f>fromNewLinkREsponses!A122</f>
        <v>45668.76834490741</v>
      </c>
      <c r="C180" s="71" t="str">
        <f>fromNewLinkREsponses!B122</f>
        <v>jyotis1311@gmail.com</v>
      </c>
      <c r="D180" s="71" t="str">
        <f>fromNewLinkREsponses!D122</f>
        <v>Jyotsna Sohan Sarda</v>
      </c>
      <c r="E180" s="71" t="str">
        <f>fromNewLinkREsponses!E122</f>
        <v>Pratibha Mukesh Laddha</v>
      </c>
      <c r="F180" s="71">
        <f>fromNewLinkREsponses!F122</f>
        <v>9820089651</v>
      </c>
      <c r="G180" s="72" t="str">
        <f>fromNewLinkREsponses!C122</f>
        <v>May be Attending</v>
      </c>
      <c r="H180" s="73">
        <f>fromNewLinkREsponses!G122</f>
        <v>0</v>
      </c>
      <c r="I180" t="b">
        <f t="shared" si="2"/>
        <v>0</v>
      </c>
    </row>
    <row r="181" spans="1:9" ht="15.75" thickBot="1" x14ac:dyDescent="0.3">
      <c r="A181">
        <f>F181</f>
        <v>9820130862</v>
      </c>
      <c r="B181" s="31">
        <v>45949.485763888886</v>
      </c>
      <c r="C181" s="32"/>
      <c r="D181" s="5" t="s">
        <v>35</v>
      </c>
      <c r="E181" s="5" t="s">
        <v>207</v>
      </c>
      <c r="F181" s="4">
        <v>9820130862</v>
      </c>
      <c r="G181" s="5" t="s">
        <v>1010</v>
      </c>
      <c r="H181" s="33"/>
      <c r="I181" t="b">
        <f t="shared" si="2"/>
        <v>0</v>
      </c>
    </row>
    <row r="182" spans="1:9" ht="15.75" thickBot="1" x14ac:dyDescent="0.3">
      <c r="A182">
        <f>F182</f>
        <v>9820144077</v>
      </c>
      <c r="B182" s="70">
        <f>fromNewLinkREsponses!A63</f>
        <v>45668.621770833335</v>
      </c>
      <c r="C182" s="71" t="str">
        <f>fromNewLinkREsponses!B63</f>
        <v>trysachin@gmail.com</v>
      </c>
      <c r="D182" s="71" t="str">
        <f>fromNewLinkREsponses!D63</f>
        <v>Khushboo Sachin Dhoot</v>
      </c>
      <c r="E182" s="71" t="str">
        <f>fromNewLinkREsponses!E63</f>
        <v>Madhusudan Surajratan Mimani</v>
      </c>
      <c r="F182" s="71">
        <f>fromNewLinkREsponses!F63</f>
        <v>9820144077</v>
      </c>
      <c r="G182" s="72" t="str">
        <f>fromNewLinkREsponses!C63</f>
        <v>May be Attending</v>
      </c>
      <c r="H182" s="73" t="str">
        <f>fromNewLinkREsponses!G63</f>
        <v>Will decide at last moment</v>
      </c>
      <c r="I182" t="b">
        <f t="shared" si="2"/>
        <v>0</v>
      </c>
    </row>
    <row r="183" spans="1:9" ht="15.75" thickBot="1" x14ac:dyDescent="0.3">
      <c r="A183">
        <f>F183</f>
        <v>9820144705</v>
      </c>
      <c r="B183" s="70">
        <f>fromNewLinkREsponses!A89</f>
        <v>45668.675844907404</v>
      </c>
      <c r="C183" s="71" t="str">
        <f>fromNewLinkREsponses!B89</f>
        <v>caprachirathi@gmail.com</v>
      </c>
      <c r="D183" s="71" t="str">
        <f>fromNewLinkREsponses!D89</f>
        <v>Prachi Ankit Kabra</v>
      </c>
      <c r="E183" s="71" t="str">
        <f>fromNewLinkREsponses!E89</f>
        <v>Pawan Champalal Daga</v>
      </c>
      <c r="F183" s="71">
        <f>fromNewLinkREsponses!F89</f>
        <v>9820144705</v>
      </c>
      <c r="G183" s="72" t="str">
        <f>fromNewLinkREsponses!C89</f>
        <v>Not Reachable</v>
      </c>
      <c r="H183" s="73" t="str">
        <f>fromNewLinkREsponses!G89</f>
        <v>Call not picked</v>
      </c>
      <c r="I183" t="b">
        <f t="shared" si="2"/>
        <v>0</v>
      </c>
    </row>
    <row r="184" spans="1:9" ht="15.75" thickBot="1" x14ac:dyDescent="0.3">
      <c r="A184">
        <f>F184</f>
        <v>9820149837</v>
      </c>
      <c r="B184" s="70">
        <v>45949.484270833331</v>
      </c>
      <c r="C184" s="74"/>
      <c r="D184" s="71" t="s">
        <v>35</v>
      </c>
      <c r="E184" s="71" t="s">
        <v>444</v>
      </c>
      <c r="F184" s="72">
        <v>9820149837</v>
      </c>
      <c r="G184" s="71" t="s">
        <v>1013</v>
      </c>
      <c r="H184" s="75" t="s">
        <v>1038</v>
      </c>
      <c r="I184" t="b">
        <f t="shared" si="2"/>
        <v>0</v>
      </c>
    </row>
    <row r="185" spans="1:9" ht="15.75" thickBot="1" x14ac:dyDescent="0.3">
      <c r="A185">
        <f>F185</f>
        <v>9820164386</v>
      </c>
      <c r="B185" s="70">
        <v>45942.664664351854</v>
      </c>
      <c r="C185" s="74"/>
      <c r="D185" s="71" t="s">
        <v>17</v>
      </c>
      <c r="E185" s="71" t="s">
        <v>341</v>
      </c>
      <c r="F185" s="72">
        <v>9820164386</v>
      </c>
      <c r="G185" s="71" t="s">
        <v>1010</v>
      </c>
      <c r="H185" s="73"/>
      <c r="I185" t="b">
        <f t="shared" si="2"/>
        <v>0</v>
      </c>
    </row>
    <row r="186" spans="1:9" ht="15.75" thickBot="1" x14ac:dyDescent="0.3">
      <c r="A186">
        <f>F186</f>
        <v>9820230357</v>
      </c>
      <c r="B186" s="70">
        <f>fromNewLinkREsponses!A31</f>
        <v>45668.580324074072</v>
      </c>
      <c r="C186" s="71" t="str">
        <f>fromNewLinkREsponses!B31</f>
        <v>jagdish.lahoti92@gmail.com</v>
      </c>
      <c r="D186" s="71" t="str">
        <f>fromNewLinkREsponses!D31</f>
        <v>Jagdish Rameshchand Lahoti</v>
      </c>
      <c r="E186" s="71" t="str">
        <f>fromNewLinkREsponses!E31</f>
        <v>Prakash Ramvilas Hurkat</v>
      </c>
      <c r="F186" s="71">
        <f>fromNewLinkREsponses!F31</f>
        <v>9820230357</v>
      </c>
      <c r="G186" s="72" t="str">
        <f>fromNewLinkREsponses!C31</f>
        <v>Not Reachable</v>
      </c>
      <c r="H186" s="73">
        <f>fromNewLinkREsponses!G31</f>
        <v>0</v>
      </c>
      <c r="I186" t="b">
        <f t="shared" si="2"/>
        <v>0</v>
      </c>
    </row>
    <row r="187" spans="1:9" ht="15.75" thickBot="1" x14ac:dyDescent="0.3">
      <c r="A187">
        <f>F187</f>
        <v>9820251565</v>
      </c>
      <c r="B187" s="70">
        <f>fromNewLinkREsponses!A126</f>
        <v>45668.769166666665</v>
      </c>
      <c r="C187" s="71" t="str">
        <f>fromNewLinkREsponses!B126</f>
        <v>jyotis1311@gmail.com</v>
      </c>
      <c r="D187" s="71" t="str">
        <f>fromNewLinkREsponses!D126</f>
        <v>Jyotsna Sohan Sarda</v>
      </c>
      <c r="E187" s="71" t="str">
        <f>fromNewLinkREsponses!E126</f>
        <v>Suman Rittesh Rathi</v>
      </c>
      <c r="F187" s="71">
        <f>fromNewLinkREsponses!F126</f>
        <v>9820251565</v>
      </c>
      <c r="G187" s="72">
        <f>fromNewLinkREsponses!C126</f>
        <v>0</v>
      </c>
      <c r="H187" s="73" t="str">
        <f>fromNewLinkREsponses!G126</f>
        <v>Not picked up</v>
      </c>
      <c r="I187" t="b">
        <f t="shared" si="2"/>
        <v>0</v>
      </c>
    </row>
    <row r="188" spans="1:9" ht="15.75" thickBot="1" x14ac:dyDescent="0.3">
      <c r="A188">
        <f>F188</f>
        <v>9820267735</v>
      </c>
      <c r="B188" s="70">
        <f>fromNewLinkREsponses!A158</f>
        <v>45699.499907407408</v>
      </c>
      <c r="C188" s="71" t="str">
        <f>fromNewLinkREsponses!B158</f>
        <v>vipin0785@gmail.com</v>
      </c>
      <c r="D188" s="71" t="str">
        <f>fromNewLinkREsponses!D158</f>
        <v>Vipin Saboo</v>
      </c>
      <c r="E188" s="71" t="str">
        <f>fromNewLinkREsponses!E158</f>
        <v>Ramdas Girdhardas Daga</v>
      </c>
      <c r="F188" s="71">
        <f>fromNewLinkREsponses!F158</f>
        <v>9820267735</v>
      </c>
      <c r="G188" s="72" t="str">
        <f>fromNewLinkREsponses!C158</f>
        <v>Not Reachable</v>
      </c>
      <c r="H188" s="73" t="str">
        <f>fromNewLinkREsponses!G158</f>
        <v>Not reachable</v>
      </c>
      <c r="I188" t="b">
        <f t="shared" si="2"/>
        <v>0</v>
      </c>
    </row>
    <row r="189" spans="1:9" ht="15.75" thickBot="1" x14ac:dyDescent="0.3">
      <c r="A189">
        <f>F189</f>
        <v>9820282322</v>
      </c>
      <c r="B189" s="70">
        <f>fromNewLinkREsponses!A194</f>
        <v>45699.807928240742</v>
      </c>
      <c r="C189" s="71" t="str">
        <f>fromNewLinkREsponses!B194</f>
        <v>soniminu71@gmail.com</v>
      </c>
      <c r="D189" s="71" t="str">
        <f>fromNewLinkREsponses!D194</f>
        <v>Meenu Lalit Soni</v>
      </c>
      <c r="E189" s="71" t="str">
        <f>fromNewLinkREsponses!E194</f>
        <v>Jyoti Nanakram Sodhani</v>
      </c>
      <c r="F189" s="71">
        <f>fromNewLinkREsponses!F194</f>
        <v>9820282322</v>
      </c>
      <c r="G189" s="72" t="str">
        <f>fromNewLinkREsponses!C194</f>
        <v>Confirmed Presence</v>
      </c>
      <c r="H189" s="73">
        <f>fromNewLinkREsponses!G194</f>
        <v>0</v>
      </c>
      <c r="I189" t="b">
        <f t="shared" si="2"/>
        <v>0</v>
      </c>
    </row>
    <row r="190" spans="1:9" ht="26.25" thickBot="1" x14ac:dyDescent="0.3">
      <c r="A190">
        <f>F190</f>
        <v>9820284712</v>
      </c>
      <c r="B190" s="70">
        <v>45959.383032407408</v>
      </c>
      <c r="C190" s="74"/>
      <c r="D190" s="71" t="s">
        <v>61</v>
      </c>
      <c r="E190" s="71" t="s">
        <v>504</v>
      </c>
      <c r="F190" s="72">
        <v>9820284712</v>
      </c>
      <c r="G190" s="71" t="s">
        <v>1011</v>
      </c>
      <c r="H190" s="75" t="s">
        <v>1122</v>
      </c>
      <c r="I190" t="b">
        <f t="shared" si="2"/>
        <v>0</v>
      </c>
    </row>
    <row r="191" spans="1:9" ht="15.75" thickBot="1" x14ac:dyDescent="0.3">
      <c r="A191">
        <f>F191</f>
        <v>9820348614</v>
      </c>
      <c r="B191" s="31">
        <v>45949.482638888891</v>
      </c>
      <c r="C191" s="32"/>
      <c r="D191" s="5" t="s">
        <v>35</v>
      </c>
      <c r="E191" s="5" t="s">
        <v>159</v>
      </c>
      <c r="F191" s="4">
        <v>9820348614</v>
      </c>
      <c r="G191" s="5" t="s">
        <v>1011</v>
      </c>
      <c r="H191" s="67" t="s">
        <v>1037</v>
      </c>
      <c r="I191" t="b">
        <f t="shared" si="2"/>
        <v>0</v>
      </c>
    </row>
    <row r="192" spans="1:9" ht="15.75" thickBot="1" x14ac:dyDescent="0.3">
      <c r="A192">
        <f>F192</f>
        <v>9820351436</v>
      </c>
      <c r="B192" s="70">
        <v>45943.703750000001</v>
      </c>
      <c r="C192" s="74"/>
      <c r="D192" s="71" t="s">
        <v>45</v>
      </c>
      <c r="E192" s="71" t="s">
        <v>449</v>
      </c>
      <c r="F192" s="72">
        <v>9820351436</v>
      </c>
      <c r="G192" s="71" t="s">
        <v>1010</v>
      </c>
      <c r="H192" s="73"/>
      <c r="I192" t="b">
        <f t="shared" si="2"/>
        <v>0</v>
      </c>
    </row>
    <row r="193" spans="1:9" ht="15.75" thickBot="1" x14ac:dyDescent="0.3">
      <c r="A193">
        <f>F193</f>
        <v>9820444531</v>
      </c>
      <c r="B193" s="70">
        <f>fromNewLinkREsponses!A36</f>
        <v>45668.581886574073</v>
      </c>
      <c r="C193" s="71" t="str">
        <f>fromNewLinkREsponses!B36</f>
        <v>arkmantri@gmail.com</v>
      </c>
      <c r="D193" s="71" t="str">
        <f>fromNewLinkREsponses!D36</f>
        <v>Shri Avinash Mantri</v>
      </c>
      <c r="E193" s="71" t="str">
        <f>fromNewLinkREsponses!E36</f>
        <v>Ashish Gopallal Pugalia</v>
      </c>
      <c r="F193" s="71">
        <f>fromNewLinkREsponses!F36</f>
        <v>9820444531</v>
      </c>
      <c r="G193" s="72" t="str">
        <f>fromNewLinkREsponses!C36</f>
        <v>May be Attending</v>
      </c>
      <c r="H193" s="73" t="str">
        <f>fromNewLinkREsponses!G36</f>
        <v>Will let us know</v>
      </c>
      <c r="I193" t="b">
        <f t="shared" si="2"/>
        <v>0</v>
      </c>
    </row>
    <row r="194" spans="1:9" ht="15.75" thickBot="1" x14ac:dyDescent="0.3">
      <c r="A194">
        <f>F194</f>
        <v>9820454557</v>
      </c>
      <c r="B194" s="70">
        <f>fromNewLinkREsponses!A135</f>
        <v>45699.430706018517</v>
      </c>
      <c r="C194" s="71" t="str">
        <f>fromNewLinkREsponses!B135</f>
        <v>rassawa@gmail.com</v>
      </c>
      <c r="D194" s="71" t="str">
        <f>fromNewLinkREsponses!D135</f>
        <v>Rahul Omshankar Assawa</v>
      </c>
      <c r="E194" s="71" t="str">
        <f>fromNewLinkREsponses!E135</f>
        <v>Jagdishchandra Sohanlal Mantri</v>
      </c>
      <c r="F194" s="71">
        <f>fromNewLinkREsponses!F135</f>
        <v>9820454557</v>
      </c>
      <c r="G194" s="72" t="str">
        <f>fromNewLinkREsponses!C135</f>
        <v>Confirmed Presence</v>
      </c>
      <c r="H194" s="73">
        <f>fromNewLinkREsponses!G135</f>
        <v>0</v>
      </c>
      <c r="I194" t="b">
        <f t="shared" si="2"/>
        <v>0</v>
      </c>
    </row>
    <row r="195" spans="1:9" ht="26.25" thickBot="1" x14ac:dyDescent="0.3">
      <c r="A195">
        <f>F195</f>
        <v>9820460950</v>
      </c>
      <c r="B195" s="70">
        <f>fromNewLinkREsponses!A137</f>
        <v>45699.432268518518</v>
      </c>
      <c r="C195" s="71" t="str">
        <f>fromNewLinkREsponses!B137</f>
        <v>rassawa@gmail.com</v>
      </c>
      <c r="D195" s="71" t="str">
        <f>fromNewLinkREsponses!D137</f>
        <v>Rahul Omshankar Assawa</v>
      </c>
      <c r="E195" s="71" t="str">
        <f>fromNewLinkREsponses!E137</f>
        <v>Jayprakash Mohanlal Jhawar</v>
      </c>
      <c r="F195" s="71">
        <f>fromNewLinkREsponses!F137</f>
        <v>9820460950</v>
      </c>
      <c r="G195" s="72" t="str">
        <f>fromNewLinkREsponses!C137</f>
        <v>May be Attending</v>
      </c>
      <c r="H195" s="73" t="str">
        <f>fromNewLinkREsponses!G137</f>
        <v>Busy in pune, will try to attend if possible</v>
      </c>
      <c r="I195" t="b">
        <f t="shared" si="2"/>
        <v>0</v>
      </c>
    </row>
    <row r="196" spans="1:9" ht="15.75" thickBot="1" x14ac:dyDescent="0.3">
      <c r="A196">
        <f>F196</f>
        <v>9820522401</v>
      </c>
      <c r="B196" s="70">
        <f>fromNewLinkREsponses!A88</f>
        <v>45668.675671296296</v>
      </c>
      <c r="C196" s="71" t="str">
        <f>fromNewLinkREsponses!B88</f>
        <v>caprachirathi@gmail.com</v>
      </c>
      <c r="D196" s="71" t="str">
        <f>fromNewLinkREsponses!D88</f>
        <v>Prachi Ankit Kabra</v>
      </c>
      <c r="E196" s="71" t="str">
        <f>fromNewLinkREsponses!E88</f>
        <v>Radheyshyam Sitaram Lahoti</v>
      </c>
      <c r="F196" s="71">
        <f>fromNewLinkREsponses!F88</f>
        <v>9820522401</v>
      </c>
      <c r="G196" s="72" t="str">
        <f>fromNewLinkREsponses!C88</f>
        <v>Not Reachable</v>
      </c>
      <c r="H196" s="73" t="str">
        <f>fromNewLinkREsponses!G88</f>
        <v>Call not picked</v>
      </c>
      <c r="I196" t="b">
        <f t="shared" ref="I196:I259" si="3">F195=F196</f>
        <v>0</v>
      </c>
    </row>
    <row r="197" spans="1:9" ht="15.75" thickBot="1" x14ac:dyDescent="0.3">
      <c r="A197">
        <f>F197</f>
        <v>9820524522</v>
      </c>
      <c r="B197" s="70" t="str">
        <f>fromNewLinkREsponses!A6</f>
        <v>31/10/2025 21:51:19</v>
      </c>
      <c r="C197" s="71" t="str">
        <f>fromNewLinkREsponses!B6</f>
        <v>nikechandak@gmail.com</v>
      </c>
      <c r="D197" s="71" t="str">
        <f>fromNewLinkREsponses!D6</f>
        <v>Shri Nikhilji Chandak</v>
      </c>
      <c r="E197" s="71" t="str">
        <f>fromNewLinkREsponses!E6</f>
        <v>Saurabh Harshvardhan Lakhotiya</v>
      </c>
      <c r="F197" s="71">
        <f>fromNewLinkREsponses!F6</f>
        <v>9820524522</v>
      </c>
      <c r="G197" s="72" t="str">
        <f>fromNewLinkREsponses!C6</f>
        <v>Confirmed Presence</v>
      </c>
      <c r="H197" s="73">
        <f>fromNewLinkREsponses!G6</f>
        <v>0</v>
      </c>
      <c r="I197" t="b">
        <f t="shared" si="3"/>
        <v>0</v>
      </c>
    </row>
    <row r="198" spans="1:9" ht="15.75" thickBot="1" x14ac:dyDescent="0.3">
      <c r="A198">
        <f>F198</f>
        <v>9820550154</v>
      </c>
      <c r="B198" s="70">
        <f>fromNewLinkREsponses!A166</f>
        <v>45699.536469907405</v>
      </c>
      <c r="C198" s="71" t="str">
        <f>fromNewLinkREsponses!B166</f>
        <v>caananddaliya@gmail.com</v>
      </c>
      <c r="D198" s="71" t="str">
        <f>fromNewLinkREsponses!D166</f>
        <v>Anand Omprakash Daliya</v>
      </c>
      <c r="E198" s="71" t="str">
        <f>fromNewLinkREsponses!E166</f>
        <v>Gaurishankar Govardhan Lohia</v>
      </c>
      <c r="F198" s="71">
        <f>fromNewLinkREsponses!F166</f>
        <v>9820550154</v>
      </c>
      <c r="G198" s="72" t="str">
        <f>fromNewLinkREsponses!C166</f>
        <v>Confirmed Presence</v>
      </c>
      <c r="H198" s="73">
        <f>fromNewLinkREsponses!G166</f>
        <v>5</v>
      </c>
      <c r="I198" t="b">
        <f t="shared" si="3"/>
        <v>0</v>
      </c>
    </row>
    <row r="199" spans="1:9" ht="15.75" thickBot="1" x14ac:dyDescent="0.3">
      <c r="A199">
        <f>F199</f>
        <v>9820551229</v>
      </c>
      <c r="B199" s="31">
        <v>45943.69872685185</v>
      </c>
      <c r="C199" s="32"/>
      <c r="D199" s="5" t="s">
        <v>45</v>
      </c>
      <c r="E199" s="5" t="s">
        <v>735</v>
      </c>
      <c r="F199" s="4">
        <v>9820551229</v>
      </c>
      <c r="G199" s="5" t="s">
        <v>1010</v>
      </c>
      <c r="H199" s="33"/>
      <c r="I199" t="b">
        <f t="shared" si="3"/>
        <v>0</v>
      </c>
    </row>
    <row r="200" spans="1:9" ht="15.75" thickBot="1" x14ac:dyDescent="0.3">
      <c r="A200">
        <f>F200</f>
        <v>9820558544</v>
      </c>
      <c r="B200" s="70">
        <f>fromNewLinkREsponses!A92</f>
        <v>45668.67695601852</v>
      </c>
      <c r="C200" s="71" t="str">
        <f>fromNewLinkREsponses!B92</f>
        <v>caprachirathi@gmail.com</v>
      </c>
      <c r="D200" s="71" t="str">
        <f>fromNewLinkREsponses!D92</f>
        <v>Prachi Ankit Kabra</v>
      </c>
      <c r="E200" s="71" t="str">
        <f>fromNewLinkREsponses!E92</f>
        <v>Shrikant Hanumandas Dangra</v>
      </c>
      <c r="F200" s="71">
        <f>fromNewLinkREsponses!F92</f>
        <v>9820558544</v>
      </c>
      <c r="G200" s="72" t="str">
        <f>fromNewLinkREsponses!C92</f>
        <v>Not Reachable</v>
      </c>
      <c r="H200" s="73" t="str">
        <f>fromNewLinkREsponses!G92</f>
        <v>Number out of service</v>
      </c>
      <c r="I200" t="b">
        <f t="shared" si="3"/>
        <v>0</v>
      </c>
    </row>
    <row r="201" spans="1:9" ht="15.75" thickBot="1" x14ac:dyDescent="0.3">
      <c r="A201">
        <f>F201</f>
        <v>9820569281</v>
      </c>
      <c r="B201" s="70">
        <f>fromNewLinkREsponses!A61</f>
        <v>45668.62122685185</v>
      </c>
      <c r="C201" s="71" t="str">
        <f>fromNewLinkREsponses!B61</f>
        <v>trysachin@gmail.com</v>
      </c>
      <c r="D201" s="71" t="str">
        <f>fromNewLinkREsponses!D61</f>
        <v>Khushboo Sachin Dhoot</v>
      </c>
      <c r="E201" s="71" t="str">
        <f>fromNewLinkREsponses!E61</f>
        <v>Harinarayan Sitaram Sodhani</v>
      </c>
      <c r="F201" s="71">
        <f>fromNewLinkREsponses!F61</f>
        <v>9820569281</v>
      </c>
      <c r="G201" s="72" t="str">
        <f>fromNewLinkREsponses!C61</f>
        <v>May be Attending</v>
      </c>
      <c r="H201" s="73">
        <f>fromNewLinkREsponses!G61</f>
        <v>0</v>
      </c>
      <c r="I201" t="b">
        <f t="shared" si="3"/>
        <v>0</v>
      </c>
    </row>
    <row r="202" spans="1:9" ht="15.75" thickBot="1" x14ac:dyDescent="0.3">
      <c r="A202">
        <f>F202</f>
        <v>9820610112</v>
      </c>
      <c r="B202" s="70">
        <v>45948.68787037037</v>
      </c>
      <c r="C202" s="74"/>
      <c r="D202" s="71" t="s">
        <v>73</v>
      </c>
      <c r="E202" s="71" t="s">
        <v>606</v>
      </c>
      <c r="F202" s="72">
        <v>9820610112</v>
      </c>
      <c r="G202" s="71" t="s">
        <v>1010</v>
      </c>
      <c r="H202" s="75" t="s">
        <v>1034</v>
      </c>
      <c r="I202" t="b">
        <f t="shared" si="3"/>
        <v>0</v>
      </c>
    </row>
    <row r="203" spans="1:9" ht="15.75" thickBot="1" x14ac:dyDescent="0.3">
      <c r="A203">
        <f>F203</f>
        <v>9820618488</v>
      </c>
      <c r="B203" s="31">
        <v>45957.871805555558</v>
      </c>
      <c r="C203" s="32"/>
      <c r="D203" s="5" t="s">
        <v>82</v>
      </c>
      <c r="E203" s="5" t="s">
        <v>231</v>
      </c>
      <c r="F203" s="4">
        <v>9820618488</v>
      </c>
      <c r="G203" s="5" t="s">
        <v>1012</v>
      </c>
      <c r="H203" s="33"/>
      <c r="I203" t="b">
        <f t="shared" si="3"/>
        <v>0</v>
      </c>
    </row>
    <row r="204" spans="1:9" ht="15.75" thickBot="1" x14ac:dyDescent="0.3">
      <c r="A204">
        <f>F204</f>
        <v>9820634447</v>
      </c>
      <c r="B204" s="70">
        <f>fromNewLinkREsponses!A176</f>
        <v>45699.586863425924</v>
      </c>
      <c r="C204" s="71" t="str">
        <f>fromNewLinkREsponses!B176</f>
        <v>prdhoot@gmail.com</v>
      </c>
      <c r="D204" s="71" t="str">
        <f>fromNewLinkREsponses!D176</f>
        <v>Prateek Ramesh Dhoot</v>
      </c>
      <c r="E204" s="71" t="str">
        <f>fromNewLinkREsponses!E176</f>
        <v>Jitendra Nandkishore Rathi</v>
      </c>
      <c r="F204" s="71">
        <f>fromNewLinkREsponses!F176</f>
        <v>9820634447</v>
      </c>
      <c r="G204" s="72" t="str">
        <f>fromNewLinkREsponses!C176</f>
        <v>Not Reachable</v>
      </c>
      <c r="H204" s="73">
        <f>fromNewLinkREsponses!G176</f>
        <v>0</v>
      </c>
      <c r="I204" t="b">
        <f t="shared" si="3"/>
        <v>0</v>
      </c>
    </row>
    <row r="205" spans="1:9" ht="15.75" thickBot="1" x14ac:dyDescent="0.3">
      <c r="A205">
        <f>F205</f>
        <v>9820659788</v>
      </c>
      <c r="B205" s="70">
        <f>fromNewLinkREsponses!A23</f>
        <v>45668.575289351851</v>
      </c>
      <c r="C205" s="71" t="str">
        <f>fromNewLinkREsponses!B23</f>
        <v>jagdish.lahoti92@gmail.com</v>
      </c>
      <c r="D205" s="71" t="str">
        <f>fromNewLinkREsponses!D23</f>
        <v>Jagdish Rameshchand Lahoti</v>
      </c>
      <c r="E205" s="71" t="str">
        <f>fromNewLinkREsponses!E23</f>
        <v>Lalit Sitaram Kabra</v>
      </c>
      <c r="F205" s="71">
        <f>fromNewLinkREsponses!F23</f>
        <v>9820659788</v>
      </c>
      <c r="G205" s="72" t="str">
        <f>fromNewLinkREsponses!C23</f>
        <v>Not Reachable</v>
      </c>
      <c r="H205" s="73">
        <f>fromNewLinkREsponses!G23</f>
        <v>0</v>
      </c>
      <c r="I205" t="b">
        <f t="shared" si="3"/>
        <v>0</v>
      </c>
    </row>
    <row r="206" spans="1:9" ht="15.75" thickBot="1" x14ac:dyDescent="0.3">
      <c r="A206">
        <f>F206</f>
        <v>9820660071</v>
      </c>
      <c r="B206" s="31">
        <v>45956.61824074074</v>
      </c>
      <c r="C206" s="32"/>
      <c r="D206" s="5" t="s">
        <v>73</v>
      </c>
      <c r="E206" s="5" t="s">
        <v>463</v>
      </c>
      <c r="F206" s="4">
        <v>9820660071</v>
      </c>
      <c r="G206" s="5" t="s">
        <v>1010</v>
      </c>
      <c r="H206" s="33"/>
      <c r="I206" t="b">
        <f t="shared" si="3"/>
        <v>0</v>
      </c>
    </row>
    <row r="207" spans="1:9" ht="15.75" thickBot="1" x14ac:dyDescent="0.3">
      <c r="A207">
        <f>F207</f>
        <v>9820660395</v>
      </c>
      <c r="B207" s="70">
        <f>fromNewLinkREsponses!A64</f>
        <v>45668.621990740743</v>
      </c>
      <c r="C207" s="71" t="str">
        <f>fromNewLinkREsponses!B64</f>
        <v>trysachin@gmail.com</v>
      </c>
      <c r="D207" s="71" t="str">
        <f>fromNewLinkREsponses!D64</f>
        <v>Khushboo Sachin Dhoot</v>
      </c>
      <c r="E207" s="71" t="str">
        <f>fromNewLinkREsponses!E64</f>
        <v>Manish Madangopal Asawa</v>
      </c>
      <c r="F207" s="71">
        <f>fromNewLinkREsponses!F64</f>
        <v>9820660395</v>
      </c>
      <c r="G207" s="72" t="str">
        <f>fromNewLinkREsponses!C64</f>
        <v>Not Coming</v>
      </c>
      <c r="H207" s="73" t="str">
        <f>fromNewLinkREsponses!G64</f>
        <v>Not in town</v>
      </c>
      <c r="I207" t="b">
        <f t="shared" si="3"/>
        <v>0</v>
      </c>
    </row>
    <row r="208" spans="1:9" ht="15.75" thickBot="1" x14ac:dyDescent="0.3">
      <c r="A208">
        <f>F208</f>
        <v>9820798553</v>
      </c>
      <c r="B208" s="70">
        <f>fromNewLinkREsponses!A35</f>
        <v>45668.581631944442</v>
      </c>
      <c r="C208" s="71" t="str">
        <f>fromNewLinkREsponses!B35</f>
        <v>impt85@gmail.com</v>
      </c>
      <c r="D208" s="71" t="str">
        <f>fromNewLinkREsponses!D35</f>
        <v>Shri Premji Taparia</v>
      </c>
      <c r="E208" s="71" t="str">
        <f>fromNewLinkREsponses!E35</f>
        <v>Narendra Shyamsundar Laddha</v>
      </c>
      <c r="F208" s="71">
        <f>fromNewLinkREsponses!F35</f>
        <v>9820798553</v>
      </c>
      <c r="G208" s="72" t="str">
        <f>fromNewLinkREsponses!C35</f>
        <v>Not Reachable</v>
      </c>
      <c r="H208" s="73">
        <f>fromNewLinkREsponses!G35</f>
        <v>0</v>
      </c>
      <c r="I208" t="b">
        <f t="shared" si="3"/>
        <v>0</v>
      </c>
    </row>
    <row r="209" spans="1:9" ht="15.75" thickBot="1" x14ac:dyDescent="0.3">
      <c r="A209">
        <f>F209</f>
        <v>9820804282</v>
      </c>
      <c r="B209" s="70">
        <f>fromNewLinkREsponses!A25</f>
        <v>45668.576249999998</v>
      </c>
      <c r="C209" s="71" t="str">
        <f>fromNewLinkREsponses!B25</f>
        <v>impt85@gmail.com</v>
      </c>
      <c r="D209" s="71" t="str">
        <f>fromNewLinkREsponses!D25</f>
        <v>Shri Premji Taparia</v>
      </c>
      <c r="E209" s="71" t="str">
        <f>fromNewLinkREsponses!E25</f>
        <v>Abhishek Nandkishor Rathi</v>
      </c>
      <c r="F209" s="71">
        <f>fromNewLinkREsponses!F25</f>
        <v>9820804282</v>
      </c>
      <c r="G209" s="72" t="str">
        <f>fromNewLinkREsponses!C25</f>
        <v>Confirmed Presence</v>
      </c>
      <c r="H209" s="73">
        <f>fromNewLinkREsponses!G25</f>
        <v>0</v>
      </c>
      <c r="I209" t="b">
        <f t="shared" si="3"/>
        <v>0</v>
      </c>
    </row>
    <row r="210" spans="1:9" ht="15.75" thickBot="1" x14ac:dyDescent="0.3">
      <c r="A210">
        <f>F210</f>
        <v>9820810762</v>
      </c>
      <c r="B210" s="70">
        <f>fromNewLinkREsponses!A45</f>
        <v>45668.587291666663</v>
      </c>
      <c r="C210" s="71" t="str">
        <f>fromNewLinkREsponses!B45</f>
        <v>impt85@gmail.com</v>
      </c>
      <c r="D210" s="71" t="str">
        <f>fromNewLinkREsponses!D45</f>
        <v>Shri Premji Taparia</v>
      </c>
      <c r="E210" s="71" t="str">
        <f>fromNewLinkREsponses!E45</f>
        <v>Shrikant Rajmal Jhawar</v>
      </c>
      <c r="F210" s="71">
        <f>fromNewLinkREsponses!F45</f>
        <v>9820810762</v>
      </c>
      <c r="G210" s="72" t="str">
        <f>fromNewLinkREsponses!C45</f>
        <v>May be Attending</v>
      </c>
      <c r="H210" s="73">
        <f>fromNewLinkREsponses!G45</f>
        <v>0</v>
      </c>
      <c r="I210" t="b">
        <f t="shared" si="3"/>
        <v>0</v>
      </c>
    </row>
    <row r="211" spans="1:9" ht="15.75" thickBot="1" x14ac:dyDescent="0.3">
      <c r="A211">
        <f>F211</f>
        <v>9820828575</v>
      </c>
      <c r="B211" s="31">
        <v>45949.478379629632</v>
      </c>
      <c r="C211" s="32"/>
      <c r="D211" s="5" t="s">
        <v>35</v>
      </c>
      <c r="E211" s="5" t="s">
        <v>491</v>
      </c>
      <c r="F211" s="4">
        <v>9820828575</v>
      </c>
      <c r="G211" s="5" t="s">
        <v>1025</v>
      </c>
      <c r="H211" s="67" t="s">
        <v>1036</v>
      </c>
      <c r="I211" t="b">
        <f t="shared" si="3"/>
        <v>0</v>
      </c>
    </row>
    <row r="212" spans="1:9" ht="15.75" thickBot="1" x14ac:dyDescent="0.3">
      <c r="A212">
        <f>F212</f>
        <v>9820858454</v>
      </c>
      <c r="B212" s="70">
        <f>fromNewLinkREsponses!A105</f>
        <v>45668.691064814811</v>
      </c>
      <c r="C212" s="71" t="str">
        <f>fromNewLinkREsponses!B105</f>
        <v>akajainca@gmail.com</v>
      </c>
      <c r="D212" s="71" t="str">
        <f>fromNewLinkREsponses!D105</f>
        <v>Akansha Rahul Somani</v>
      </c>
      <c r="E212" s="71" t="str">
        <f>fromNewLinkREsponses!E105</f>
        <v>Ravi Kamalkishore LOHIA</v>
      </c>
      <c r="F212" s="71">
        <f>fromNewLinkREsponses!F105</f>
        <v>9820858454</v>
      </c>
      <c r="G212" s="72" t="str">
        <f>fromNewLinkREsponses!C105</f>
        <v>Confirmed Presence</v>
      </c>
      <c r="H212" s="73">
        <f>fromNewLinkREsponses!G105</f>
        <v>0</v>
      </c>
      <c r="I212" t="b">
        <f t="shared" si="3"/>
        <v>0</v>
      </c>
    </row>
    <row r="213" spans="1:9" ht="15.75" thickBot="1" x14ac:dyDescent="0.3">
      <c r="A213">
        <f>F213</f>
        <v>9820913318</v>
      </c>
      <c r="B213" s="70">
        <v>45942.435798611114</v>
      </c>
      <c r="C213" s="74"/>
      <c r="D213" s="71" t="s">
        <v>49</v>
      </c>
      <c r="E213" s="71" t="s">
        <v>50</v>
      </c>
      <c r="F213" s="72">
        <v>9820913318</v>
      </c>
      <c r="G213" s="71" t="s">
        <v>1010</v>
      </c>
      <c r="H213" s="73"/>
      <c r="I213" t="b">
        <f t="shared" si="3"/>
        <v>0</v>
      </c>
    </row>
    <row r="214" spans="1:9" ht="15.75" thickBot="1" x14ac:dyDescent="0.3">
      <c r="A214">
        <f>F214</f>
        <v>9820916001</v>
      </c>
      <c r="B214" s="70">
        <f>fromNewLinkREsponses!A151</f>
        <v>45699.442673611113</v>
      </c>
      <c r="C214" s="71" t="str">
        <f>fromNewLinkREsponses!B151</f>
        <v>onlinevdarak@gmail.com</v>
      </c>
      <c r="D214" s="71" t="str">
        <f>fromNewLinkREsponses!D151</f>
        <v>Varun Kanhaiyalal Darak</v>
      </c>
      <c r="E214" s="71" t="str">
        <f>fromNewLinkREsponses!E151</f>
        <v>Vikas Sashimohan Rathi</v>
      </c>
      <c r="F214" s="71">
        <f>fromNewLinkREsponses!F151</f>
        <v>9820916001</v>
      </c>
      <c r="G214" s="72" t="str">
        <f>fromNewLinkREsponses!C151</f>
        <v>Confirmed Presence</v>
      </c>
      <c r="H214" s="73">
        <f>fromNewLinkREsponses!G151</f>
        <v>0</v>
      </c>
      <c r="I214" t="b">
        <f t="shared" si="3"/>
        <v>0</v>
      </c>
    </row>
    <row r="215" spans="1:9" ht="15.75" thickBot="1" x14ac:dyDescent="0.3">
      <c r="A215">
        <f>F215</f>
        <v>9820916099</v>
      </c>
      <c r="B215" s="70">
        <v>45958.884525462963</v>
      </c>
      <c r="C215" s="74"/>
      <c r="D215" s="71" t="s">
        <v>43</v>
      </c>
      <c r="E215" s="71" t="s">
        <v>211</v>
      </c>
      <c r="F215" s="72">
        <v>9820916099</v>
      </c>
      <c r="G215" s="71" t="s">
        <v>1010</v>
      </c>
      <c r="H215" s="75" t="s">
        <v>1119</v>
      </c>
      <c r="I215" t="b">
        <f t="shared" si="3"/>
        <v>0</v>
      </c>
    </row>
    <row r="216" spans="1:9" ht="15.75" thickBot="1" x14ac:dyDescent="0.3">
      <c r="A216">
        <f>F216</f>
        <v>9820960490</v>
      </c>
      <c r="B216" s="70">
        <f>fromNewLinkREsponses!A170</f>
        <v>45699.539965277778</v>
      </c>
      <c r="C216" s="71" t="str">
        <f>fromNewLinkREsponses!B170</f>
        <v>caananddaliya@gmail.com</v>
      </c>
      <c r="D216" s="71" t="str">
        <f>fromNewLinkREsponses!D170</f>
        <v>Anand Omprakash Daliya</v>
      </c>
      <c r="E216" s="71" t="str">
        <f>fromNewLinkREsponses!E170</f>
        <v>Kailash Shyamsunder Biyani</v>
      </c>
      <c r="F216" s="71">
        <f>fromNewLinkREsponses!F170</f>
        <v>9820960490</v>
      </c>
      <c r="G216" s="72" t="str">
        <f>fromNewLinkREsponses!C170</f>
        <v>May be Attending</v>
      </c>
      <c r="H216" s="73" t="str">
        <f>fromNewLinkREsponses!G170</f>
        <v>Will confirm soon</v>
      </c>
      <c r="I216" t="b">
        <f t="shared" si="3"/>
        <v>0</v>
      </c>
    </row>
    <row r="217" spans="1:9" ht="15.75" thickBot="1" x14ac:dyDescent="0.3">
      <c r="A217">
        <f>F217</f>
        <v>9820962076</v>
      </c>
      <c r="B217" s="70">
        <v>45941.578148148146</v>
      </c>
      <c r="C217" s="74"/>
      <c r="D217" s="71" t="s">
        <v>47</v>
      </c>
      <c r="E217" s="71" t="s">
        <v>356</v>
      </c>
      <c r="F217" s="72">
        <v>9820962076</v>
      </c>
      <c r="G217" s="71" t="s">
        <v>1010</v>
      </c>
      <c r="H217" s="73"/>
      <c r="I217" t="b">
        <f t="shared" si="3"/>
        <v>0</v>
      </c>
    </row>
    <row r="218" spans="1:9" ht="15.75" thickBot="1" x14ac:dyDescent="0.3">
      <c r="A218">
        <f>F218</f>
        <v>9820969649</v>
      </c>
      <c r="B218" s="70">
        <v>45944.774722222224</v>
      </c>
      <c r="C218" s="74"/>
      <c r="D218" s="71" t="s">
        <v>45</v>
      </c>
      <c r="E218" s="71" t="s">
        <v>116</v>
      </c>
      <c r="F218" s="72">
        <v>9820969649</v>
      </c>
      <c r="G218" s="71" t="s">
        <v>1011</v>
      </c>
      <c r="H218" s="73"/>
      <c r="I218" t="b">
        <f t="shared" si="3"/>
        <v>0</v>
      </c>
    </row>
    <row r="219" spans="1:9" ht="15.75" thickBot="1" x14ac:dyDescent="0.3">
      <c r="A219">
        <f>F219</f>
        <v>9820970907</v>
      </c>
      <c r="B219" s="70">
        <f>fromNewLinkREsponses!A101</f>
        <v>45668.688796296294</v>
      </c>
      <c r="C219" s="71" t="str">
        <f>fromNewLinkREsponses!B101</f>
        <v>akajainca@gmail.com</v>
      </c>
      <c r="D219" s="71" t="str">
        <f>fromNewLinkREsponses!D101</f>
        <v>Akansha Rahul Somani</v>
      </c>
      <c r="E219" s="71" t="str">
        <f>fromNewLinkREsponses!E101</f>
        <v>Rajesh Radheshyam Moondra</v>
      </c>
      <c r="F219" s="71">
        <f>fromNewLinkREsponses!F101</f>
        <v>9820970907</v>
      </c>
      <c r="G219" s="72" t="str">
        <f>fromNewLinkREsponses!C101</f>
        <v>Not Coming</v>
      </c>
      <c r="H219" s="73">
        <f>fromNewLinkREsponses!G101</f>
        <v>0</v>
      </c>
      <c r="I219" t="b">
        <f t="shared" si="3"/>
        <v>0</v>
      </c>
    </row>
    <row r="220" spans="1:9" ht="15.75" thickBot="1" x14ac:dyDescent="0.3">
      <c r="A220">
        <f>F220</f>
        <v>9821013859</v>
      </c>
      <c r="B220" s="70">
        <f>fromNewLinkREsponses!A177</f>
        <v>45699.587164351855</v>
      </c>
      <c r="C220" s="71" t="str">
        <f>fromNewLinkREsponses!B177</f>
        <v>prdhoot@gmail.com</v>
      </c>
      <c r="D220" s="71" t="str">
        <f>fromNewLinkREsponses!D177</f>
        <v>Prateek Ramesh Dhoot</v>
      </c>
      <c r="E220" s="71" t="str">
        <f>fromNewLinkREsponses!E177</f>
        <v>Narayan Shivshanker Bihani</v>
      </c>
      <c r="F220" s="71">
        <f>fromNewLinkREsponses!F177</f>
        <v>9821013859</v>
      </c>
      <c r="G220" s="72" t="str">
        <f>fromNewLinkREsponses!C177</f>
        <v>Confirmed Presence</v>
      </c>
      <c r="H220" s="73">
        <f>fromNewLinkREsponses!G177</f>
        <v>0</v>
      </c>
      <c r="I220" t="b">
        <f t="shared" si="3"/>
        <v>0</v>
      </c>
    </row>
    <row r="221" spans="1:9" ht="15.75" thickBot="1" x14ac:dyDescent="0.3">
      <c r="A221">
        <f>F221</f>
        <v>9821048063</v>
      </c>
      <c r="B221" s="70">
        <v>45957.871168981481</v>
      </c>
      <c r="C221" s="74"/>
      <c r="D221" s="71" t="s">
        <v>82</v>
      </c>
      <c r="E221" s="71" t="s">
        <v>611</v>
      </c>
      <c r="F221" s="72">
        <v>9821048063</v>
      </c>
      <c r="G221" s="71" t="s">
        <v>1010</v>
      </c>
      <c r="H221" s="73"/>
      <c r="I221" t="b">
        <f t="shared" si="3"/>
        <v>0</v>
      </c>
    </row>
    <row r="222" spans="1:9" ht="15.75" thickBot="1" x14ac:dyDescent="0.3">
      <c r="A222">
        <f>F222</f>
        <v>9821070860</v>
      </c>
      <c r="B222" s="70">
        <f>fromNewLinkREsponses!A32</f>
        <v>45668.58053240741</v>
      </c>
      <c r="C222" s="71" t="str">
        <f>fromNewLinkREsponses!B32</f>
        <v>impt85@gmail.com</v>
      </c>
      <c r="D222" s="71" t="str">
        <f>fromNewLinkREsponses!D32</f>
        <v>Shri Premji Taparia</v>
      </c>
      <c r="E222" s="71" t="str">
        <f>fromNewLinkREsponses!E32</f>
        <v>Gopalkishan Madanlalji Toshniwal</v>
      </c>
      <c r="F222" s="71">
        <f>fromNewLinkREsponses!F32</f>
        <v>9821070860</v>
      </c>
      <c r="G222" s="72" t="str">
        <f>fromNewLinkREsponses!C32</f>
        <v>Confirmed Presence</v>
      </c>
      <c r="H222" s="73">
        <f>fromNewLinkREsponses!G32</f>
        <v>0</v>
      </c>
      <c r="I222" t="b">
        <f t="shared" si="3"/>
        <v>0</v>
      </c>
    </row>
    <row r="223" spans="1:9" ht="15.75" thickBot="1" x14ac:dyDescent="0.3">
      <c r="A223">
        <f>F223</f>
        <v>9821084020</v>
      </c>
      <c r="B223" s="70">
        <f>fromNewLinkREsponses!A147</f>
        <v>45699.440023148149</v>
      </c>
      <c r="C223" s="71" t="str">
        <f>fromNewLinkREsponses!B147</f>
        <v>rassawa@gmail.com</v>
      </c>
      <c r="D223" s="71" t="str">
        <f>fromNewLinkREsponses!D147</f>
        <v>Rahul Omshankar Assawa</v>
      </c>
      <c r="E223" s="71" t="str">
        <f>fromNewLinkREsponses!E147</f>
        <v>Purshotamlal Mishrilal Bang</v>
      </c>
      <c r="F223" s="71">
        <f>fromNewLinkREsponses!F147</f>
        <v>9821084020</v>
      </c>
      <c r="G223" s="72" t="str">
        <f>fromNewLinkREsponses!C147</f>
        <v>Confirmed Presence</v>
      </c>
      <c r="H223" s="73">
        <f>fromNewLinkREsponses!G147</f>
        <v>0</v>
      </c>
      <c r="I223" t="b">
        <f t="shared" si="3"/>
        <v>0</v>
      </c>
    </row>
    <row r="224" spans="1:9" ht="15.75" thickBot="1" x14ac:dyDescent="0.3">
      <c r="A224">
        <f>F224</f>
        <v>9821111601</v>
      </c>
      <c r="B224" s="31">
        <v>45956.611863425926</v>
      </c>
      <c r="C224" s="32"/>
      <c r="D224" s="5" t="s">
        <v>73</v>
      </c>
      <c r="E224" s="5" t="s">
        <v>273</v>
      </c>
      <c r="F224" s="4">
        <v>9821111601</v>
      </c>
      <c r="G224" s="5" t="s">
        <v>1012</v>
      </c>
      <c r="H224" s="33"/>
      <c r="I224" t="b">
        <f t="shared" si="3"/>
        <v>0</v>
      </c>
    </row>
    <row r="225" spans="1:9" ht="15.75" thickBot="1" x14ac:dyDescent="0.3">
      <c r="A225">
        <f>F225</f>
        <v>9821116827</v>
      </c>
      <c r="B225" s="70">
        <f>fromNewLinkREsponses!A100</f>
        <v>45668.688217592593</v>
      </c>
      <c r="C225" s="71" t="str">
        <f>fromNewLinkREsponses!B100</f>
        <v>akajainca@gmail.com</v>
      </c>
      <c r="D225" s="71" t="str">
        <f>fromNewLinkREsponses!D100</f>
        <v>Akansha Rahul Somani</v>
      </c>
      <c r="E225" s="71" t="str">
        <f>fromNewLinkREsponses!E100</f>
        <v>Pushkar Sohanlal Mantri</v>
      </c>
      <c r="F225" s="71">
        <f>fromNewLinkREsponses!F100</f>
        <v>9821116827</v>
      </c>
      <c r="G225" s="72" t="str">
        <f>fromNewLinkREsponses!C100</f>
        <v>Confirmed Presence</v>
      </c>
      <c r="H225" s="73">
        <f>fromNewLinkREsponses!G100</f>
        <v>0</v>
      </c>
      <c r="I225" t="b">
        <f t="shared" si="3"/>
        <v>0</v>
      </c>
    </row>
    <row r="226" spans="1:9" ht="15.75" thickBot="1" x14ac:dyDescent="0.3">
      <c r="A226">
        <f>F226</f>
        <v>9821129200</v>
      </c>
      <c r="B226" s="70">
        <f>fromNewLinkREsponses!A53</f>
        <v>45668.612719907411</v>
      </c>
      <c r="C226" s="71" t="str">
        <f>fromNewLinkREsponses!B53</f>
        <v>arkmantri@gmail.com</v>
      </c>
      <c r="D226" s="71" t="str">
        <f>fromNewLinkREsponses!D53</f>
        <v>Shri Avinash Mantri</v>
      </c>
      <c r="E226" s="71" t="str">
        <f>fromNewLinkREsponses!E53</f>
        <v>Kailash Chandmal Kabra</v>
      </c>
      <c r="F226" s="71">
        <f>fromNewLinkREsponses!F53</f>
        <v>9821129200</v>
      </c>
      <c r="G226" s="72" t="str">
        <f>fromNewLinkREsponses!C53</f>
        <v>Confirmed Presence</v>
      </c>
      <c r="H226" s="73" t="str">
        <f>fromNewLinkREsponses!G53</f>
        <v>Will register</v>
      </c>
      <c r="I226" t="b">
        <f t="shared" si="3"/>
        <v>0</v>
      </c>
    </row>
    <row r="227" spans="1:9" ht="15.75" thickBot="1" x14ac:dyDescent="0.3">
      <c r="A227">
        <f>F227</f>
        <v>9821138010</v>
      </c>
      <c r="B227" s="31">
        <v>45958.864560185182</v>
      </c>
      <c r="C227" s="32"/>
      <c r="D227" s="5" t="s">
        <v>43</v>
      </c>
      <c r="E227" s="5" t="s">
        <v>495</v>
      </c>
      <c r="F227" s="4">
        <v>9821138010</v>
      </c>
      <c r="G227" s="5" t="s">
        <v>1012</v>
      </c>
      <c r="H227" s="33"/>
      <c r="I227" t="b">
        <f t="shared" si="3"/>
        <v>0</v>
      </c>
    </row>
    <row r="228" spans="1:9" ht="15.75" thickBot="1" x14ac:dyDescent="0.3">
      <c r="A228">
        <f>F228</f>
        <v>9821359693</v>
      </c>
      <c r="B228" s="70">
        <v>45956.621770833335</v>
      </c>
      <c r="C228" s="74"/>
      <c r="D228" s="71" t="s">
        <v>73</v>
      </c>
      <c r="E228" s="71" t="s">
        <v>368</v>
      </c>
      <c r="F228" s="72">
        <v>9821359693</v>
      </c>
      <c r="G228" s="71" t="s">
        <v>1011</v>
      </c>
      <c r="H228" s="73"/>
      <c r="I228" t="b">
        <f t="shared" si="3"/>
        <v>0</v>
      </c>
    </row>
    <row r="229" spans="1:9" ht="15.75" thickBot="1" x14ac:dyDescent="0.3">
      <c r="A229">
        <f>F229</f>
        <v>9821546649</v>
      </c>
      <c r="B229" s="70">
        <v>45943.493530092594</v>
      </c>
      <c r="C229" s="74"/>
      <c r="D229" s="71" t="s">
        <v>800</v>
      </c>
      <c r="E229" s="71" t="s">
        <v>900</v>
      </c>
      <c r="F229" s="72">
        <v>9821546649</v>
      </c>
      <c r="G229" s="71" t="s">
        <v>1012</v>
      </c>
      <c r="H229" s="73"/>
      <c r="I229" t="b">
        <f t="shared" si="3"/>
        <v>0</v>
      </c>
    </row>
    <row r="230" spans="1:9" ht="15.75" thickBot="1" x14ac:dyDescent="0.3">
      <c r="A230">
        <f>F230</f>
        <v>9821692529</v>
      </c>
      <c r="B230" s="70" t="str">
        <f>fromNewLinkREsponses!A12</f>
        <v>31/10/2025 22:08:42</v>
      </c>
      <c r="C230" s="71" t="str">
        <f>fromNewLinkREsponses!B12</f>
        <v>nikechandak@gmail.com</v>
      </c>
      <c r="D230" s="71" t="str">
        <f>fromNewLinkREsponses!D12</f>
        <v>Shri Nikhilji Chandak</v>
      </c>
      <c r="E230" s="71" t="str">
        <f>fromNewLinkREsponses!E12</f>
        <v>Anil Shantilal Nawal</v>
      </c>
      <c r="F230" s="71">
        <f>fromNewLinkREsponses!F12</f>
        <v>9821692529</v>
      </c>
      <c r="G230" s="72" t="str">
        <f>fromNewLinkREsponses!C12</f>
        <v>Confirmed Presence</v>
      </c>
      <c r="H230" s="73" t="str">
        <f>fromNewLinkREsponses!G12</f>
        <v>4 people have confirmed</v>
      </c>
      <c r="I230" t="b">
        <f t="shared" si="3"/>
        <v>0</v>
      </c>
    </row>
    <row r="231" spans="1:9" ht="15.75" thickBot="1" x14ac:dyDescent="0.3">
      <c r="A231">
        <f>F231</f>
        <v>9821775817</v>
      </c>
      <c r="B231" s="70">
        <f>fromNewLinkREsponses!A107</f>
        <v>45668.692083333335</v>
      </c>
      <c r="C231" s="71" t="str">
        <f>fromNewLinkREsponses!B107</f>
        <v>akajainca@gmail.com</v>
      </c>
      <c r="D231" s="71" t="str">
        <f>fromNewLinkREsponses!D107</f>
        <v>Akansha Rahul Somani</v>
      </c>
      <c r="E231" s="71" t="str">
        <f>fromNewLinkREsponses!E107</f>
        <v>Shyamsunder Asharam Mundhra</v>
      </c>
      <c r="F231" s="71">
        <f>fromNewLinkREsponses!F107</f>
        <v>9821775817</v>
      </c>
      <c r="G231" s="72" t="str">
        <f>fromNewLinkREsponses!C107</f>
        <v>Phone Busy</v>
      </c>
      <c r="H231" s="73">
        <f>fromNewLinkREsponses!G107</f>
        <v>0</v>
      </c>
      <c r="I231" t="b">
        <f t="shared" si="3"/>
        <v>0</v>
      </c>
    </row>
    <row r="232" spans="1:9" ht="15.75" thickBot="1" x14ac:dyDescent="0.3">
      <c r="A232">
        <f>F232</f>
        <v>9833025492</v>
      </c>
      <c r="B232" s="70">
        <f>fromNewLinkREsponses!A121</f>
        <v>45668.767939814818</v>
      </c>
      <c r="C232" s="71" t="str">
        <f>fromNewLinkREsponses!B121</f>
        <v>jyotis1311@gmail.com</v>
      </c>
      <c r="D232" s="71" t="str">
        <f>fromNewLinkREsponses!D121</f>
        <v>Jyotsna Sohan Sarda</v>
      </c>
      <c r="E232" s="71" t="str">
        <f>fromNewLinkREsponses!E121</f>
        <v>Poonam Kamalkishore LOHIA</v>
      </c>
      <c r="F232" s="71">
        <f>fromNewLinkREsponses!F121</f>
        <v>9833025492</v>
      </c>
      <c r="G232" s="72">
        <f>fromNewLinkREsponses!C121</f>
        <v>0</v>
      </c>
      <c r="H232" s="73" t="str">
        <f>fromNewLinkREsponses!G121</f>
        <v>Not picked up</v>
      </c>
      <c r="I232" t="b">
        <f t="shared" si="3"/>
        <v>0</v>
      </c>
    </row>
    <row r="233" spans="1:9" ht="15.75" thickBot="1" x14ac:dyDescent="0.3">
      <c r="A233">
        <f>F233</f>
        <v>9833032997</v>
      </c>
      <c r="B233" s="70">
        <f>fromNewLinkREsponses!A49</f>
        <v>45668.589120370372</v>
      </c>
      <c r="C233" s="71" t="str">
        <f>fromNewLinkREsponses!B49</f>
        <v>impt85@gmail.com</v>
      </c>
      <c r="D233" s="71" t="str">
        <f>fromNewLinkREsponses!D49</f>
        <v>Shri Premji Taparia</v>
      </c>
      <c r="E233" s="71" t="str">
        <f>fromNewLinkREsponses!E49</f>
        <v>Vivek Shyamlal Bhadada</v>
      </c>
      <c r="F233" s="71">
        <f>fromNewLinkREsponses!F49</f>
        <v>9833032997</v>
      </c>
      <c r="G233" s="72" t="str">
        <f>fromNewLinkREsponses!C49</f>
        <v>May be Attending</v>
      </c>
      <c r="H233" s="73">
        <f>fromNewLinkREsponses!G49</f>
        <v>0</v>
      </c>
      <c r="I233" t="b">
        <f t="shared" si="3"/>
        <v>0</v>
      </c>
    </row>
    <row r="234" spans="1:9" ht="15.75" thickBot="1" x14ac:dyDescent="0.3">
      <c r="A234">
        <f>F234</f>
        <v>9833078523</v>
      </c>
      <c r="B234" s="70">
        <f>fromNewLinkREsponses!A185</f>
        <v>45699.590358796297</v>
      </c>
      <c r="C234" s="71" t="str">
        <f>fromNewLinkREsponses!B185</f>
        <v>prdhoot@gmail.com</v>
      </c>
      <c r="D234" s="71" t="str">
        <f>fromNewLinkREsponses!D185</f>
        <v>Prateek Ramesh Dhoot</v>
      </c>
      <c r="E234" s="71" t="str">
        <f>fromNewLinkREsponses!E185</f>
        <v>Vishal Vijaykumar Rathi</v>
      </c>
      <c r="F234" s="71">
        <f>fromNewLinkREsponses!F185</f>
        <v>9833078523</v>
      </c>
      <c r="G234" s="72" t="str">
        <f>fromNewLinkREsponses!C185</f>
        <v>Not Reachable</v>
      </c>
      <c r="H234" s="73" t="str">
        <f>fromNewLinkREsponses!G185</f>
        <v>invalid number</v>
      </c>
      <c r="I234" t="b">
        <f t="shared" si="3"/>
        <v>0</v>
      </c>
    </row>
    <row r="235" spans="1:9" ht="15.75" thickBot="1" x14ac:dyDescent="0.3">
      <c r="A235">
        <f>F235</f>
        <v>9833169698</v>
      </c>
      <c r="B235" s="70">
        <v>45941.582754629628</v>
      </c>
      <c r="C235" s="74"/>
      <c r="D235" s="71" t="s">
        <v>47</v>
      </c>
      <c r="E235" s="71" t="s">
        <v>688</v>
      </c>
      <c r="F235" s="72">
        <v>9833169698</v>
      </c>
      <c r="G235" s="71" t="s">
        <v>1011</v>
      </c>
      <c r="H235" s="73"/>
      <c r="I235" t="b">
        <f t="shared" si="3"/>
        <v>0</v>
      </c>
    </row>
    <row r="236" spans="1:9" ht="15.75" thickBot="1" x14ac:dyDescent="0.3">
      <c r="A236">
        <f>F236</f>
        <v>9833184392</v>
      </c>
      <c r="B236" s="70">
        <f>fromNewLinkREsponses!A76</f>
        <v>45668.654675925929</v>
      </c>
      <c r="C236" s="71" t="str">
        <f>fromNewLinkREsponses!B76</f>
        <v>arkmantri@gmail.com</v>
      </c>
      <c r="D236" s="71" t="str">
        <f>fromNewLinkREsponses!D76</f>
        <v>Shri Avinash Mantri</v>
      </c>
      <c r="E236" s="71" t="str">
        <f>fromNewLinkREsponses!E76</f>
        <v>Ravindra Ramchandra Bhattad</v>
      </c>
      <c r="F236" s="71">
        <f>fromNewLinkREsponses!F76</f>
        <v>9833184392</v>
      </c>
      <c r="G236" s="72" t="str">
        <f>fromNewLinkREsponses!C76</f>
        <v>Confirmed Presence</v>
      </c>
      <c r="H236" s="73" t="str">
        <f>fromNewLinkREsponses!G76</f>
        <v>Will register</v>
      </c>
      <c r="I236" t="b">
        <f t="shared" si="3"/>
        <v>0</v>
      </c>
    </row>
    <row r="237" spans="1:9" ht="15.75" thickBot="1" x14ac:dyDescent="0.3">
      <c r="A237">
        <f>F237</f>
        <v>9833202274</v>
      </c>
      <c r="B237" s="70">
        <f>fromNewLinkREsponses!A94</f>
        <v>45668.685497685183</v>
      </c>
      <c r="C237" s="71" t="str">
        <f>fromNewLinkREsponses!B94</f>
        <v>akajainca@gmail.com</v>
      </c>
      <c r="D237" s="71" t="str">
        <f>fromNewLinkREsponses!D94</f>
        <v>Akansha Rahul Somani</v>
      </c>
      <c r="E237" s="71" t="str">
        <f>fromNewLinkREsponses!E94</f>
        <v>Dinesh Devikishan Chandak</v>
      </c>
      <c r="F237" s="71">
        <f>fromNewLinkREsponses!F94</f>
        <v>9833202274</v>
      </c>
      <c r="G237" s="72" t="str">
        <f>fromNewLinkREsponses!C94</f>
        <v>May be Attending</v>
      </c>
      <c r="H237" s="73">
        <f>fromNewLinkREsponses!G94</f>
        <v>0</v>
      </c>
      <c r="I237" t="b">
        <f t="shared" si="3"/>
        <v>0</v>
      </c>
    </row>
    <row r="238" spans="1:9" ht="15.75" thickBot="1" x14ac:dyDescent="0.3">
      <c r="A238">
        <f>F238</f>
        <v>9833229112</v>
      </c>
      <c r="B238" s="31">
        <v>45957.854722222219</v>
      </c>
      <c r="C238" s="32"/>
      <c r="D238" s="5" t="s">
        <v>82</v>
      </c>
      <c r="E238" s="5" t="s">
        <v>373</v>
      </c>
      <c r="F238" s="4">
        <v>9833229112</v>
      </c>
      <c r="G238" s="5" t="s">
        <v>1011</v>
      </c>
      <c r="H238" s="67" t="s">
        <v>1039</v>
      </c>
      <c r="I238" t="b">
        <f t="shared" si="3"/>
        <v>0</v>
      </c>
    </row>
    <row r="239" spans="1:9" ht="15.75" thickBot="1" x14ac:dyDescent="0.3">
      <c r="A239">
        <f>F239</f>
        <v>9833345544</v>
      </c>
      <c r="B239" s="70" t="str">
        <f>fromNewLinkREsponses!A7</f>
        <v>31/10/2025 21:53:46</v>
      </c>
      <c r="C239" s="71" t="str">
        <f>fromNewLinkREsponses!B7</f>
        <v>nikechandak@gmail.com</v>
      </c>
      <c r="D239" s="71" t="str">
        <f>fromNewLinkREsponses!D7</f>
        <v>Shri Nikhilji Chandak</v>
      </c>
      <c r="E239" s="71" t="str">
        <f>fromNewLinkREsponses!E7</f>
        <v>Shyamsunder Thakurdas Laddha</v>
      </c>
      <c r="F239" s="71">
        <f>fromNewLinkREsponses!F7</f>
        <v>9833345544</v>
      </c>
      <c r="G239" s="72" t="str">
        <f>fromNewLinkREsponses!C7</f>
        <v>Confirmed Presence</v>
      </c>
      <c r="H239" s="73" t="str">
        <f>fromNewLinkREsponses!G7</f>
        <v>3 member ll join</v>
      </c>
      <c r="I239" t="b">
        <f t="shared" si="3"/>
        <v>0</v>
      </c>
    </row>
    <row r="240" spans="1:9" ht="15.75" thickBot="1" x14ac:dyDescent="0.3">
      <c r="A240">
        <f>F240</f>
        <v>9833374470</v>
      </c>
      <c r="B240" s="70">
        <f>fromNewLinkREsponses!A155</f>
        <v>45699.497974537036</v>
      </c>
      <c r="C240" s="71" t="str">
        <f>fromNewLinkREsponses!B155</f>
        <v>vipin0785@gmail.com</v>
      </c>
      <c r="D240" s="71" t="str">
        <f>fromNewLinkREsponses!D155</f>
        <v>Vipin Saboo</v>
      </c>
      <c r="E240" s="71" t="str">
        <f>fromNewLinkREsponses!E155</f>
        <v>Vimal Nathmal Kabra</v>
      </c>
      <c r="F240" s="71">
        <f>fromNewLinkREsponses!F155</f>
        <v>9833374470</v>
      </c>
      <c r="G240" s="72" t="str">
        <f>fromNewLinkREsponses!C155</f>
        <v>Not Coming</v>
      </c>
      <c r="H240" s="73" t="str">
        <f>fromNewLinkREsponses!G155</f>
        <v>Unsure if he would be coming</v>
      </c>
      <c r="I240" t="b">
        <f t="shared" si="3"/>
        <v>0</v>
      </c>
    </row>
    <row r="241" spans="1:9" ht="15.75" thickBot="1" x14ac:dyDescent="0.3">
      <c r="A241">
        <f>F241</f>
        <v>9833517067</v>
      </c>
      <c r="B241" s="31">
        <v>45957.93309027778</v>
      </c>
      <c r="C241" s="32"/>
      <c r="D241" s="5" t="s">
        <v>790</v>
      </c>
      <c r="E241" s="5" t="s">
        <v>958</v>
      </c>
      <c r="F241" s="4">
        <v>9833517067</v>
      </c>
      <c r="G241" s="5" t="s">
        <v>1012</v>
      </c>
      <c r="H241" s="33"/>
      <c r="I241" t="b">
        <f t="shared" si="3"/>
        <v>0</v>
      </c>
    </row>
    <row r="242" spans="1:9" ht="15.75" thickBot="1" x14ac:dyDescent="0.3">
      <c r="A242">
        <f>F242</f>
        <v>9833577351</v>
      </c>
      <c r="B242" s="70">
        <f>fromNewLinkREsponses!A41</f>
        <v>45668.583657407406</v>
      </c>
      <c r="C242" s="71" t="str">
        <f>fromNewLinkREsponses!B41</f>
        <v>jagdish.lahoti92@gmail.com</v>
      </c>
      <c r="D242" s="71" t="str">
        <f>fromNewLinkREsponses!D41</f>
        <v>Jagdish Rameshchand Lahoti</v>
      </c>
      <c r="E242" s="71" t="str">
        <f>fromNewLinkREsponses!E41</f>
        <v>Sumit Mohanlal Bhutra</v>
      </c>
      <c r="F242" s="71">
        <f>fromNewLinkREsponses!F41</f>
        <v>9833577351</v>
      </c>
      <c r="G242" s="72" t="str">
        <f>fromNewLinkREsponses!C41</f>
        <v>Not Reachable</v>
      </c>
      <c r="H242" s="73">
        <f>fromNewLinkREsponses!G41</f>
        <v>0</v>
      </c>
      <c r="I242" t="b">
        <f t="shared" si="3"/>
        <v>0</v>
      </c>
    </row>
    <row r="243" spans="1:9" ht="15.75" thickBot="1" x14ac:dyDescent="0.3">
      <c r="A243">
        <f>F243</f>
        <v>9833681821</v>
      </c>
      <c r="B243" s="31">
        <v>45957.870208333334</v>
      </c>
      <c r="C243" s="32"/>
      <c r="D243" s="5" t="s">
        <v>82</v>
      </c>
      <c r="E243" s="5" t="s">
        <v>278</v>
      </c>
      <c r="F243" s="4">
        <v>9833681821</v>
      </c>
      <c r="G243" s="5" t="s">
        <v>1011</v>
      </c>
      <c r="H243" s="33"/>
      <c r="I243" t="b">
        <f t="shared" si="3"/>
        <v>0</v>
      </c>
    </row>
    <row r="244" spans="1:9" ht="15.75" thickBot="1" x14ac:dyDescent="0.3">
      <c r="A244">
        <f>F244</f>
        <v>9833705425</v>
      </c>
      <c r="B244" s="70">
        <v>45941.583240740743</v>
      </c>
      <c r="C244" s="74"/>
      <c r="D244" s="71" t="s">
        <v>12</v>
      </c>
      <c r="E244" s="71" t="s">
        <v>512</v>
      </c>
      <c r="F244" s="72">
        <v>9833705425</v>
      </c>
      <c r="G244" s="71" t="s">
        <v>1010</v>
      </c>
      <c r="H244" s="73"/>
      <c r="I244" t="b">
        <f t="shared" si="3"/>
        <v>0</v>
      </c>
    </row>
    <row r="245" spans="1:9" ht="15.75" thickBot="1" x14ac:dyDescent="0.3">
      <c r="A245">
        <f>F245</f>
        <v>9833729262</v>
      </c>
      <c r="B245" s="70">
        <f>fromNewLinkREsponses!A143</f>
        <v>45699.437442129631</v>
      </c>
      <c r="C245" s="71" t="str">
        <f>fromNewLinkREsponses!B143</f>
        <v>rassawa@gmail.com</v>
      </c>
      <c r="D245" s="71" t="str">
        <f>fromNewLinkREsponses!D143</f>
        <v>Rahul Omshankar Assawa</v>
      </c>
      <c r="E245" s="71" t="str">
        <f>fromNewLinkREsponses!E143</f>
        <v>Manish Jaigopal Kasat</v>
      </c>
      <c r="F245" s="71">
        <f>fromNewLinkREsponses!F143</f>
        <v>9833729262</v>
      </c>
      <c r="G245" s="72" t="str">
        <f>fromNewLinkREsponses!C143</f>
        <v>Not Reachable</v>
      </c>
      <c r="H245" s="73" t="str">
        <f>fromNewLinkREsponses!G143</f>
        <v>Wrong nunber</v>
      </c>
      <c r="I245" t="b">
        <f t="shared" si="3"/>
        <v>0</v>
      </c>
    </row>
    <row r="246" spans="1:9" ht="15.75" thickBot="1" x14ac:dyDescent="0.3">
      <c r="A246">
        <f>F246</f>
        <v>9833933540</v>
      </c>
      <c r="B246" s="70">
        <f>fromNewLinkREsponses!A28</f>
        <v>45668.578634259262</v>
      </c>
      <c r="C246" s="71" t="str">
        <f>fromNewLinkREsponses!B28</f>
        <v>arkmantri@gmail.com</v>
      </c>
      <c r="D246" s="71" t="str">
        <f>fromNewLinkREsponses!D28</f>
        <v>Shri Avinash Mantri</v>
      </c>
      <c r="E246" s="71" t="str">
        <f>fromNewLinkREsponses!E28</f>
        <v>Malay Laxminarayan Bhattar</v>
      </c>
      <c r="F246" s="71">
        <f>fromNewLinkREsponses!F28</f>
        <v>9833933540</v>
      </c>
      <c r="G246" s="72" t="str">
        <f>fromNewLinkREsponses!C28</f>
        <v>Not Reachable</v>
      </c>
      <c r="H246" s="73" t="str">
        <f>fromNewLinkREsponses!G28</f>
        <v>Number doesn't exist</v>
      </c>
      <c r="I246" t="b">
        <f t="shared" si="3"/>
        <v>0</v>
      </c>
    </row>
    <row r="247" spans="1:9" ht="15.75" thickBot="1" x14ac:dyDescent="0.3">
      <c r="A247">
        <f>F247</f>
        <v>9867122626</v>
      </c>
      <c r="B247" s="70" t="str">
        <f>fromNewLinkREsponses!A13</f>
        <v>31/10/2025 22:10:15</v>
      </c>
      <c r="C247" s="71" t="str">
        <f>fromNewLinkREsponses!B13</f>
        <v>nikechandak@gmail.com</v>
      </c>
      <c r="D247" s="71" t="str">
        <f>fromNewLinkREsponses!D13</f>
        <v>Shri Nikhilji Chandak</v>
      </c>
      <c r="E247" s="71" t="str">
        <f>fromNewLinkREsponses!E13</f>
        <v>Bhupendra Ghanshyandas Rathi</v>
      </c>
      <c r="F247" s="71">
        <f>fromNewLinkREsponses!F13</f>
        <v>9867122626</v>
      </c>
      <c r="G247" s="72" t="str">
        <f>fromNewLinkREsponses!C13</f>
        <v>Not Coming</v>
      </c>
      <c r="H247" s="73">
        <f>fromNewLinkREsponses!G13</f>
        <v>0</v>
      </c>
      <c r="I247" t="b">
        <f t="shared" si="3"/>
        <v>0</v>
      </c>
    </row>
    <row r="248" spans="1:9" ht="15.75" thickBot="1" x14ac:dyDescent="0.3">
      <c r="A248">
        <f>F248</f>
        <v>9867200070</v>
      </c>
      <c r="B248" s="31">
        <v>45942.648564814815</v>
      </c>
      <c r="C248" s="32"/>
      <c r="D248" s="5" t="s">
        <v>17</v>
      </c>
      <c r="E248" s="5" t="s">
        <v>721</v>
      </c>
      <c r="F248" s="4">
        <v>9867200070</v>
      </c>
      <c r="G248" s="5" t="s">
        <v>1010</v>
      </c>
      <c r="H248" s="33"/>
      <c r="I248" t="b">
        <f t="shared" si="3"/>
        <v>0</v>
      </c>
    </row>
    <row r="249" spans="1:9" ht="15.75" thickBot="1" x14ac:dyDescent="0.3">
      <c r="A249">
        <f>F249</f>
        <v>9867252526</v>
      </c>
      <c r="B249" s="70">
        <f>fromNewLinkREsponses!A179</f>
        <v>45699.588171296295</v>
      </c>
      <c r="C249" s="71" t="str">
        <f>fromNewLinkREsponses!B179</f>
        <v>prdhoot@gmail.com</v>
      </c>
      <c r="D249" s="71" t="str">
        <f>fromNewLinkREsponses!D179</f>
        <v>Prateek Ramesh Dhoot</v>
      </c>
      <c r="E249" s="71" t="str">
        <f>fromNewLinkREsponses!E179</f>
        <v>Sanjay Bhanwarlal Malpani</v>
      </c>
      <c r="F249" s="71">
        <f>fromNewLinkREsponses!F179</f>
        <v>9867252526</v>
      </c>
      <c r="G249" s="72" t="str">
        <f>fromNewLinkREsponses!C179</f>
        <v>Confirmed Presence</v>
      </c>
      <c r="H249" s="73">
        <f>fromNewLinkREsponses!G179</f>
        <v>0</v>
      </c>
      <c r="I249" t="b">
        <f t="shared" si="3"/>
        <v>0</v>
      </c>
    </row>
    <row r="250" spans="1:9" ht="15.75" thickBot="1" x14ac:dyDescent="0.3">
      <c r="A250">
        <f>F250</f>
        <v>9867319071</v>
      </c>
      <c r="B250" s="70">
        <f>fromNewLinkREsponses!A15</f>
        <v>45668.35527777778</v>
      </c>
      <c r="C250" s="71" t="str">
        <f>fromNewLinkREsponses!B15</f>
        <v>kkankkbr2025@gmail.com</v>
      </c>
      <c r="D250" s="71" t="str">
        <f>fromNewLinkREsponses!D15</f>
        <v>Ankit Sureshchandra Kabra</v>
      </c>
      <c r="E250" s="71" t="str">
        <f>fromNewLinkREsponses!E15</f>
        <v>Jitendra Kamalkishor Gandhi</v>
      </c>
      <c r="F250" s="71">
        <f>fromNewLinkREsponses!F15</f>
        <v>9867319071</v>
      </c>
      <c r="G250" s="72" t="str">
        <f>fromNewLinkREsponses!C15</f>
        <v>Not Coming</v>
      </c>
      <c r="H250" s="73" t="str">
        <f>fromNewLinkREsponses!G15</f>
        <v>Wrong number</v>
      </c>
      <c r="I250" t="b">
        <f t="shared" si="3"/>
        <v>0</v>
      </c>
    </row>
    <row r="251" spans="1:9" ht="15.75" thickBot="1" x14ac:dyDescent="0.3">
      <c r="A251">
        <f>F251</f>
        <v>9867328282</v>
      </c>
      <c r="B251" s="70">
        <f>fromNewLinkREsponses!A34</f>
        <v>45668.581608796296</v>
      </c>
      <c r="C251" s="71" t="str">
        <f>fromNewLinkREsponses!B34</f>
        <v>jagdish.lahoti92@gmail.com</v>
      </c>
      <c r="D251" s="71" t="str">
        <f>fromNewLinkREsponses!D34</f>
        <v>Jagdish Rameshchand Lahoti</v>
      </c>
      <c r="E251" s="71" t="str">
        <f>fromNewLinkREsponses!E34</f>
        <v>Raj Tolaram Lahoti</v>
      </c>
      <c r="F251" s="71">
        <f>fromNewLinkREsponses!F34</f>
        <v>9867328282</v>
      </c>
      <c r="G251" s="72" t="str">
        <f>fromNewLinkREsponses!C34</f>
        <v>Confirmed Presence</v>
      </c>
      <c r="H251" s="73">
        <f>fromNewLinkREsponses!G34</f>
        <v>0</v>
      </c>
      <c r="I251" t="b">
        <f t="shared" si="3"/>
        <v>0</v>
      </c>
    </row>
    <row r="252" spans="1:9" ht="15.75" thickBot="1" x14ac:dyDescent="0.3">
      <c r="A252">
        <f>F252</f>
        <v>9867388313</v>
      </c>
      <c r="B252" s="70">
        <v>45942.45784722222</v>
      </c>
      <c r="C252" s="74"/>
      <c r="D252" s="71" t="s">
        <v>49</v>
      </c>
      <c r="E252" s="71" t="s">
        <v>166</v>
      </c>
      <c r="F252" s="72">
        <v>9867388313</v>
      </c>
      <c r="G252" s="71" t="s">
        <v>1013</v>
      </c>
      <c r="H252" s="75" t="s">
        <v>1024</v>
      </c>
      <c r="I252" t="b">
        <f t="shared" si="3"/>
        <v>0</v>
      </c>
    </row>
    <row r="253" spans="1:9" ht="15.75" thickBot="1" x14ac:dyDescent="0.3">
      <c r="A253">
        <f>F253</f>
        <v>9867723289</v>
      </c>
      <c r="B253" s="70">
        <v>45956.619444444441</v>
      </c>
      <c r="C253" s="74"/>
      <c r="D253" s="71" t="s">
        <v>73</v>
      </c>
      <c r="E253" s="71" t="s">
        <v>226</v>
      </c>
      <c r="F253" s="72">
        <v>9867723289</v>
      </c>
      <c r="G253" s="71" t="s">
        <v>1012</v>
      </c>
      <c r="H253" s="73"/>
      <c r="I253" t="b">
        <f t="shared" si="3"/>
        <v>0</v>
      </c>
    </row>
    <row r="254" spans="1:9" ht="15.75" thickBot="1" x14ac:dyDescent="0.3">
      <c r="A254">
        <f>F254</f>
        <v>9867986666</v>
      </c>
      <c r="B254" s="70">
        <f>fromNewLinkREsponses!A156</f>
        <v>45699.498472222222</v>
      </c>
      <c r="C254" s="71" t="str">
        <f>fromNewLinkREsponses!B156</f>
        <v>vipin0785@gmail.com</v>
      </c>
      <c r="D254" s="71" t="str">
        <f>fromNewLinkREsponses!D156</f>
        <v>Vipin Saboo</v>
      </c>
      <c r="E254" s="71" t="str">
        <f>fromNewLinkREsponses!E156</f>
        <v>Sanjiv Laxminarayan Jaju</v>
      </c>
      <c r="F254" s="71">
        <f>fromNewLinkREsponses!F156</f>
        <v>9867986666</v>
      </c>
      <c r="G254" s="72" t="str">
        <f>fromNewLinkREsponses!C156</f>
        <v>Not Reachable</v>
      </c>
      <c r="H254" s="73" t="str">
        <f>fromNewLinkREsponses!G156</f>
        <v>Phone not reachable</v>
      </c>
      <c r="I254" t="b">
        <f t="shared" si="3"/>
        <v>0</v>
      </c>
    </row>
    <row r="255" spans="1:9" ht="15.75" thickBot="1" x14ac:dyDescent="0.3">
      <c r="A255">
        <f>F255</f>
        <v>9869005638</v>
      </c>
      <c r="B255" s="31">
        <v>45958.432488425926</v>
      </c>
      <c r="C255" s="32"/>
      <c r="D255" s="5" t="s">
        <v>35</v>
      </c>
      <c r="E255" s="5" t="s">
        <v>111</v>
      </c>
      <c r="F255" s="4">
        <v>9869005638</v>
      </c>
      <c r="G255" s="5" t="s">
        <v>1011</v>
      </c>
      <c r="H255" s="67" t="s">
        <v>1110</v>
      </c>
      <c r="I255" t="b">
        <f t="shared" si="3"/>
        <v>0</v>
      </c>
    </row>
    <row r="256" spans="1:9" ht="15.75" thickBot="1" x14ac:dyDescent="0.3">
      <c r="A256">
        <f>F256</f>
        <v>9869136046</v>
      </c>
      <c r="B256" s="70">
        <f>fromNewLinkREsponses!A171</f>
        <v>45699.541550925926</v>
      </c>
      <c r="C256" s="71" t="str">
        <f>fromNewLinkREsponses!B171</f>
        <v>swatichandak90@gmail.com</v>
      </c>
      <c r="D256" s="71" t="str">
        <f>fromNewLinkREsponses!D171</f>
        <v>Kaushalyadevi Dineshkumar Gaggad</v>
      </c>
      <c r="E256" s="71" t="str">
        <f>fromNewLinkREsponses!E171</f>
        <v>Kiran Tarachand Bajaj</v>
      </c>
      <c r="F256" s="71">
        <f>fromNewLinkREsponses!F171</f>
        <v>9869136046</v>
      </c>
      <c r="G256" s="72" t="str">
        <f>fromNewLinkREsponses!C171</f>
        <v>Not Coming</v>
      </c>
      <c r="H256" s="73" t="str">
        <f>fromNewLinkREsponses!G171</f>
        <v>Will be out of station that time</v>
      </c>
      <c r="I256" t="b">
        <f t="shared" si="3"/>
        <v>0</v>
      </c>
    </row>
    <row r="257" spans="1:9" ht="15.75" thickBot="1" x14ac:dyDescent="0.3">
      <c r="A257">
        <f>F257</f>
        <v>9869397519</v>
      </c>
      <c r="B257" s="70">
        <v>45956.617199074077</v>
      </c>
      <c r="C257" s="74"/>
      <c r="D257" s="71" t="s">
        <v>73</v>
      </c>
      <c r="E257" s="71" t="s">
        <v>749</v>
      </c>
      <c r="F257" s="72">
        <v>9869397519</v>
      </c>
      <c r="G257" s="71" t="s">
        <v>1011</v>
      </c>
      <c r="H257" s="73"/>
      <c r="I257" t="b">
        <f t="shared" si="3"/>
        <v>0</v>
      </c>
    </row>
    <row r="258" spans="1:9" ht="15.75" thickBot="1" x14ac:dyDescent="0.3">
      <c r="A258">
        <f>F258</f>
        <v>9869652536</v>
      </c>
      <c r="B258" s="70">
        <f>fromNewLinkREsponses!A154</f>
        <v>45699.462881944448</v>
      </c>
      <c r="C258" s="71" t="str">
        <f>fromNewLinkREsponses!B154</f>
        <v>rassawa@gmail.com</v>
      </c>
      <c r="D258" s="71" t="str">
        <f>fromNewLinkREsponses!D154</f>
        <v>Rahul Omshankar Assawa</v>
      </c>
      <c r="E258" s="71" t="str">
        <f>fromNewLinkREsponses!E154</f>
        <v>Saurabh Shankarlal Chandak</v>
      </c>
      <c r="F258" s="71">
        <f>fromNewLinkREsponses!F154</f>
        <v>9869652536</v>
      </c>
      <c r="G258" s="72" t="str">
        <f>fromNewLinkREsponses!C154</f>
        <v>Confirmed Presence</v>
      </c>
      <c r="H258" s="73">
        <f>fromNewLinkREsponses!G154</f>
        <v>0</v>
      </c>
      <c r="I258" t="b">
        <f t="shared" si="3"/>
        <v>0</v>
      </c>
    </row>
    <row r="259" spans="1:9" ht="15.75" thickBot="1" x14ac:dyDescent="0.3">
      <c r="A259">
        <f>F259</f>
        <v>9869906116</v>
      </c>
      <c r="B259" s="70">
        <f>fromNewLinkREsponses!A140</f>
        <v>45699.433819444443</v>
      </c>
      <c r="C259" s="71" t="str">
        <f>fromNewLinkREsponses!B140</f>
        <v>rassawa@gmail.com</v>
      </c>
      <c r="D259" s="71" t="str">
        <f>fromNewLinkREsponses!D140</f>
        <v>Rahul Omshankar Assawa</v>
      </c>
      <c r="E259" s="71" t="str">
        <f>fromNewLinkREsponses!E140</f>
        <v>Kalyanmal Lakhmichand Sarda</v>
      </c>
      <c r="F259" s="71">
        <f>fromNewLinkREsponses!F140</f>
        <v>9869906116</v>
      </c>
      <c r="G259" s="72" t="str">
        <f>fromNewLinkREsponses!C140</f>
        <v>Confirmed Presence</v>
      </c>
      <c r="H259" s="73">
        <f>fromNewLinkREsponses!G140</f>
        <v>0</v>
      </c>
      <c r="I259" t="b">
        <f t="shared" si="3"/>
        <v>0</v>
      </c>
    </row>
    <row r="260" spans="1:9" ht="15.75" thickBot="1" x14ac:dyDescent="0.3">
      <c r="A260">
        <f>F260</f>
        <v>9874376748</v>
      </c>
      <c r="B260" s="31">
        <v>45958.873298611114</v>
      </c>
      <c r="C260" s="32"/>
      <c r="D260" s="5" t="s">
        <v>43</v>
      </c>
      <c r="E260" s="5" t="s">
        <v>591</v>
      </c>
      <c r="F260" s="4">
        <v>9874376748</v>
      </c>
      <c r="G260" s="5" t="s">
        <v>1010</v>
      </c>
      <c r="H260" s="67" t="s">
        <v>1111</v>
      </c>
      <c r="I260" t="b">
        <f t="shared" ref="I260:I316" si="4">F259=F260</f>
        <v>0</v>
      </c>
    </row>
    <row r="261" spans="1:9" ht="39" thickBot="1" x14ac:dyDescent="0.3">
      <c r="A261">
        <f>F261</f>
        <v>9879060094</v>
      </c>
      <c r="B261" s="70">
        <f>fromNewLinkREsponses!A142</f>
        <v>45699.435057870367</v>
      </c>
      <c r="C261" s="71" t="str">
        <f>fromNewLinkREsponses!B142</f>
        <v>onlinevdarak@gmail.com</v>
      </c>
      <c r="D261" s="71" t="str">
        <f>fromNewLinkREsponses!D142</f>
        <v>Varun Kanhaiyalal Darak</v>
      </c>
      <c r="E261" s="71" t="str">
        <f>fromNewLinkREsponses!E142</f>
        <v>Sashibala Satyanarayan Malpani</v>
      </c>
      <c r="F261" s="71">
        <f>fromNewLinkREsponses!F142</f>
        <v>9879060094</v>
      </c>
      <c r="G261" s="72" t="str">
        <f>fromNewLinkREsponses!C142</f>
        <v>Not Coming</v>
      </c>
      <c r="H261" s="73" t="str">
        <f>fromNewLinkREsponses!G142</f>
        <v>Shifted to Jamnagar Gujarat. Please remove their name for future calling lists</v>
      </c>
      <c r="I261" t="b">
        <f t="shared" si="4"/>
        <v>0</v>
      </c>
    </row>
    <row r="262" spans="1:9" ht="15.75" thickBot="1" x14ac:dyDescent="0.3">
      <c r="A262">
        <f>F262</f>
        <v>9890208968</v>
      </c>
      <c r="B262" s="70">
        <f>fromNewLinkREsponses!A83</f>
        <v>45668.669965277775</v>
      </c>
      <c r="C262" s="71" t="str">
        <f>fromNewLinkREsponses!B83</f>
        <v>caprachirathi@gmail.com</v>
      </c>
      <c r="D262" s="71" t="str">
        <f>fromNewLinkREsponses!D83</f>
        <v>Prachi Ankit Kabra</v>
      </c>
      <c r="E262" s="71" t="str">
        <f>fromNewLinkREsponses!E83</f>
        <v>Narendra Premnarayan Soni</v>
      </c>
      <c r="F262" s="71">
        <f>fromNewLinkREsponses!F83</f>
        <v>9890208968</v>
      </c>
      <c r="G262" s="72" t="str">
        <f>fromNewLinkREsponses!C83</f>
        <v>Not Reachable</v>
      </c>
      <c r="H262" s="73" t="str">
        <f>fromNewLinkREsponses!G83</f>
        <v>Number invalid</v>
      </c>
      <c r="I262" t="b">
        <f t="shared" si="4"/>
        <v>0</v>
      </c>
    </row>
    <row r="263" spans="1:9" ht="15.75" thickBot="1" x14ac:dyDescent="0.3">
      <c r="A263">
        <f>F263</f>
        <v>9892123876</v>
      </c>
      <c r="B263" s="70">
        <f>fromNewLinkREsponses!A44</f>
        <v>45668.585474537038</v>
      </c>
      <c r="C263" s="71" t="str">
        <f>fromNewLinkREsponses!B44</f>
        <v>impt85@gmail.com</v>
      </c>
      <c r="D263" s="71" t="str">
        <f>fromNewLinkREsponses!D44</f>
        <v>Shri Premji Taparia</v>
      </c>
      <c r="E263" s="71" t="str">
        <f>fromNewLinkREsponses!E44</f>
        <v>Sanket Suresh Dhoot</v>
      </c>
      <c r="F263" s="71">
        <f>fromNewLinkREsponses!F44</f>
        <v>9892123876</v>
      </c>
      <c r="G263" s="72" t="str">
        <f>fromNewLinkREsponses!C44</f>
        <v>Not Reachable</v>
      </c>
      <c r="H263" s="73">
        <f>fromNewLinkREsponses!G44</f>
        <v>0</v>
      </c>
      <c r="I263" t="b">
        <f t="shared" si="4"/>
        <v>0</v>
      </c>
    </row>
    <row r="264" spans="1:9" ht="15.75" thickBot="1" x14ac:dyDescent="0.3">
      <c r="A264">
        <f>F264</f>
        <v>9892146517</v>
      </c>
      <c r="B264" s="70">
        <f>fromNewLinkREsponses!A51</f>
        <v>45668.600532407407</v>
      </c>
      <c r="C264" s="71" t="str">
        <f>fromNewLinkREsponses!B51</f>
        <v>arkmantri@gmail.com</v>
      </c>
      <c r="D264" s="71" t="str">
        <f>fromNewLinkREsponses!D51</f>
        <v>Shri Avinash Mantri</v>
      </c>
      <c r="E264" s="71" t="str">
        <f>fromNewLinkREsponses!E51</f>
        <v>Bharatkumar Ambalal Bahedia</v>
      </c>
      <c r="F264" s="71">
        <f>fromNewLinkREsponses!F51</f>
        <v>9892146517</v>
      </c>
      <c r="G264" s="72" t="str">
        <f>fromNewLinkREsponses!C51</f>
        <v>Confirmed Presence</v>
      </c>
      <c r="H264" s="73" t="str">
        <f>fromNewLinkREsponses!G51</f>
        <v>Will register</v>
      </c>
      <c r="I264" t="b">
        <f t="shared" si="4"/>
        <v>0</v>
      </c>
    </row>
    <row r="265" spans="1:9" ht="15.75" thickBot="1" x14ac:dyDescent="0.3">
      <c r="A265">
        <f>F265</f>
        <v>9892199169</v>
      </c>
      <c r="B265" s="70">
        <v>45956.510613425926</v>
      </c>
      <c r="C265" s="74"/>
      <c r="D265" s="71" t="s">
        <v>49</v>
      </c>
      <c r="E265" s="71" t="s">
        <v>737</v>
      </c>
      <c r="F265" s="72">
        <v>9892199169</v>
      </c>
      <c r="G265" s="71" t="s">
        <v>1010</v>
      </c>
      <c r="H265" s="73"/>
      <c r="I265" t="b">
        <f t="shared" si="4"/>
        <v>0</v>
      </c>
    </row>
    <row r="266" spans="1:9" ht="15.75" thickBot="1" x14ac:dyDescent="0.3">
      <c r="A266">
        <f>F266</f>
        <v>9892340588</v>
      </c>
      <c r="B266" s="70">
        <f>fromNewLinkREsponses!A54</f>
        <v>45668.615833333337</v>
      </c>
      <c r="C266" s="71" t="str">
        <f>fromNewLinkREsponses!B54</f>
        <v>arkmantri@gmail.com</v>
      </c>
      <c r="D266" s="71" t="str">
        <f>fromNewLinkREsponses!D54</f>
        <v>Shri Avinash Mantri</v>
      </c>
      <c r="E266" s="71" t="str">
        <f>fromNewLinkREsponses!E54</f>
        <v>Mahendra Kailashchandra Machhar</v>
      </c>
      <c r="F266" s="71">
        <f>fromNewLinkREsponses!F54</f>
        <v>9892340588</v>
      </c>
      <c r="G266" s="72" t="str">
        <f>fromNewLinkREsponses!C54</f>
        <v>Confirmed Presence</v>
      </c>
      <c r="H266" s="73" t="str">
        <f>fromNewLinkREsponses!G54</f>
        <v>Will register</v>
      </c>
      <c r="I266" t="b">
        <f t="shared" si="4"/>
        <v>0</v>
      </c>
    </row>
    <row r="267" spans="1:9" ht="15.75" thickBot="1" x14ac:dyDescent="0.3">
      <c r="A267">
        <f>F267</f>
        <v>9892535646</v>
      </c>
      <c r="B267" s="70">
        <v>45957.863437499997</v>
      </c>
      <c r="C267" s="74"/>
      <c r="D267" s="71" t="s">
        <v>82</v>
      </c>
      <c r="E267" s="71" t="s">
        <v>468</v>
      </c>
      <c r="F267" s="72">
        <v>9892535646</v>
      </c>
      <c r="G267" s="71" t="s">
        <v>1010</v>
      </c>
      <c r="H267" s="73"/>
      <c r="I267" t="b">
        <f t="shared" si="4"/>
        <v>0</v>
      </c>
    </row>
    <row r="268" spans="1:9" ht="15.75" thickBot="1" x14ac:dyDescent="0.3">
      <c r="A268">
        <f>F268</f>
        <v>9892537304</v>
      </c>
      <c r="B268" s="70">
        <f>fromNewLinkREsponses!A152</f>
        <v>45699.443773148145</v>
      </c>
      <c r="C268" s="71" t="str">
        <f>fromNewLinkREsponses!B152</f>
        <v>rassawa@gmail.com</v>
      </c>
      <c r="D268" s="71" t="str">
        <f>fromNewLinkREsponses!D152</f>
        <v>Rahul Omshankar Assawa</v>
      </c>
      <c r="E268" s="71" t="str">
        <f>fromNewLinkREsponses!E152</f>
        <v>Manoj Nandkishore Falor</v>
      </c>
      <c r="F268" s="71">
        <f>fromNewLinkREsponses!F152</f>
        <v>9892537304</v>
      </c>
      <c r="G268" s="72" t="str">
        <f>fromNewLinkREsponses!C152</f>
        <v>Confirmed Presence</v>
      </c>
      <c r="H268" s="73">
        <f>fromNewLinkREsponses!G152</f>
        <v>0</v>
      </c>
      <c r="I268" t="b">
        <f t="shared" si="4"/>
        <v>0</v>
      </c>
    </row>
    <row r="269" spans="1:9" ht="15.75" thickBot="1" x14ac:dyDescent="0.3">
      <c r="A269">
        <f>F269</f>
        <v>9892590626</v>
      </c>
      <c r="B269" s="70">
        <f>fromNewLinkREsponses!A164</f>
        <v>45699.531469907408</v>
      </c>
      <c r="C269" s="71" t="str">
        <f>fromNewLinkREsponses!B164</f>
        <v>caananddaliya@gmail.com</v>
      </c>
      <c r="D269" s="71" t="str">
        <f>fromNewLinkREsponses!D164</f>
        <v>Anand Omprakash Daliya</v>
      </c>
      <c r="E269" s="71" t="str">
        <f>fromNewLinkREsponses!E164</f>
        <v>Amit Gokuldas Mohta</v>
      </c>
      <c r="F269" s="71">
        <f>fromNewLinkREsponses!F164</f>
        <v>9892590626</v>
      </c>
      <c r="G269" s="72" t="str">
        <f>fromNewLinkREsponses!C164</f>
        <v>May be Attending</v>
      </c>
      <c r="H269" s="73" t="str">
        <f>fromNewLinkREsponses!G164</f>
        <v>Will confirm in few days</v>
      </c>
      <c r="I269" t="b">
        <f t="shared" si="4"/>
        <v>0</v>
      </c>
    </row>
    <row r="270" spans="1:9" ht="15.75" thickBot="1" x14ac:dyDescent="0.3">
      <c r="A270">
        <f>F270</f>
        <v>9892635936</v>
      </c>
      <c r="B270" s="70">
        <v>45943.697094907409</v>
      </c>
      <c r="C270" s="74"/>
      <c r="D270" s="71" t="s">
        <v>45</v>
      </c>
      <c r="E270" s="71" t="s">
        <v>46</v>
      </c>
      <c r="F270" s="72">
        <v>9892635936</v>
      </c>
      <c r="G270" s="71" t="s">
        <v>1010</v>
      </c>
      <c r="H270" s="73"/>
      <c r="I270" t="b">
        <f t="shared" si="4"/>
        <v>0</v>
      </c>
    </row>
    <row r="271" spans="1:9" ht="15.75" thickBot="1" x14ac:dyDescent="0.3">
      <c r="A271">
        <f>F271</f>
        <v>9892686153</v>
      </c>
      <c r="B271" s="70">
        <f>fromNewLinkREsponses!A74</f>
        <v>45668.651875000003</v>
      </c>
      <c r="C271" s="71" t="str">
        <f>fromNewLinkREsponses!B74</f>
        <v>arkmantri@gmail.com</v>
      </c>
      <c r="D271" s="71" t="str">
        <f>fromNewLinkREsponses!D74</f>
        <v>Shri Avinash Mantri</v>
      </c>
      <c r="E271" s="71" t="str">
        <f>fromNewLinkREsponses!E74</f>
        <v>Parmeshwar Satyanarayan Malpani</v>
      </c>
      <c r="F271" s="71">
        <f>fromNewLinkREsponses!F74</f>
        <v>9892686153</v>
      </c>
      <c r="G271" s="72" t="str">
        <f>fromNewLinkREsponses!C74</f>
        <v>Confirmed Presence</v>
      </c>
      <c r="H271" s="73" t="str">
        <f>fromNewLinkREsponses!G74</f>
        <v>Will register</v>
      </c>
      <c r="I271" t="b">
        <f t="shared" si="4"/>
        <v>0</v>
      </c>
    </row>
    <row r="272" spans="1:9" ht="15.75" thickBot="1" x14ac:dyDescent="0.3">
      <c r="A272">
        <f>F272</f>
        <v>9892879893</v>
      </c>
      <c r="B272" s="70">
        <f>fromNewLinkREsponses!A33</f>
        <v>45668.581006944441</v>
      </c>
      <c r="C272" s="71" t="str">
        <f>fromNewLinkREsponses!B33</f>
        <v>impt85@gmail.com</v>
      </c>
      <c r="D272" s="71" t="str">
        <f>fromNewLinkREsponses!D33</f>
        <v>Shri Premji Taparia</v>
      </c>
      <c r="E272" s="71" t="str">
        <f>fromNewLinkREsponses!E33</f>
        <v>Kamalkishore Lunkaran Gandhi</v>
      </c>
      <c r="F272" s="71">
        <f>fromNewLinkREsponses!F33</f>
        <v>9892879893</v>
      </c>
      <c r="G272" s="72" t="str">
        <f>fromNewLinkREsponses!C33</f>
        <v>Not Reachable</v>
      </c>
      <c r="H272" s="73">
        <f>fromNewLinkREsponses!G33</f>
        <v>0</v>
      </c>
      <c r="I272" t="b">
        <f t="shared" si="4"/>
        <v>0</v>
      </c>
    </row>
    <row r="273" spans="1:9" ht="15.75" thickBot="1" x14ac:dyDescent="0.3">
      <c r="A273">
        <f>F273</f>
        <v>9912062970</v>
      </c>
      <c r="B273" s="70">
        <f>fromNewLinkREsponses!A123</f>
        <v>45668.768553240741</v>
      </c>
      <c r="C273" s="71" t="str">
        <f>fromNewLinkREsponses!B123</f>
        <v>jyotis1311@gmail.com</v>
      </c>
      <c r="D273" s="71" t="str">
        <f>fromNewLinkREsponses!D123</f>
        <v>Jyotsna Sohan Sarda</v>
      </c>
      <c r="E273" s="71" t="str">
        <f>fromNewLinkREsponses!E123</f>
        <v>Rupali Pushpak Laddha</v>
      </c>
      <c r="F273" s="71">
        <f>fromNewLinkREsponses!F123</f>
        <v>9912062970</v>
      </c>
      <c r="G273" s="72" t="str">
        <f>fromNewLinkREsponses!C123</f>
        <v>Not Reachable</v>
      </c>
      <c r="H273" s="73">
        <f>fromNewLinkREsponses!G123</f>
        <v>0</v>
      </c>
      <c r="I273" t="b">
        <f t="shared" si="4"/>
        <v>0</v>
      </c>
    </row>
    <row r="274" spans="1:9" ht="15.75" thickBot="1" x14ac:dyDescent="0.3">
      <c r="A274">
        <f>F274</f>
        <v>9920115155</v>
      </c>
      <c r="B274" s="31">
        <v>45942.451180555552</v>
      </c>
      <c r="C274" s="32"/>
      <c r="D274" s="5" t="s">
        <v>49</v>
      </c>
      <c r="E274" s="5" t="s">
        <v>451</v>
      </c>
      <c r="F274" s="4">
        <v>9920115155</v>
      </c>
      <c r="G274" s="5" t="s">
        <v>1010</v>
      </c>
      <c r="H274" s="33"/>
      <c r="I274" t="b">
        <f t="shared" si="4"/>
        <v>0</v>
      </c>
    </row>
    <row r="275" spans="1:9" ht="15.75" thickBot="1" x14ac:dyDescent="0.3">
      <c r="A275">
        <f>F275</f>
        <v>9920135003</v>
      </c>
      <c r="B275" s="31">
        <v>45957.916180555556</v>
      </c>
      <c r="C275" s="32"/>
      <c r="D275" s="5" t="s">
        <v>790</v>
      </c>
      <c r="E275" s="5" t="s">
        <v>895</v>
      </c>
      <c r="F275" s="4">
        <v>9920135003</v>
      </c>
      <c r="G275" s="5" t="s">
        <v>1025</v>
      </c>
      <c r="H275" s="33"/>
      <c r="I275" t="b">
        <f t="shared" si="4"/>
        <v>0</v>
      </c>
    </row>
    <row r="276" spans="1:9" ht="15.75" thickBot="1" x14ac:dyDescent="0.3">
      <c r="A276">
        <f>F276</f>
        <v>9920145200</v>
      </c>
      <c r="B276" s="70">
        <v>45957.915300925924</v>
      </c>
      <c r="C276" s="74"/>
      <c r="D276" s="71" t="s">
        <v>790</v>
      </c>
      <c r="E276" s="71" t="s">
        <v>796</v>
      </c>
      <c r="F276" s="72">
        <v>9920145200</v>
      </c>
      <c r="G276" s="71" t="s">
        <v>1025</v>
      </c>
      <c r="H276" s="73"/>
      <c r="I276" t="b">
        <f t="shared" si="4"/>
        <v>0</v>
      </c>
    </row>
    <row r="277" spans="1:9" ht="15.75" thickBot="1" x14ac:dyDescent="0.3">
      <c r="A277">
        <f>F277</f>
        <v>9920151221</v>
      </c>
      <c r="B277" s="70">
        <v>45957.934675925928</v>
      </c>
      <c r="C277" s="74"/>
      <c r="D277" s="71" t="s">
        <v>790</v>
      </c>
      <c r="E277" s="71" t="s">
        <v>791</v>
      </c>
      <c r="F277" s="72">
        <v>9920151221</v>
      </c>
      <c r="G277" s="71" t="s">
        <v>1011</v>
      </c>
      <c r="H277" s="73"/>
      <c r="I277" t="b">
        <f t="shared" si="4"/>
        <v>0</v>
      </c>
    </row>
    <row r="278" spans="1:9" ht="15.75" thickBot="1" x14ac:dyDescent="0.3">
      <c r="A278">
        <f>F278</f>
        <v>9920202022</v>
      </c>
      <c r="B278" s="70">
        <f>fromNewLinkREsponses!A102</f>
        <v>45668.689571759256</v>
      </c>
      <c r="C278" s="71" t="str">
        <f>fromNewLinkREsponses!B102</f>
        <v>akajainca@gmail.com</v>
      </c>
      <c r="D278" s="71" t="str">
        <f>fromNewLinkREsponses!D102</f>
        <v>Akansha Rahul Somani</v>
      </c>
      <c r="E278" s="71" t="str">
        <f>fromNewLinkREsponses!E102</f>
        <v>Rajkishor Shankarlal Bang</v>
      </c>
      <c r="F278" s="71">
        <f>fromNewLinkREsponses!F102</f>
        <v>9920202022</v>
      </c>
      <c r="G278" s="72" t="str">
        <f>fromNewLinkREsponses!C102</f>
        <v>Not Coming</v>
      </c>
      <c r="H278" s="73">
        <f>fromNewLinkREsponses!G102</f>
        <v>0</v>
      </c>
      <c r="I278" t="b">
        <f t="shared" si="4"/>
        <v>0</v>
      </c>
    </row>
    <row r="279" spans="1:9" ht="15.75" thickBot="1" x14ac:dyDescent="0.3">
      <c r="A279">
        <f>F279</f>
        <v>9920233447</v>
      </c>
      <c r="B279" s="70">
        <v>45943.494016203702</v>
      </c>
      <c r="C279" s="74"/>
      <c r="D279" s="71" t="s">
        <v>800</v>
      </c>
      <c r="E279" s="71" t="s">
        <v>801</v>
      </c>
      <c r="F279" s="72">
        <v>9920233447</v>
      </c>
      <c r="G279" s="71" t="s">
        <v>1012</v>
      </c>
      <c r="H279" s="73"/>
      <c r="I279" t="b">
        <f t="shared" si="4"/>
        <v>0</v>
      </c>
    </row>
    <row r="280" spans="1:9" ht="15.75" thickBot="1" x14ac:dyDescent="0.3">
      <c r="A280">
        <f>F280</f>
        <v>9920242371</v>
      </c>
      <c r="B280" s="70">
        <v>45958.432708333334</v>
      </c>
      <c r="C280" s="74"/>
      <c r="D280" s="71" t="s">
        <v>35</v>
      </c>
      <c r="E280" s="71" t="s">
        <v>539</v>
      </c>
      <c r="F280" s="72">
        <v>9920242371</v>
      </c>
      <c r="G280" s="71" t="s">
        <v>1012</v>
      </c>
      <c r="H280" s="73"/>
      <c r="I280" t="b">
        <f t="shared" si="4"/>
        <v>0</v>
      </c>
    </row>
    <row r="281" spans="1:9" ht="15.75" thickBot="1" x14ac:dyDescent="0.3">
      <c r="A281">
        <f>F281</f>
        <v>9920247736</v>
      </c>
      <c r="B281" s="70">
        <f>fromNewLinkREsponses!A128</f>
        <v>45668.769571759258</v>
      </c>
      <c r="C281" s="71" t="str">
        <f>fromNewLinkREsponses!B128</f>
        <v>jyotis1311@gmail.com</v>
      </c>
      <c r="D281" s="71" t="str">
        <f>fromNewLinkREsponses!D128</f>
        <v>Jyotsna Sohan Sarda</v>
      </c>
      <c r="E281" s="71" t="str">
        <f>fromNewLinkREsponses!E128</f>
        <v>Vaijayanti Ravindra Bang</v>
      </c>
      <c r="F281" s="71">
        <f>fromNewLinkREsponses!F128</f>
        <v>9920247736</v>
      </c>
      <c r="G281" s="72" t="str">
        <f>fromNewLinkREsponses!C128</f>
        <v>May be Attending</v>
      </c>
      <c r="H281" s="73">
        <f>fromNewLinkREsponses!G128</f>
        <v>0</v>
      </c>
      <c r="I281" t="b">
        <f t="shared" si="4"/>
        <v>0</v>
      </c>
    </row>
    <row r="282" spans="1:9" ht="15.75" thickBot="1" x14ac:dyDescent="0.3">
      <c r="A282">
        <f>F282</f>
        <v>9920299939</v>
      </c>
      <c r="B282" s="70">
        <f>fromNewLinkREsponses!A138</f>
        <v>45699.432314814818</v>
      </c>
      <c r="C282" s="71" t="str">
        <f>fromNewLinkREsponses!B138</f>
        <v>onlinevdarak@gmail.com</v>
      </c>
      <c r="D282" s="71" t="str">
        <f>fromNewLinkREsponses!D138</f>
        <v>Varun Kanhaiyalal Darak</v>
      </c>
      <c r="E282" s="71" t="str">
        <f>fromNewLinkREsponses!E138</f>
        <v>Neeraj Rajendra Dad</v>
      </c>
      <c r="F282" s="71">
        <f>fromNewLinkREsponses!F138</f>
        <v>9920299939</v>
      </c>
      <c r="G282" s="72" t="str">
        <f>fromNewLinkREsponses!C138</f>
        <v>Not Reachable</v>
      </c>
      <c r="H282" s="73">
        <f>fromNewLinkREsponses!G138</f>
        <v>0</v>
      </c>
      <c r="I282" t="b">
        <f t="shared" si="4"/>
        <v>0</v>
      </c>
    </row>
    <row r="283" spans="1:9" ht="15.75" thickBot="1" x14ac:dyDescent="0.3">
      <c r="A283">
        <f>F283</f>
        <v>9920307573</v>
      </c>
      <c r="B283" s="70">
        <v>45942.445092592592</v>
      </c>
      <c r="C283" s="74"/>
      <c r="D283" s="71" t="s">
        <v>49</v>
      </c>
      <c r="E283" s="71" t="s">
        <v>594</v>
      </c>
      <c r="F283" s="72">
        <v>9920307573</v>
      </c>
      <c r="G283" s="71" t="s">
        <v>1010</v>
      </c>
      <c r="H283" s="73"/>
      <c r="I283" t="b">
        <f t="shared" si="4"/>
        <v>0</v>
      </c>
    </row>
    <row r="284" spans="1:9" ht="15.75" thickBot="1" x14ac:dyDescent="0.3">
      <c r="A284">
        <f>F284</f>
        <v>9920341990</v>
      </c>
      <c r="B284" s="70">
        <v>45943.492048611108</v>
      </c>
      <c r="C284" s="74"/>
      <c r="D284" s="71" t="s">
        <v>800</v>
      </c>
      <c r="E284" s="71" t="s">
        <v>840</v>
      </c>
      <c r="F284" s="72">
        <v>9920341990</v>
      </c>
      <c r="G284" s="71" t="s">
        <v>1012</v>
      </c>
      <c r="H284" s="73"/>
      <c r="I284" t="b">
        <f t="shared" si="4"/>
        <v>0</v>
      </c>
    </row>
    <row r="285" spans="1:9" ht="15.75" thickBot="1" x14ac:dyDescent="0.3">
      <c r="A285">
        <f>F285</f>
        <v>9920425307</v>
      </c>
      <c r="B285" s="31">
        <v>45957.858726851853</v>
      </c>
      <c r="C285" s="32"/>
      <c r="D285" s="5" t="s">
        <v>82</v>
      </c>
      <c r="E285" s="5" t="s">
        <v>754</v>
      </c>
      <c r="F285" s="4">
        <v>9920425307</v>
      </c>
      <c r="G285" s="5" t="s">
        <v>1011</v>
      </c>
      <c r="H285" s="67" t="s">
        <v>1040</v>
      </c>
      <c r="I285" t="b">
        <f t="shared" si="4"/>
        <v>0</v>
      </c>
    </row>
    <row r="286" spans="1:9" ht="15.75" thickBot="1" x14ac:dyDescent="0.3">
      <c r="A286">
        <f>F286</f>
        <v>9920445444</v>
      </c>
      <c r="B286" s="70">
        <f>fromNewLinkREsponses!A46</f>
        <v>45668.587500000001</v>
      </c>
      <c r="C286" s="71" t="str">
        <f>fromNewLinkREsponses!B46</f>
        <v>impt85@gmail.com</v>
      </c>
      <c r="D286" s="71" t="str">
        <f>fromNewLinkREsponses!D46</f>
        <v>Shri Premji Taparia</v>
      </c>
      <c r="E286" s="71" t="str">
        <f>fromNewLinkREsponses!E46</f>
        <v>Shyam Chandramohan Maheshwari</v>
      </c>
      <c r="F286" s="71">
        <f>fromNewLinkREsponses!F46</f>
        <v>9920445444</v>
      </c>
      <c r="G286" s="72" t="str">
        <f>fromNewLinkREsponses!C46</f>
        <v>Not Reachable</v>
      </c>
      <c r="H286" s="73">
        <f>fromNewLinkREsponses!G46</f>
        <v>0</v>
      </c>
      <c r="I286" t="b">
        <f t="shared" si="4"/>
        <v>0</v>
      </c>
    </row>
    <row r="287" spans="1:9" ht="26.25" thickBot="1" x14ac:dyDescent="0.3">
      <c r="A287">
        <f>F287</f>
        <v>9920485387</v>
      </c>
      <c r="B287" s="70">
        <v>45957.891631944447</v>
      </c>
      <c r="C287" s="74"/>
      <c r="D287" s="71" t="s">
        <v>33</v>
      </c>
      <c r="E287" s="71" t="s">
        <v>301</v>
      </c>
      <c r="F287" s="72">
        <v>9920485387</v>
      </c>
      <c r="G287" s="71" t="s">
        <v>1010</v>
      </c>
      <c r="H287" s="75" t="s">
        <v>1045</v>
      </c>
      <c r="I287" t="b">
        <f t="shared" si="4"/>
        <v>0</v>
      </c>
    </row>
    <row r="288" spans="1:9" ht="15.75" thickBot="1" x14ac:dyDescent="0.3">
      <c r="A288">
        <f>F288</f>
        <v>9920772647</v>
      </c>
      <c r="B288" s="70">
        <f>fromNewLinkREsponses!A116</f>
        <v>45668.756018518521</v>
      </c>
      <c r="C288" s="71" t="str">
        <f>fromNewLinkREsponses!B116</f>
        <v>jyotis1311@gmail.com</v>
      </c>
      <c r="D288" s="71" t="str">
        <f>fromNewLinkREsponses!D116</f>
        <v>Jyotsna Sohan Sarda</v>
      </c>
      <c r="E288" s="71" t="str">
        <f>fromNewLinkREsponses!E116</f>
        <v>Aarti Vishal Rathi</v>
      </c>
      <c r="F288" s="71">
        <f>fromNewLinkREsponses!F116</f>
        <v>9920772647</v>
      </c>
      <c r="G288" s="72">
        <f>fromNewLinkREsponses!C116</f>
        <v>0</v>
      </c>
      <c r="H288" s="73" t="str">
        <f>fromNewLinkREsponses!G116</f>
        <v>Not picked up</v>
      </c>
      <c r="I288" t="b">
        <f t="shared" si="4"/>
        <v>0</v>
      </c>
    </row>
    <row r="289" spans="1:9" ht="15.75" thickBot="1" x14ac:dyDescent="0.3">
      <c r="A289">
        <f>F289</f>
        <v>9920816543</v>
      </c>
      <c r="B289" s="70">
        <f>fromNewLinkREsponses!A99</f>
        <v>45668.687777777777</v>
      </c>
      <c r="C289" s="71" t="str">
        <f>fromNewLinkREsponses!B99</f>
        <v>akajainca@gmail.com</v>
      </c>
      <c r="D289" s="71" t="str">
        <f>fromNewLinkREsponses!D99</f>
        <v>Akansha Rahul Somani</v>
      </c>
      <c r="E289" s="71" t="str">
        <f>fromNewLinkREsponses!E99</f>
        <v>Premswaroop Prakashchandra Sikchi</v>
      </c>
      <c r="F289" s="71">
        <f>fromNewLinkREsponses!F99</f>
        <v>9920816543</v>
      </c>
      <c r="G289" s="72" t="str">
        <f>fromNewLinkREsponses!C99</f>
        <v>May be Attending</v>
      </c>
      <c r="H289" s="73">
        <f>fromNewLinkREsponses!G99</f>
        <v>0</v>
      </c>
      <c r="I289" t="b">
        <f t="shared" si="4"/>
        <v>0</v>
      </c>
    </row>
    <row r="290" spans="1:9" ht="15.75" thickBot="1" x14ac:dyDescent="0.3">
      <c r="A290">
        <f>F290</f>
        <v>9923332469</v>
      </c>
      <c r="B290" s="70">
        <f>fromNewLinkREsponses!A67</f>
        <v>45668.62259259259</v>
      </c>
      <c r="C290" s="71" t="str">
        <f>fromNewLinkREsponses!B67</f>
        <v>trysachin@gmail.com</v>
      </c>
      <c r="D290" s="71" t="str">
        <f>fromNewLinkREsponses!D67</f>
        <v>Khushboo Sachin Dhoot</v>
      </c>
      <c r="E290" s="71" t="str">
        <f>fromNewLinkREsponses!E67</f>
        <v>Nitin Vijaykumar Bihani</v>
      </c>
      <c r="F290" s="71">
        <f>fromNewLinkREsponses!F67</f>
        <v>9923332469</v>
      </c>
      <c r="G290" s="72" t="str">
        <f>fromNewLinkREsponses!C67</f>
        <v>Not Coming</v>
      </c>
      <c r="H290" s="73" t="str">
        <f>fromNewLinkREsponses!G67</f>
        <v>Shifted to Pune</v>
      </c>
      <c r="I290" t="b">
        <f t="shared" si="4"/>
        <v>0</v>
      </c>
    </row>
    <row r="291" spans="1:9" ht="15.75" thickBot="1" x14ac:dyDescent="0.3">
      <c r="A291">
        <f>F291</f>
        <v>9928444867</v>
      </c>
      <c r="B291" s="70" t="str">
        <f>fromNewLinkREsponses!A8</f>
        <v>31/10/2025 21:56:58</v>
      </c>
      <c r="C291" s="71" t="str">
        <f>fromNewLinkREsponses!B8</f>
        <v>nikechandak@gmail.com</v>
      </c>
      <c r="D291" s="71" t="str">
        <f>fromNewLinkREsponses!D8</f>
        <v>Shri Nikhilji Chandak</v>
      </c>
      <c r="E291" s="71" t="str">
        <f>fromNewLinkREsponses!E8</f>
        <v>Sunilkumar Ganeshilal Bharadia</v>
      </c>
      <c r="F291" s="71">
        <f>fromNewLinkREsponses!F8</f>
        <v>9928444867</v>
      </c>
      <c r="G291" s="72" t="str">
        <f>fromNewLinkREsponses!C8</f>
        <v>Not Reachable</v>
      </c>
      <c r="H291" s="73" t="str">
        <f>fromNewLinkREsponses!G8</f>
        <v>No is not taking incoming calls</v>
      </c>
      <c r="I291" t="b">
        <f t="shared" si="4"/>
        <v>0</v>
      </c>
    </row>
    <row r="292" spans="1:9" ht="15.75" thickBot="1" x14ac:dyDescent="0.3">
      <c r="A292">
        <f>F292</f>
        <v>9930298981</v>
      </c>
      <c r="B292" s="31">
        <v>45944.773368055554</v>
      </c>
      <c r="C292" s="32"/>
      <c r="D292" s="5" t="s">
        <v>45</v>
      </c>
      <c r="E292" s="5" t="s">
        <v>496</v>
      </c>
      <c r="F292" s="4">
        <v>9930298981</v>
      </c>
      <c r="G292" s="5" t="s">
        <v>1010</v>
      </c>
      <c r="H292" s="33"/>
      <c r="I292" t="b">
        <f t="shared" si="4"/>
        <v>0</v>
      </c>
    </row>
    <row r="293" spans="1:9" ht="15.75" thickBot="1" x14ac:dyDescent="0.3">
      <c r="A293">
        <f>F293</f>
        <v>9930459981</v>
      </c>
      <c r="B293" s="31">
        <v>45942.46665509259</v>
      </c>
      <c r="C293" s="32"/>
      <c r="D293" s="5" t="s">
        <v>49</v>
      </c>
      <c r="E293" s="5" t="s">
        <v>309</v>
      </c>
      <c r="F293" s="4">
        <v>9930459981</v>
      </c>
      <c r="G293" s="5" t="s">
        <v>1010</v>
      </c>
      <c r="H293" s="33"/>
      <c r="I293" t="b">
        <f t="shared" si="4"/>
        <v>0</v>
      </c>
    </row>
    <row r="294" spans="1:9" ht="15.75" thickBot="1" x14ac:dyDescent="0.3">
      <c r="A294">
        <f>F294</f>
        <v>9930723354</v>
      </c>
      <c r="B294" s="70">
        <f>fromNewLinkREsponses!A18</f>
        <v>45668.571296296293</v>
      </c>
      <c r="C294" s="71" t="str">
        <f>fromNewLinkREsponses!B18</f>
        <v>jagdish.lahoti92@gmail.com</v>
      </c>
      <c r="D294" s="71" t="str">
        <f>fromNewLinkREsponses!D18</f>
        <v>Jagdish Rameshchand Lahoti</v>
      </c>
      <c r="E294" s="71" t="str">
        <f>fromNewLinkREsponses!E18</f>
        <v>Dilip Balkrishna Mandhana</v>
      </c>
      <c r="F294" s="71">
        <f>fromNewLinkREsponses!F18</f>
        <v>9930723354</v>
      </c>
      <c r="G294" s="72" t="str">
        <f>fromNewLinkREsponses!C18</f>
        <v>Confirmed Presence</v>
      </c>
      <c r="H294" s="73">
        <f>fromNewLinkREsponses!G18</f>
        <v>0</v>
      </c>
      <c r="I294" t="b">
        <f t="shared" si="4"/>
        <v>0</v>
      </c>
    </row>
    <row r="295" spans="1:9" ht="15.75" thickBot="1" x14ac:dyDescent="0.3">
      <c r="A295">
        <f>F295</f>
        <v>9930770867</v>
      </c>
      <c r="B295" s="70">
        <f>fromNewLinkREsponses!A180</f>
        <v>45699.588472222225</v>
      </c>
      <c r="C295" s="71" t="str">
        <f>fromNewLinkREsponses!B180</f>
        <v>prdhoot@gmail.com</v>
      </c>
      <c r="D295" s="71" t="str">
        <f>fromNewLinkREsponses!D180</f>
        <v>Prateek Ramesh Dhoot</v>
      </c>
      <c r="E295" s="71" t="str">
        <f>fromNewLinkREsponses!E180</f>
        <v>Saurabh Sanjay Kothari</v>
      </c>
      <c r="F295" s="71">
        <f>fromNewLinkREsponses!F180</f>
        <v>9930770867</v>
      </c>
      <c r="G295" s="72" t="str">
        <f>fromNewLinkREsponses!C180</f>
        <v>May be Attending</v>
      </c>
      <c r="H295" s="73">
        <f>fromNewLinkREsponses!G180</f>
        <v>0</v>
      </c>
      <c r="I295" t="b">
        <f t="shared" si="4"/>
        <v>0</v>
      </c>
    </row>
    <row r="296" spans="1:9" ht="15.75" thickBot="1" x14ac:dyDescent="0.3">
      <c r="A296">
        <f>F296</f>
        <v>9930799429</v>
      </c>
      <c r="B296" s="70">
        <f>fromNewLinkREsponses!A184</f>
        <v>45699.589895833335</v>
      </c>
      <c r="C296" s="71" t="str">
        <f>fromNewLinkREsponses!B184</f>
        <v>prdhoot@gmail.com</v>
      </c>
      <c r="D296" s="71" t="str">
        <f>fromNewLinkREsponses!D184</f>
        <v>Prateek Ramesh Dhoot</v>
      </c>
      <c r="E296" s="71" t="str">
        <f>fromNewLinkREsponses!E184</f>
        <v>Shyamsunder Jaikishan Kabra</v>
      </c>
      <c r="F296" s="71">
        <f>fromNewLinkREsponses!F184</f>
        <v>9930799429</v>
      </c>
      <c r="G296" s="72" t="str">
        <f>fromNewLinkREsponses!C184</f>
        <v>Phone Busy</v>
      </c>
      <c r="H296" s="73">
        <f>fromNewLinkREsponses!G184</f>
        <v>0</v>
      </c>
      <c r="I296" t="b">
        <f t="shared" si="4"/>
        <v>0</v>
      </c>
    </row>
    <row r="297" spans="1:9" ht="15.75" thickBot="1" x14ac:dyDescent="0.3">
      <c r="A297">
        <f>F297</f>
        <v>9930868776</v>
      </c>
      <c r="B297" s="31">
        <v>45956.615057870367</v>
      </c>
      <c r="C297" s="32"/>
      <c r="D297" s="5" t="s">
        <v>73</v>
      </c>
      <c r="E297" s="5" t="s">
        <v>321</v>
      </c>
      <c r="F297" s="4">
        <v>9930868776</v>
      </c>
      <c r="G297" s="5" t="s">
        <v>1010</v>
      </c>
      <c r="H297" s="33"/>
      <c r="I297" t="b">
        <f t="shared" si="4"/>
        <v>0</v>
      </c>
    </row>
    <row r="298" spans="1:9" ht="15.75" thickBot="1" x14ac:dyDescent="0.3">
      <c r="A298">
        <f>F298</f>
        <v>9964005943</v>
      </c>
      <c r="B298" s="31">
        <v>45942.679293981484</v>
      </c>
      <c r="C298" s="32"/>
      <c r="D298" s="5" t="s">
        <v>17</v>
      </c>
      <c r="E298" s="5" t="s">
        <v>388</v>
      </c>
      <c r="F298" s="4">
        <v>9964005943</v>
      </c>
      <c r="G298" s="5" t="s">
        <v>1010</v>
      </c>
      <c r="H298" s="33"/>
      <c r="I298" t="b">
        <f t="shared" si="4"/>
        <v>0</v>
      </c>
    </row>
    <row r="299" spans="1:9" ht="15.75" thickBot="1" x14ac:dyDescent="0.3">
      <c r="A299">
        <f>F299</f>
        <v>9967015641</v>
      </c>
      <c r="B299" s="70">
        <f>fromNewLinkREsponses!A93</f>
        <v>45668.677847222221</v>
      </c>
      <c r="C299" s="71" t="str">
        <f>fromNewLinkREsponses!B93</f>
        <v>caprachirathi@gmail.com</v>
      </c>
      <c r="D299" s="71" t="str">
        <f>fromNewLinkREsponses!D93</f>
        <v>Prachi Ankit Kabra</v>
      </c>
      <c r="E299" s="71" t="str">
        <f>fromNewLinkREsponses!E93</f>
        <v>Sumeet Suresh Chandra Gilda</v>
      </c>
      <c r="F299" s="71">
        <f>fromNewLinkREsponses!F93</f>
        <v>9967015641</v>
      </c>
      <c r="G299" s="72" t="str">
        <f>fromNewLinkREsponses!C93</f>
        <v>Not Coming</v>
      </c>
      <c r="H299" s="73" t="str">
        <f>fromNewLinkREsponses!G93</f>
        <v>Not coming</v>
      </c>
      <c r="I299" t="b">
        <f t="shared" si="4"/>
        <v>0</v>
      </c>
    </row>
    <row r="300" spans="1:9" ht="15.75" thickBot="1" x14ac:dyDescent="0.3">
      <c r="A300">
        <f>F300</f>
        <v>9967045520</v>
      </c>
      <c r="B300" s="70">
        <f>fromNewLinkREsponses!A68</f>
        <v>45668.622766203705</v>
      </c>
      <c r="C300" s="71" t="str">
        <f>fromNewLinkREsponses!B68</f>
        <v>trysachin@gmail.com</v>
      </c>
      <c r="D300" s="71" t="str">
        <f>fromNewLinkREsponses!D68</f>
        <v>Khushboo Sachin Dhoot</v>
      </c>
      <c r="E300" s="71" t="str">
        <f>fromNewLinkREsponses!E68</f>
        <v>Retesh Krishankumar Chandak</v>
      </c>
      <c r="F300" s="71">
        <f>fromNewLinkREsponses!F68</f>
        <v>9967045520</v>
      </c>
      <c r="G300" s="72" t="str">
        <f>fromNewLinkREsponses!C68</f>
        <v>Confirmed Presence</v>
      </c>
      <c r="H300" s="73">
        <f>fromNewLinkREsponses!G68</f>
        <v>0</v>
      </c>
      <c r="I300" t="b">
        <f t="shared" si="4"/>
        <v>0</v>
      </c>
    </row>
    <row r="301" spans="1:9" ht="15.75" thickBot="1" x14ac:dyDescent="0.3">
      <c r="A301">
        <f>F301</f>
        <v>9967071927</v>
      </c>
      <c r="B301" s="70">
        <f>fromNewLinkREsponses!A186</f>
        <v>45699.590717592589</v>
      </c>
      <c r="C301" s="71" t="str">
        <f>fromNewLinkREsponses!B186</f>
        <v>prdhoot@gmail.com</v>
      </c>
      <c r="D301" s="71" t="str">
        <f>fromNewLinkREsponses!D186</f>
        <v>Prateek Ramesh Dhoot</v>
      </c>
      <c r="E301" s="71" t="str">
        <f>fromNewLinkREsponses!E186</f>
        <v>Vivek Ramesh Chechani</v>
      </c>
      <c r="F301" s="71">
        <f>fromNewLinkREsponses!F186</f>
        <v>9967071927</v>
      </c>
      <c r="G301" s="72" t="str">
        <f>fromNewLinkREsponses!C186</f>
        <v>Phone Busy</v>
      </c>
      <c r="H301" s="73">
        <f>fromNewLinkREsponses!G186</f>
        <v>0</v>
      </c>
      <c r="I301" t="b">
        <f t="shared" si="4"/>
        <v>0</v>
      </c>
    </row>
    <row r="302" spans="1:9" ht="15.75" thickBot="1" x14ac:dyDescent="0.3">
      <c r="A302">
        <f>F302</f>
        <v>9967235652</v>
      </c>
      <c r="B302" s="70">
        <f>fromNewLinkREsponses!A136</f>
        <v>45699.431250000001</v>
      </c>
      <c r="C302" s="71" t="str">
        <f>fromNewLinkREsponses!B136</f>
        <v>onlinevdarak@gmail.com</v>
      </c>
      <c r="D302" s="71" t="str">
        <f>fromNewLinkREsponses!D136</f>
        <v>Varun Kanhaiyalal Darak</v>
      </c>
      <c r="E302" s="71" t="str">
        <f>fromNewLinkREsponses!E136</f>
        <v>Harnarayan Rameshwarprasad Jaju</v>
      </c>
      <c r="F302" s="71">
        <f>fromNewLinkREsponses!F136</f>
        <v>9967235652</v>
      </c>
      <c r="G302" s="72" t="str">
        <f>fromNewLinkREsponses!C136</f>
        <v>Confirmed Presence</v>
      </c>
      <c r="H302" s="73" t="str">
        <f>fromNewLinkREsponses!G136</f>
        <v>Issue in submitting Marksheet</v>
      </c>
      <c r="I302" t="b">
        <f t="shared" si="4"/>
        <v>0</v>
      </c>
    </row>
    <row r="303" spans="1:9" ht="15.75" thickBot="1" x14ac:dyDescent="0.3">
      <c r="A303">
        <f>F303</f>
        <v>9967236456</v>
      </c>
      <c r="B303" s="31">
        <v>45942.447337962964</v>
      </c>
      <c r="C303" s="32"/>
      <c r="D303" s="5" t="s">
        <v>49</v>
      </c>
      <c r="E303" s="5" t="s">
        <v>262</v>
      </c>
      <c r="F303" s="4">
        <v>9967236456</v>
      </c>
      <c r="G303" s="5" t="s">
        <v>1010</v>
      </c>
      <c r="H303" s="33"/>
      <c r="I303" t="b">
        <f t="shared" si="4"/>
        <v>0</v>
      </c>
    </row>
    <row r="304" spans="1:9" ht="15.75" thickBot="1" x14ac:dyDescent="0.3">
      <c r="A304">
        <f>F304</f>
        <v>9967587634</v>
      </c>
      <c r="B304" s="31">
        <v>45941.587962962964</v>
      </c>
      <c r="C304" s="32"/>
      <c r="D304" s="5" t="s">
        <v>47</v>
      </c>
      <c r="E304" s="5" t="s">
        <v>736</v>
      </c>
      <c r="F304" s="4">
        <v>9967587634</v>
      </c>
      <c r="G304" s="5" t="s">
        <v>1010</v>
      </c>
      <c r="H304" s="33"/>
      <c r="I304" t="b">
        <f t="shared" si="4"/>
        <v>0</v>
      </c>
    </row>
    <row r="305" spans="1:9" ht="15.75" thickBot="1" x14ac:dyDescent="0.3">
      <c r="A305">
        <f>F305</f>
        <v>9967592693</v>
      </c>
      <c r="B305" s="70">
        <f>fromNewLinkREsponses!A65</f>
        <v>45668.622164351851</v>
      </c>
      <c r="C305" s="71" t="str">
        <f>fromNewLinkREsponses!B65</f>
        <v>trysachin@gmail.com</v>
      </c>
      <c r="D305" s="71" t="str">
        <f>fromNewLinkREsponses!D65</f>
        <v>Khushboo Sachin Dhoot</v>
      </c>
      <c r="E305" s="71" t="str">
        <f>fromNewLinkREsponses!E65</f>
        <v>Manish Manmal Laddha</v>
      </c>
      <c r="F305" s="71">
        <f>fromNewLinkREsponses!F65</f>
        <v>9967592693</v>
      </c>
      <c r="G305" s="72" t="str">
        <f>fromNewLinkREsponses!C65</f>
        <v>Not Coming</v>
      </c>
      <c r="H305" s="73">
        <f>fromNewLinkREsponses!G65</f>
        <v>0</v>
      </c>
      <c r="I305" t="b">
        <f t="shared" si="4"/>
        <v>0</v>
      </c>
    </row>
    <row r="306" spans="1:9" ht="15.75" thickBot="1" x14ac:dyDescent="0.3">
      <c r="A306">
        <f>F306</f>
        <v>9967979838</v>
      </c>
      <c r="B306" s="70">
        <v>45957.908379629633</v>
      </c>
      <c r="C306" s="74"/>
      <c r="D306" s="71" t="s">
        <v>790</v>
      </c>
      <c r="E306" s="71" t="s">
        <v>989</v>
      </c>
      <c r="F306" s="72">
        <v>9967979838</v>
      </c>
      <c r="G306" s="71" t="s">
        <v>1013</v>
      </c>
      <c r="H306" s="73"/>
      <c r="I306" t="b">
        <f t="shared" si="4"/>
        <v>0</v>
      </c>
    </row>
    <row r="307" spans="1:9" ht="15.75" thickBot="1" x14ac:dyDescent="0.3">
      <c r="A307">
        <f>F307</f>
        <v>9975629760</v>
      </c>
      <c r="B307" s="70">
        <f>fromNewLinkREsponses!A181</f>
        <v>45699.589143518519</v>
      </c>
      <c r="C307" s="71" t="str">
        <f>fromNewLinkREsponses!B181</f>
        <v>prdhoot@gmail.com</v>
      </c>
      <c r="D307" s="71" t="str">
        <f>fromNewLinkREsponses!D181</f>
        <v>Prateek Ramesh Dhoot</v>
      </c>
      <c r="E307" s="71" t="str">
        <f>fromNewLinkREsponses!E181</f>
        <v>Saurabh Suresh Rathi</v>
      </c>
      <c r="F307" s="71">
        <f>fromNewLinkREsponses!F181</f>
        <v>9975629760</v>
      </c>
      <c r="G307" s="72" t="str">
        <f>fromNewLinkREsponses!C181</f>
        <v>Not Coming</v>
      </c>
      <c r="H307" s="73" t="str">
        <f>fromNewLinkREsponses!G181</f>
        <v>shifted to lower parel</v>
      </c>
      <c r="I307" t="b">
        <f t="shared" si="4"/>
        <v>0</v>
      </c>
    </row>
    <row r="308" spans="1:9" ht="15.75" thickBot="1" x14ac:dyDescent="0.3">
      <c r="A308">
        <f>F308</f>
        <v>9987005185</v>
      </c>
      <c r="B308" s="70">
        <v>45943.700196759259</v>
      </c>
      <c r="C308" s="74"/>
      <c r="D308" s="71" t="s">
        <v>45</v>
      </c>
      <c r="E308" s="71" t="s">
        <v>639</v>
      </c>
      <c r="F308" s="72">
        <v>9987005185</v>
      </c>
      <c r="G308" s="71" t="s">
        <v>1010</v>
      </c>
      <c r="H308" s="73"/>
      <c r="I308" t="b">
        <f t="shared" si="4"/>
        <v>0</v>
      </c>
    </row>
    <row r="309" spans="1:9" ht="15.75" thickBot="1" x14ac:dyDescent="0.3">
      <c r="A309">
        <f>F309</f>
        <v>9987019726</v>
      </c>
      <c r="B309" s="70">
        <f>fromNewLinkREsponses!A161</f>
        <v>45699.501493055555</v>
      </c>
      <c r="C309" s="71" t="str">
        <f>fromNewLinkREsponses!B161</f>
        <v>vipin0785@gmail.com</v>
      </c>
      <c r="D309" s="71" t="str">
        <f>fromNewLinkREsponses!D161</f>
        <v>Vipin Saboo</v>
      </c>
      <c r="E309" s="71" t="str">
        <f>fromNewLinkREsponses!E161</f>
        <v>Gajadher Kesharimal Mandhania</v>
      </c>
      <c r="F309" s="71">
        <f>fromNewLinkREsponses!F161</f>
        <v>9987019726</v>
      </c>
      <c r="G309" s="72" t="str">
        <f>fromNewLinkREsponses!C161</f>
        <v>May be Attending</v>
      </c>
      <c r="H309" s="73" t="str">
        <f>fromNewLinkREsponses!G161</f>
        <v>Not sure if he would be able to attend</v>
      </c>
      <c r="I309" t="b">
        <f t="shared" si="4"/>
        <v>0</v>
      </c>
    </row>
    <row r="310" spans="1:9" ht="15.75" thickBot="1" x14ac:dyDescent="0.3">
      <c r="A310">
        <f>F310</f>
        <v>9987026732</v>
      </c>
      <c r="B310" s="70">
        <v>45943.522199074076</v>
      </c>
      <c r="C310" s="74"/>
      <c r="D310" s="71" t="s">
        <v>45</v>
      </c>
      <c r="E310" s="71" t="s">
        <v>355</v>
      </c>
      <c r="F310" s="72">
        <v>9987026732</v>
      </c>
      <c r="G310" s="71" t="s">
        <v>1010</v>
      </c>
      <c r="H310" s="73"/>
      <c r="I310" t="b">
        <f t="shared" si="4"/>
        <v>0</v>
      </c>
    </row>
    <row r="311" spans="1:9" ht="15.75" thickBot="1" x14ac:dyDescent="0.3">
      <c r="A311">
        <f>F311</f>
        <v>9987241860</v>
      </c>
      <c r="B311" s="70">
        <f>fromNewLinkREsponses!A108</f>
        <v>45668.692743055559</v>
      </c>
      <c r="C311" s="71" t="str">
        <f>fromNewLinkREsponses!B108</f>
        <v>akajainca@gmail.com</v>
      </c>
      <c r="D311" s="71" t="str">
        <f>fromNewLinkREsponses!D108</f>
        <v>Akansha Rahul Somani</v>
      </c>
      <c r="E311" s="71" t="str">
        <f>fromNewLinkREsponses!E108</f>
        <v>Sohan Hansraj Sarda</v>
      </c>
      <c r="F311" s="71">
        <f>fromNewLinkREsponses!F108</f>
        <v>9987241860</v>
      </c>
      <c r="G311" s="72" t="str">
        <f>fromNewLinkREsponses!C108</f>
        <v>Confirmed Presence</v>
      </c>
      <c r="H311" s="73">
        <f>fromNewLinkREsponses!G108</f>
        <v>0</v>
      </c>
      <c r="I311" t="b">
        <f t="shared" si="4"/>
        <v>0</v>
      </c>
    </row>
    <row r="312" spans="1:9" ht="15.75" thickBot="1" x14ac:dyDescent="0.3">
      <c r="A312">
        <f>F312</f>
        <v>9987297056</v>
      </c>
      <c r="B312" s="70">
        <v>45957.87263888889</v>
      </c>
      <c r="C312" s="74"/>
      <c r="D312" s="71" t="s">
        <v>82</v>
      </c>
      <c r="E312" s="71" t="s">
        <v>658</v>
      </c>
      <c r="F312" s="72">
        <v>9987297056</v>
      </c>
      <c r="G312" s="71" t="s">
        <v>1012</v>
      </c>
      <c r="H312" s="73"/>
      <c r="I312" t="b">
        <f t="shared" si="4"/>
        <v>0</v>
      </c>
    </row>
    <row r="313" spans="1:9" ht="15.75" thickBot="1" x14ac:dyDescent="0.3">
      <c r="A313">
        <f>F313</f>
        <v>9993325021</v>
      </c>
      <c r="B313" s="31">
        <v>45942.666539351849</v>
      </c>
      <c r="C313" s="32"/>
      <c r="D313" s="5" t="s">
        <v>17</v>
      </c>
      <c r="E313" s="5" t="s">
        <v>150</v>
      </c>
      <c r="F313" s="4">
        <v>9993325021</v>
      </c>
      <c r="G313" s="5" t="s">
        <v>1010</v>
      </c>
      <c r="H313" s="33"/>
      <c r="I313" t="b">
        <f t="shared" si="4"/>
        <v>0</v>
      </c>
    </row>
    <row r="314" spans="1:9" ht="15.75" thickBot="1" x14ac:dyDescent="0.3">
      <c r="A314">
        <f>F314</f>
        <v>9994144544</v>
      </c>
      <c r="B314" s="31">
        <v>45943.493854166663</v>
      </c>
      <c r="C314" s="32"/>
      <c r="D314" s="5" t="s">
        <v>800</v>
      </c>
      <c r="E314" s="5" t="s">
        <v>883</v>
      </c>
      <c r="F314" s="4">
        <v>9994144544</v>
      </c>
      <c r="G314" s="5" t="s">
        <v>1011</v>
      </c>
      <c r="H314" s="67" t="s">
        <v>1029</v>
      </c>
      <c r="I314" t="b">
        <f t="shared" si="4"/>
        <v>0</v>
      </c>
    </row>
    <row r="315" spans="1:9" ht="15.75" thickBot="1" x14ac:dyDescent="0.3">
      <c r="A315">
        <f>F315</f>
        <v>9999845745</v>
      </c>
      <c r="B315" s="70">
        <f>fromNewLinkREsponses!A87</f>
        <v>45668.675613425927</v>
      </c>
      <c r="C315" s="71" t="str">
        <f>fromNewLinkREsponses!B87</f>
        <v>rameshmundhra123@gmail.com</v>
      </c>
      <c r="D315" s="71" t="str">
        <f>fromNewLinkREsponses!D87</f>
        <v>Shri Rameshji Mundhra</v>
      </c>
      <c r="E315" s="71" t="str">
        <f>fromNewLinkREsponses!E87</f>
        <v>Rajendraprasad Ballaram Agiwal</v>
      </c>
      <c r="F315" s="71">
        <f>fromNewLinkREsponses!F87</f>
        <v>9999845745</v>
      </c>
      <c r="G315" s="72" t="str">
        <f>fromNewLinkREsponses!C87</f>
        <v>Not Coming</v>
      </c>
      <c r="H315" s="73" t="str">
        <f>fromNewLinkREsponses!G87</f>
        <v>Not in Mumbai</v>
      </c>
      <c r="I315" t="b">
        <f t="shared" si="4"/>
        <v>0</v>
      </c>
    </row>
    <row r="316" spans="1:9" ht="15.75" thickBot="1" x14ac:dyDescent="0.3">
      <c r="A316" t="str">
        <f>F316</f>
        <v>As per list</v>
      </c>
      <c r="B316" s="70">
        <f>fromNewLinkREsponses!A73</f>
        <v>45668.641296296293</v>
      </c>
      <c r="C316" s="71" t="str">
        <f>fromNewLinkREsponses!B73</f>
        <v>rameshmundhra123@gmail.com</v>
      </c>
      <c r="D316" s="71" t="str">
        <f>fromNewLinkREsponses!D73</f>
        <v>Ramesh Mundhra</v>
      </c>
      <c r="E316" s="71" t="str">
        <f>fromNewLinkREsponses!E73</f>
        <v>Rajendra Ji</v>
      </c>
      <c r="F316" s="71" t="str">
        <f>fromNewLinkREsponses!F73</f>
        <v>As per list</v>
      </c>
      <c r="G316" s="72" t="str">
        <f>fromNewLinkREsponses!C73</f>
        <v>Not Coming</v>
      </c>
      <c r="H316" s="73" t="str">
        <f>fromNewLinkREsponses!G73</f>
        <v>Not coming - Not in mumbai</v>
      </c>
      <c r="I316" t="b">
        <f t="shared" si="4"/>
        <v>0</v>
      </c>
    </row>
    <row r="317" spans="1:9" ht="15.75" thickBot="1" x14ac:dyDescent="0.3">
      <c r="B317" s="70"/>
      <c r="C317" s="71"/>
      <c r="D317" s="71"/>
      <c r="E317" s="71"/>
      <c r="F317" s="71"/>
      <c r="G317" s="72"/>
      <c r="H317" s="73"/>
    </row>
    <row r="318" spans="1:9" ht="15.75" thickBot="1" x14ac:dyDescent="0.3">
      <c r="B318" s="70"/>
      <c r="C318" s="71"/>
      <c r="D318" s="71"/>
      <c r="E318" s="71"/>
      <c r="F318" s="71"/>
      <c r="G318" s="72"/>
      <c r="H318" s="73"/>
    </row>
    <row r="319" spans="1:9" ht="15.75" thickBot="1" x14ac:dyDescent="0.3">
      <c r="B319" s="70"/>
      <c r="C319" s="71"/>
      <c r="D319" s="71"/>
      <c r="E319" s="71"/>
      <c r="F319" s="71"/>
      <c r="G319" s="72"/>
      <c r="H319" s="73"/>
    </row>
    <row r="320" spans="1:9" ht="15.75" thickBot="1" x14ac:dyDescent="0.3">
      <c r="B320" s="70"/>
      <c r="C320" s="71"/>
      <c r="D320" s="71"/>
      <c r="E320" s="71"/>
      <c r="F320" s="71"/>
      <c r="G320" s="72"/>
      <c r="H320" s="73"/>
    </row>
    <row r="321" spans="2:8" ht="15.75" thickBot="1" x14ac:dyDescent="0.3">
      <c r="B321" s="70"/>
      <c r="C321" s="71"/>
      <c r="D321" s="71"/>
      <c r="E321" s="71"/>
      <c r="F321" s="71"/>
      <c r="G321" s="72"/>
      <c r="H321" s="73"/>
    </row>
    <row r="322" spans="2:8" ht="15.75" thickBot="1" x14ac:dyDescent="0.3">
      <c r="B322" s="70"/>
      <c r="C322" s="71"/>
      <c r="D322" s="71"/>
      <c r="E322" s="71"/>
      <c r="F322" s="71"/>
      <c r="G322" s="72"/>
      <c r="H322" s="73"/>
    </row>
    <row r="323" spans="2:8" ht="15.75" thickBot="1" x14ac:dyDescent="0.3">
      <c r="B323" s="70"/>
      <c r="C323" s="71"/>
      <c r="D323" s="71"/>
      <c r="E323" s="71"/>
      <c r="F323" s="71"/>
      <c r="G323" s="72"/>
      <c r="H323" s="73"/>
    </row>
    <row r="324" spans="2:8" ht="15.75" thickBot="1" x14ac:dyDescent="0.3">
      <c r="B324" s="70"/>
      <c r="C324" s="71"/>
      <c r="D324" s="71"/>
      <c r="E324" s="71"/>
      <c r="F324" s="71"/>
      <c r="G324" s="72"/>
      <c r="H324" s="73"/>
    </row>
    <row r="325" spans="2:8" ht="15.75" thickBot="1" x14ac:dyDescent="0.3">
      <c r="B325" s="70"/>
      <c r="C325" s="71"/>
      <c r="D325" s="71"/>
      <c r="E325" s="71"/>
      <c r="F325" s="71"/>
      <c r="G325" s="72"/>
      <c r="H325" s="73"/>
    </row>
    <row r="326" spans="2:8" ht="15.75" thickBot="1" x14ac:dyDescent="0.3">
      <c r="B326" s="70"/>
      <c r="C326" s="71"/>
      <c r="D326" s="71"/>
      <c r="E326" s="71"/>
      <c r="F326" s="71"/>
      <c r="G326" s="72"/>
      <c r="H326" s="73"/>
    </row>
    <row r="327" spans="2:8" ht="15.75" thickBot="1" x14ac:dyDescent="0.3">
      <c r="B327" s="70"/>
      <c r="C327" s="71"/>
      <c r="D327" s="71"/>
      <c r="E327" s="71"/>
      <c r="F327" s="71"/>
      <c r="G327" s="72"/>
      <c r="H327" s="73"/>
    </row>
    <row r="328" spans="2:8" ht="15.75" thickBot="1" x14ac:dyDescent="0.3">
      <c r="B328" s="70"/>
      <c r="C328" s="71"/>
      <c r="D328" s="71"/>
      <c r="E328" s="71"/>
      <c r="F328" s="71"/>
      <c r="G328" s="72"/>
      <c r="H328" s="73"/>
    </row>
    <row r="329" spans="2:8" ht="15.75" thickBot="1" x14ac:dyDescent="0.3">
      <c r="B329" s="70"/>
      <c r="C329" s="71"/>
      <c r="D329" s="71"/>
      <c r="E329" s="71"/>
      <c r="F329" s="71"/>
      <c r="G329" s="72"/>
      <c r="H329" s="73"/>
    </row>
    <row r="330" spans="2:8" ht="15.75" thickBot="1" x14ac:dyDescent="0.3">
      <c r="B330" s="70"/>
      <c r="C330" s="71"/>
      <c r="D330" s="71"/>
      <c r="E330" s="71"/>
      <c r="F330" s="71"/>
      <c r="G330" s="72"/>
      <c r="H330" s="73"/>
    </row>
    <row r="331" spans="2:8" ht="15.75" thickBot="1" x14ac:dyDescent="0.3">
      <c r="B331" s="70"/>
      <c r="C331" s="71"/>
      <c r="D331" s="71"/>
      <c r="E331" s="71"/>
      <c r="F331" s="71"/>
      <c r="G331" s="72"/>
      <c r="H331" s="73"/>
    </row>
    <row r="332" spans="2:8" ht="15.75" thickBot="1" x14ac:dyDescent="0.3">
      <c r="B332" s="70"/>
      <c r="C332" s="71"/>
      <c r="D332" s="71"/>
      <c r="E332" s="71"/>
      <c r="F332" s="71"/>
      <c r="G332" s="72"/>
      <c r="H332" s="73"/>
    </row>
    <row r="333" spans="2:8" ht="15.75" thickBot="1" x14ac:dyDescent="0.3">
      <c r="B333" s="70"/>
      <c r="C333" s="71"/>
      <c r="D333" s="71"/>
      <c r="E333" s="71"/>
      <c r="F333" s="71"/>
      <c r="G333" s="72"/>
      <c r="H333" s="73"/>
    </row>
    <row r="334" spans="2:8" ht="15.75" thickBot="1" x14ac:dyDescent="0.3">
      <c r="B334" s="70"/>
      <c r="C334" s="71"/>
      <c r="D334" s="71"/>
      <c r="E334" s="71"/>
      <c r="F334" s="71"/>
      <c r="G334" s="72"/>
      <c r="H334" s="73"/>
    </row>
    <row r="335" spans="2:8" ht="15.75" thickBot="1" x14ac:dyDescent="0.3">
      <c r="B335" s="70"/>
      <c r="C335" s="71"/>
      <c r="D335" s="71"/>
      <c r="E335" s="71"/>
      <c r="F335" s="71"/>
      <c r="G335" s="72"/>
      <c r="H335" s="73"/>
    </row>
    <row r="336" spans="2:8" ht="15.75" thickBot="1" x14ac:dyDescent="0.3">
      <c r="B336" s="70"/>
      <c r="C336" s="71"/>
      <c r="D336" s="71"/>
      <c r="E336" s="71"/>
      <c r="F336" s="71"/>
      <c r="G336" s="72"/>
      <c r="H336" s="73"/>
    </row>
    <row r="337" spans="2:8" ht="15.75" thickBot="1" x14ac:dyDescent="0.3">
      <c r="B337" s="70"/>
      <c r="C337" s="71"/>
      <c r="D337" s="71"/>
      <c r="E337" s="71"/>
      <c r="F337" s="71"/>
      <c r="G337" s="72"/>
      <c r="H337" s="73"/>
    </row>
    <row r="338" spans="2:8" ht="15.75" thickBot="1" x14ac:dyDescent="0.3">
      <c r="B338" s="70"/>
      <c r="C338" s="71"/>
      <c r="D338" s="71"/>
      <c r="E338" s="71"/>
      <c r="F338" s="71"/>
      <c r="G338" s="72"/>
      <c r="H338" s="73"/>
    </row>
    <row r="339" spans="2:8" ht="15.75" thickBot="1" x14ac:dyDescent="0.3">
      <c r="B339" s="70"/>
      <c r="C339" s="71"/>
      <c r="D339" s="71"/>
      <c r="E339" s="71"/>
      <c r="F339" s="71"/>
      <c r="G339" s="72"/>
      <c r="H339" s="73"/>
    </row>
    <row r="340" spans="2:8" ht="15.75" thickBot="1" x14ac:dyDescent="0.3">
      <c r="B340" s="70"/>
      <c r="C340" s="71"/>
      <c r="D340" s="71"/>
      <c r="E340" s="71"/>
      <c r="F340" s="71"/>
      <c r="G340" s="72"/>
      <c r="H340" s="73"/>
    </row>
    <row r="341" spans="2:8" ht="15.75" thickBot="1" x14ac:dyDescent="0.3">
      <c r="B341" s="70"/>
      <c r="C341" s="71"/>
      <c r="D341" s="71"/>
      <c r="E341" s="71"/>
      <c r="F341" s="71"/>
      <c r="G341" s="72"/>
      <c r="H341" s="73"/>
    </row>
    <row r="342" spans="2:8" ht="15.75" thickBot="1" x14ac:dyDescent="0.3">
      <c r="B342" s="70"/>
      <c r="C342" s="71"/>
      <c r="D342" s="71"/>
      <c r="E342" s="71"/>
      <c r="F342" s="71"/>
      <c r="G342" s="72"/>
      <c r="H342" s="73"/>
    </row>
    <row r="343" spans="2:8" ht="15.75" thickBot="1" x14ac:dyDescent="0.3">
      <c r="B343" s="70"/>
      <c r="C343" s="71"/>
      <c r="D343" s="71"/>
      <c r="E343" s="71"/>
      <c r="F343" s="71"/>
      <c r="G343" s="72"/>
      <c r="H343" s="73"/>
    </row>
    <row r="344" spans="2:8" ht="15.75" thickBot="1" x14ac:dyDescent="0.3">
      <c r="B344" s="70"/>
      <c r="C344" s="71"/>
      <c r="D344" s="71"/>
      <c r="E344" s="71"/>
      <c r="F344" s="71"/>
      <c r="G344" s="72"/>
      <c r="H344" s="73"/>
    </row>
    <row r="345" spans="2:8" ht="15.75" thickBot="1" x14ac:dyDescent="0.3">
      <c r="B345" s="70"/>
      <c r="C345" s="71"/>
      <c r="D345" s="71"/>
      <c r="E345" s="71"/>
      <c r="F345" s="71"/>
      <c r="G345" s="72"/>
      <c r="H345" s="73"/>
    </row>
    <row r="346" spans="2:8" ht="15.75" thickBot="1" x14ac:dyDescent="0.3">
      <c r="B346" s="70"/>
      <c r="C346" s="71"/>
      <c r="D346" s="71"/>
      <c r="E346" s="71"/>
      <c r="F346" s="71"/>
      <c r="G346" s="72"/>
      <c r="H346" s="73"/>
    </row>
    <row r="347" spans="2:8" ht="15.75" thickBot="1" x14ac:dyDescent="0.3">
      <c r="B347" s="70"/>
      <c r="C347" s="71"/>
      <c r="D347" s="71"/>
      <c r="E347" s="71"/>
      <c r="F347" s="71"/>
      <c r="G347" s="72"/>
      <c r="H347" s="73"/>
    </row>
    <row r="348" spans="2:8" ht="15.75" thickBot="1" x14ac:dyDescent="0.3">
      <c r="B348" s="70"/>
      <c r="C348" s="71"/>
      <c r="D348" s="71"/>
      <c r="E348" s="71"/>
      <c r="F348" s="71"/>
      <c r="G348" s="72"/>
      <c r="H348" s="73"/>
    </row>
    <row r="349" spans="2:8" ht="15.75" thickBot="1" x14ac:dyDescent="0.3">
      <c r="B349" s="70"/>
      <c r="C349" s="71"/>
      <c r="D349" s="71"/>
      <c r="E349" s="71"/>
      <c r="F349" s="71"/>
      <c r="G349" s="72"/>
      <c r="H349" s="73"/>
    </row>
    <row r="350" spans="2:8" ht="15.75" thickBot="1" x14ac:dyDescent="0.3">
      <c r="B350" s="70"/>
      <c r="C350" s="71"/>
      <c r="D350" s="71"/>
      <c r="E350" s="71"/>
      <c r="F350" s="71"/>
      <c r="G350" s="72"/>
      <c r="H350" s="73"/>
    </row>
    <row r="351" spans="2:8" ht="15.75" thickBot="1" x14ac:dyDescent="0.3">
      <c r="B351" s="70"/>
      <c r="C351" s="71"/>
      <c r="D351" s="71"/>
      <c r="E351" s="71"/>
      <c r="F351" s="71"/>
      <c r="G351" s="72"/>
      <c r="H351" s="73"/>
    </row>
    <row r="352" spans="2:8" ht="15.75" thickBot="1" x14ac:dyDescent="0.3">
      <c r="B352" s="70"/>
      <c r="C352" s="71"/>
      <c r="D352" s="71"/>
      <c r="E352" s="71"/>
      <c r="F352" s="71"/>
      <c r="G352" s="72"/>
      <c r="H352" s="73"/>
    </row>
    <row r="353" spans="2:8" ht="15.75" thickBot="1" x14ac:dyDescent="0.3">
      <c r="B353" s="70"/>
      <c r="C353" s="71"/>
      <c r="D353" s="71"/>
      <c r="E353" s="71"/>
      <c r="F353" s="71"/>
      <c r="G353" s="72"/>
      <c r="H353" s="73"/>
    </row>
    <row r="354" spans="2:8" ht="15.75" thickBot="1" x14ac:dyDescent="0.3">
      <c r="B354" s="70"/>
      <c r="C354" s="71"/>
      <c r="D354" s="71"/>
      <c r="E354" s="71"/>
      <c r="F354" s="71"/>
      <c r="G354" s="72"/>
      <c r="H354" s="73"/>
    </row>
    <row r="355" spans="2:8" ht="15.75" thickBot="1" x14ac:dyDescent="0.3">
      <c r="B355" s="70"/>
      <c r="C355" s="71"/>
      <c r="D355" s="71"/>
      <c r="E355" s="71"/>
      <c r="F355" s="71"/>
      <c r="G355" s="72"/>
      <c r="H355" s="73"/>
    </row>
    <row r="356" spans="2:8" ht="15.75" thickBot="1" x14ac:dyDescent="0.3">
      <c r="B356" s="70"/>
      <c r="C356" s="71"/>
      <c r="D356" s="71"/>
      <c r="E356" s="71"/>
      <c r="F356" s="71"/>
      <c r="G356" s="72"/>
      <c r="H356" s="73"/>
    </row>
    <row r="357" spans="2:8" ht="15.75" thickBot="1" x14ac:dyDescent="0.3">
      <c r="B357" s="70"/>
      <c r="C357" s="71"/>
      <c r="D357" s="71"/>
      <c r="E357" s="71"/>
      <c r="F357" s="71"/>
      <c r="G357" s="72"/>
      <c r="H357" s="73"/>
    </row>
    <row r="358" spans="2:8" ht="15.75" thickBot="1" x14ac:dyDescent="0.3">
      <c r="B358" s="70"/>
      <c r="C358" s="71"/>
      <c r="D358" s="71"/>
      <c r="E358" s="71"/>
      <c r="F358" s="71"/>
      <c r="G358" s="72"/>
      <c r="H358" s="73"/>
    </row>
    <row r="359" spans="2:8" ht="15.75" thickBot="1" x14ac:dyDescent="0.3">
      <c r="B359" s="70"/>
      <c r="C359" s="71"/>
      <c r="D359" s="71"/>
      <c r="E359" s="71"/>
      <c r="F359" s="71"/>
      <c r="G359" s="72"/>
      <c r="H359" s="73"/>
    </row>
    <row r="360" spans="2:8" ht="15.75" thickBot="1" x14ac:dyDescent="0.3">
      <c r="B360" s="70"/>
      <c r="C360" s="71"/>
      <c r="D360" s="71"/>
      <c r="E360" s="71"/>
      <c r="F360" s="71"/>
      <c r="G360" s="72"/>
      <c r="H360" s="73"/>
    </row>
    <row r="361" spans="2:8" ht="15.75" thickBot="1" x14ac:dyDescent="0.3">
      <c r="B361" s="70"/>
      <c r="C361" s="71"/>
      <c r="D361" s="71"/>
      <c r="E361" s="71"/>
      <c r="F361" s="71"/>
      <c r="G361" s="72"/>
      <c r="H361" s="73"/>
    </row>
    <row r="362" spans="2:8" ht="15.75" thickBot="1" x14ac:dyDescent="0.3">
      <c r="B362" s="70"/>
      <c r="C362" s="71"/>
      <c r="D362" s="71"/>
      <c r="E362" s="71"/>
      <c r="F362" s="71"/>
      <c r="G362" s="72"/>
      <c r="H362" s="73"/>
    </row>
    <row r="363" spans="2:8" ht="15.75" thickBot="1" x14ac:dyDescent="0.3">
      <c r="B363" s="70"/>
      <c r="C363" s="71"/>
      <c r="D363" s="71"/>
      <c r="E363" s="71"/>
      <c r="F363" s="71"/>
      <c r="G363" s="72"/>
      <c r="H363" s="73"/>
    </row>
    <row r="364" spans="2:8" ht="15.75" thickBot="1" x14ac:dyDescent="0.3">
      <c r="B364" s="70"/>
      <c r="C364" s="71"/>
      <c r="D364" s="71"/>
      <c r="E364" s="71"/>
      <c r="F364" s="71"/>
      <c r="G364" s="72"/>
      <c r="H364" s="73"/>
    </row>
    <row r="365" spans="2:8" ht="15.75" thickBot="1" x14ac:dyDescent="0.3">
      <c r="B365" s="70"/>
      <c r="C365" s="71"/>
      <c r="D365" s="71"/>
      <c r="E365" s="71"/>
      <c r="F365" s="71"/>
      <c r="G365" s="72"/>
      <c r="H365" s="73"/>
    </row>
    <row r="366" spans="2:8" ht="15.75" thickBot="1" x14ac:dyDescent="0.3">
      <c r="B366" s="70"/>
      <c r="C366" s="71"/>
      <c r="D366" s="71"/>
      <c r="E366" s="71"/>
      <c r="F366" s="71"/>
      <c r="G366" s="72"/>
      <c r="H366" s="73"/>
    </row>
  </sheetData>
  <autoFilter ref="A1:I316" xr:uid="{133CD30D-AC15-4EA4-BC53-FE0F7ABBAC30}"/>
  <sortState xmlns:xlrd2="http://schemas.microsoft.com/office/spreadsheetml/2017/richdata2" ref="A2:I316">
    <sortCondition ref="F2:F316"/>
    <sortCondition descending="1" ref="B2:B316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EBB83-DF57-4454-8ABD-425478C1EC1C}">
  <dimension ref="A1:G194"/>
  <sheetViews>
    <sheetView workbookViewId="0">
      <selection sqref="A1:G194"/>
    </sheetView>
  </sheetViews>
  <sheetFormatPr defaultRowHeight="15" x14ac:dyDescent="0.25"/>
  <sheetData>
    <row r="1" spans="1:7" ht="39" thickBot="1" x14ac:dyDescent="0.3">
      <c r="A1" s="27" t="s">
        <v>1019</v>
      </c>
      <c r="B1" s="11" t="s">
        <v>1318</v>
      </c>
      <c r="C1" s="11" t="s">
        <v>1022</v>
      </c>
      <c r="D1" s="11" t="s">
        <v>1014</v>
      </c>
      <c r="E1" s="11" t="s">
        <v>1015</v>
      </c>
      <c r="F1" s="11" t="s">
        <v>1021</v>
      </c>
      <c r="G1" s="12" t="s">
        <v>1023</v>
      </c>
    </row>
    <row r="2" spans="1:7" ht="39" thickBot="1" x14ac:dyDescent="0.3">
      <c r="A2" s="52" t="s">
        <v>1208</v>
      </c>
      <c r="B2" s="1" t="s">
        <v>1209</v>
      </c>
      <c r="C2" s="1" t="s">
        <v>1011</v>
      </c>
      <c r="D2" s="1" t="s">
        <v>47</v>
      </c>
      <c r="E2" s="1" t="s">
        <v>117</v>
      </c>
      <c r="F2" s="2">
        <v>9769422928</v>
      </c>
      <c r="G2" s="18" t="s">
        <v>1210</v>
      </c>
    </row>
    <row r="3" spans="1:7" ht="51.75" thickBot="1" x14ac:dyDescent="0.3">
      <c r="A3" s="51" t="s">
        <v>1211</v>
      </c>
      <c r="B3" s="6" t="s">
        <v>1212</v>
      </c>
      <c r="C3" s="6" t="s">
        <v>1025</v>
      </c>
      <c r="D3" s="6" t="s">
        <v>12</v>
      </c>
      <c r="E3" s="6" t="s">
        <v>77</v>
      </c>
      <c r="F3" s="7">
        <v>9819920011</v>
      </c>
      <c r="G3" s="16"/>
    </row>
    <row r="4" spans="1:7" ht="51.75" thickBot="1" x14ac:dyDescent="0.3">
      <c r="A4" s="52" t="s">
        <v>1213</v>
      </c>
      <c r="B4" s="1" t="s">
        <v>1209</v>
      </c>
      <c r="C4" s="1" t="s">
        <v>1011</v>
      </c>
      <c r="D4" s="1" t="s">
        <v>47</v>
      </c>
      <c r="E4" s="1" t="s">
        <v>545</v>
      </c>
      <c r="F4" s="2">
        <v>9322874559</v>
      </c>
      <c r="G4" s="14"/>
    </row>
    <row r="5" spans="1:7" ht="51.75" thickBot="1" x14ac:dyDescent="0.3">
      <c r="A5" s="51" t="s">
        <v>1214</v>
      </c>
      <c r="B5" s="6" t="s">
        <v>1215</v>
      </c>
      <c r="C5" s="6" t="s">
        <v>1216</v>
      </c>
      <c r="D5" s="6" t="s">
        <v>33</v>
      </c>
      <c r="E5" s="6" t="s">
        <v>538</v>
      </c>
      <c r="F5" s="7">
        <v>9324811111</v>
      </c>
      <c r="G5" s="17" t="s">
        <v>1217</v>
      </c>
    </row>
    <row r="6" spans="1:7" ht="51.75" thickBot="1" x14ac:dyDescent="0.3">
      <c r="A6" s="52" t="s">
        <v>1218</v>
      </c>
      <c r="B6" s="1" t="s">
        <v>1215</v>
      </c>
      <c r="C6" s="1" t="s">
        <v>1216</v>
      </c>
      <c r="D6" s="1" t="s">
        <v>33</v>
      </c>
      <c r="E6" s="1" t="s">
        <v>490</v>
      </c>
      <c r="F6" s="2">
        <v>9820524522</v>
      </c>
      <c r="G6" s="14"/>
    </row>
    <row r="7" spans="1:7" ht="51.75" thickBot="1" x14ac:dyDescent="0.3">
      <c r="A7" s="51" t="s">
        <v>1219</v>
      </c>
      <c r="B7" s="6" t="s">
        <v>1215</v>
      </c>
      <c r="C7" s="6" t="s">
        <v>1216</v>
      </c>
      <c r="D7" s="6" t="s">
        <v>33</v>
      </c>
      <c r="E7" s="6" t="s">
        <v>158</v>
      </c>
      <c r="F7" s="7">
        <v>9833345544</v>
      </c>
      <c r="G7" s="17" t="s">
        <v>1220</v>
      </c>
    </row>
    <row r="8" spans="1:7" ht="51.75" thickBot="1" x14ac:dyDescent="0.3">
      <c r="A8" s="52" t="s">
        <v>1221</v>
      </c>
      <c r="B8" s="1" t="s">
        <v>1215</v>
      </c>
      <c r="C8" s="1" t="s">
        <v>1011</v>
      </c>
      <c r="D8" s="1" t="s">
        <v>33</v>
      </c>
      <c r="E8" s="1" t="s">
        <v>34</v>
      </c>
      <c r="F8" s="2">
        <v>9928444867</v>
      </c>
      <c r="G8" s="18" t="s">
        <v>1222</v>
      </c>
    </row>
    <row r="9" spans="1:7" ht="39" thickBot="1" x14ac:dyDescent="0.3">
      <c r="A9" s="51" t="s">
        <v>1223</v>
      </c>
      <c r="B9" s="6" t="s">
        <v>1215</v>
      </c>
      <c r="C9" s="6" t="s">
        <v>1216</v>
      </c>
      <c r="D9" s="6" t="s">
        <v>33</v>
      </c>
      <c r="E9" s="6" t="s">
        <v>443</v>
      </c>
      <c r="F9" s="7">
        <v>9819578232</v>
      </c>
      <c r="G9" s="17" t="s">
        <v>1220</v>
      </c>
    </row>
    <row r="10" spans="1:7" ht="64.5" thickBot="1" x14ac:dyDescent="0.3">
      <c r="A10" s="52" t="s">
        <v>1224</v>
      </c>
      <c r="B10" s="1" t="s">
        <v>1215</v>
      </c>
      <c r="C10" s="1" t="s">
        <v>1216</v>
      </c>
      <c r="D10" s="1" t="s">
        <v>33</v>
      </c>
      <c r="E10" s="1" t="s">
        <v>681</v>
      </c>
      <c r="F10" s="2">
        <v>9320308008</v>
      </c>
      <c r="G10" s="18" t="s">
        <v>1225</v>
      </c>
    </row>
    <row r="11" spans="1:7" ht="39" thickBot="1" x14ac:dyDescent="0.3">
      <c r="A11" s="51" t="s">
        <v>1226</v>
      </c>
      <c r="B11" s="6" t="s">
        <v>1215</v>
      </c>
      <c r="C11" s="6" t="s">
        <v>1216</v>
      </c>
      <c r="D11" s="6" t="s">
        <v>33</v>
      </c>
      <c r="E11" s="6" t="s">
        <v>586</v>
      </c>
      <c r="F11" s="7">
        <v>9324285448</v>
      </c>
      <c r="G11" s="16"/>
    </row>
    <row r="12" spans="1:7" ht="51.75" thickBot="1" x14ac:dyDescent="0.3">
      <c r="A12" s="52" t="s">
        <v>1227</v>
      </c>
      <c r="B12" s="1" t="s">
        <v>1215</v>
      </c>
      <c r="C12" s="1" t="s">
        <v>1216</v>
      </c>
      <c r="D12" s="1" t="s">
        <v>33</v>
      </c>
      <c r="E12" s="1" t="s">
        <v>349</v>
      </c>
      <c r="F12" s="2">
        <v>9821692529</v>
      </c>
      <c r="G12" s="18" t="s">
        <v>1228</v>
      </c>
    </row>
    <row r="13" spans="1:7" ht="64.5" thickBot="1" x14ac:dyDescent="0.3">
      <c r="A13" s="51" t="s">
        <v>1229</v>
      </c>
      <c r="B13" s="6" t="s">
        <v>1215</v>
      </c>
      <c r="C13" s="6" t="s">
        <v>1230</v>
      </c>
      <c r="D13" s="6" t="s">
        <v>33</v>
      </c>
      <c r="E13" s="6" t="s">
        <v>206</v>
      </c>
      <c r="F13" s="7">
        <v>9867122626</v>
      </c>
      <c r="G13" s="16"/>
    </row>
    <row r="14" spans="1:7" ht="39" thickBot="1" x14ac:dyDescent="0.3">
      <c r="A14" s="52" t="s">
        <v>1231</v>
      </c>
      <c r="B14" s="1" t="s">
        <v>1215</v>
      </c>
      <c r="C14" s="1" t="s">
        <v>1011</v>
      </c>
      <c r="D14" s="1" t="s">
        <v>33</v>
      </c>
      <c r="E14" s="1" t="s">
        <v>254</v>
      </c>
      <c r="F14" s="2">
        <v>9323930259</v>
      </c>
      <c r="G14" s="14"/>
    </row>
    <row r="15" spans="1:7" ht="51.75" thickBot="1" x14ac:dyDescent="0.3">
      <c r="A15" s="29">
        <v>45668.35527777778</v>
      </c>
      <c r="B15" s="6" t="s">
        <v>1152</v>
      </c>
      <c r="C15" s="6" t="s">
        <v>1230</v>
      </c>
      <c r="D15" s="6" t="s">
        <v>29</v>
      </c>
      <c r="E15" s="6" t="s">
        <v>441</v>
      </c>
      <c r="F15" s="7">
        <v>9867319071</v>
      </c>
      <c r="G15" s="17" t="s">
        <v>1116</v>
      </c>
    </row>
    <row r="16" spans="1:7" ht="64.5" thickBot="1" x14ac:dyDescent="0.3">
      <c r="A16" s="28">
        <v>45668.481898148151</v>
      </c>
      <c r="B16" s="1" t="s">
        <v>1232</v>
      </c>
      <c r="C16" s="1" t="s">
        <v>1216</v>
      </c>
      <c r="D16" s="1" t="s">
        <v>1125</v>
      </c>
      <c r="E16" s="1" t="s">
        <v>572</v>
      </c>
      <c r="F16" s="2">
        <v>9702224535</v>
      </c>
      <c r="G16" s="18" t="s">
        <v>1233</v>
      </c>
    </row>
    <row r="17" spans="1:7" ht="39" thickBot="1" x14ac:dyDescent="0.3">
      <c r="A17" s="29">
        <v>45668.483923611115</v>
      </c>
      <c r="B17" s="6" t="s">
        <v>1234</v>
      </c>
      <c r="C17" s="6" t="s">
        <v>1230</v>
      </c>
      <c r="D17" s="6" t="s">
        <v>57</v>
      </c>
      <c r="E17" s="6" t="s">
        <v>693</v>
      </c>
      <c r="F17" s="7">
        <v>9819461122</v>
      </c>
      <c r="G17" s="17" t="s">
        <v>1235</v>
      </c>
    </row>
    <row r="18" spans="1:7" ht="64.5" thickBot="1" x14ac:dyDescent="0.3">
      <c r="A18" s="28">
        <v>45668.571296296293</v>
      </c>
      <c r="B18" s="1" t="s">
        <v>1236</v>
      </c>
      <c r="C18" s="1" t="s">
        <v>1216</v>
      </c>
      <c r="D18" s="1" t="s">
        <v>41</v>
      </c>
      <c r="E18" s="1" t="s">
        <v>685</v>
      </c>
      <c r="F18" s="2">
        <v>9930723354</v>
      </c>
      <c r="G18" s="14"/>
    </row>
    <row r="19" spans="1:7" ht="51.75" thickBot="1" x14ac:dyDescent="0.3">
      <c r="A19" s="29">
        <v>45668.572025462963</v>
      </c>
      <c r="B19" s="6" t="s">
        <v>1236</v>
      </c>
      <c r="C19" s="6" t="s">
        <v>1216</v>
      </c>
      <c r="D19" s="6" t="s">
        <v>41</v>
      </c>
      <c r="E19" s="6" t="s">
        <v>114</v>
      </c>
      <c r="F19" s="7">
        <v>9320969649</v>
      </c>
      <c r="G19" s="16"/>
    </row>
    <row r="20" spans="1:7" ht="51.75" thickBot="1" x14ac:dyDescent="0.3">
      <c r="A20" s="28">
        <v>45668.573009259257</v>
      </c>
      <c r="B20" s="1" t="s">
        <v>1236</v>
      </c>
      <c r="C20" s="1" t="s">
        <v>1011</v>
      </c>
      <c r="D20" s="1" t="s">
        <v>41</v>
      </c>
      <c r="E20" s="1" t="s">
        <v>305</v>
      </c>
      <c r="F20" s="2">
        <v>8777740593</v>
      </c>
      <c r="G20" s="14"/>
    </row>
    <row r="21" spans="1:7" ht="51.75" thickBot="1" x14ac:dyDescent="0.3">
      <c r="A21" s="29">
        <v>45668.573888888888</v>
      </c>
      <c r="B21" s="6" t="s">
        <v>1236</v>
      </c>
      <c r="C21" s="6" t="s">
        <v>1011</v>
      </c>
      <c r="D21" s="6" t="s">
        <v>41</v>
      </c>
      <c r="E21" s="6" t="s">
        <v>733</v>
      </c>
      <c r="F21" s="7">
        <v>7506747155</v>
      </c>
      <c r="G21" s="16"/>
    </row>
    <row r="22" spans="1:7" ht="51.75" thickBot="1" x14ac:dyDescent="0.3">
      <c r="A22" s="28">
        <v>45668.574525462966</v>
      </c>
      <c r="B22" s="1" t="s">
        <v>1236</v>
      </c>
      <c r="C22" s="1" t="s">
        <v>1216</v>
      </c>
      <c r="D22" s="1" t="s">
        <v>41</v>
      </c>
      <c r="E22" s="1" t="s">
        <v>210</v>
      </c>
      <c r="F22" s="2">
        <v>9702292855</v>
      </c>
      <c r="G22" s="14"/>
    </row>
    <row r="23" spans="1:7" ht="51.75" thickBot="1" x14ac:dyDescent="0.3">
      <c r="A23" s="29">
        <v>45668.575289351851</v>
      </c>
      <c r="B23" s="6" t="s">
        <v>1236</v>
      </c>
      <c r="C23" s="6" t="s">
        <v>1011</v>
      </c>
      <c r="D23" s="6" t="s">
        <v>41</v>
      </c>
      <c r="E23" s="6" t="s">
        <v>637</v>
      </c>
      <c r="F23" s="7">
        <v>9820659788</v>
      </c>
      <c r="G23" s="16"/>
    </row>
    <row r="24" spans="1:7" ht="51.75" thickBot="1" x14ac:dyDescent="0.3">
      <c r="A24" s="28">
        <v>45668.57613425926</v>
      </c>
      <c r="B24" s="1" t="s">
        <v>1236</v>
      </c>
      <c r="C24" s="1" t="s">
        <v>1216</v>
      </c>
      <c r="D24" s="1" t="s">
        <v>41</v>
      </c>
      <c r="E24" s="1" t="s">
        <v>542</v>
      </c>
      <c r="F24" s="2">
        <v>9322397174</v>
      </c>
      <c r="G24" s="14"/>
    </row>
    <row r="25" spans="1:7" ht="39" thickBot="1" x14ac:dyDescent="0.3">
      <c r="A25" s="29">
        <v>45668.576249999998</v>
      </c>
      <c r="B25" s="6" t="s">
        <v>1164</v>
      </c>
      <c r="C25" s="6" t="s">
        <v>1216</v>
      </c>
      <c r="D25" s="6" t="s">
        <v>31</v>
      </c>
      <c r="E25" s="6" t="s">
        <v>728</v>
      </c>
      <c r="F25" s="7">
        <v>9820804282</v>
      </c>
      <c r="G25" s="16"/>
    </row>
    <row r="26" spans="1:7" ht="51.75" thickBot="1" x14ac:dyDescent="0.3">
      <c r="A26" s="28">
        <v>45668.576944444445</v>
      </c>
      <c r="B26" s="1" t="s">
        <v>1236</v>
      </c>
      <c r="C26" s="1" t="s">
        <v>1216</v>
      </c>
      <c r="D26" s="1" t="s">
        <v>41</v>
      </c>
      <c r="E26" s="1" t="s">
        <v>494</v>
      </c>
      <c r="F26" s="2">
        <v>7506809269</v>
      </c>
      <c r="G26" s="14"/>
    </row>
    <row r="27" spans="1:7" ht="39" thickBot="1" x14ac:dyDescent="0.3">
      <c r="A27" s="29">
        <v>45668.577280092592</v>
      </c>
      <c r="B27" s="6" t="s">
        <v>1164</v>
      </c>
      <c r="C27" s="6" t="s">
        <v>1216</v>
      </c>
      <c r="D27" s="6" t="s">
        <v>31</v>
      </c>
      <c r="E27" s="6" t="s">
        <v>205</v>
      </c>
      <c r="F27" s="7">
        <v>9769373893</v>
      </c>
      <c r="G27" s="16"/>
    </row>
    <row r="28" spans="1:7" ht="51.75" thickBot="1" x14ac:dyDescent="0.3">
      <c r="A28" s="28">
        <v>45668.578634259262</v>
      </c>
      <c r="B28" s="1" t="s">
        <v>1237</v>
      </c>
      <c r="C28" s="1" t="s">
        <v>1011</v>
      </c>
      <c r="D28" s="1" t="s">
        <v>1126</v>
      </c>
      <c r="E28" s="1" t="s">
        <v>589</v>
      </c>
      <c r="F28" s="2">
        <v>9833933540</v>
      </c>
      <c r="G28" s="18" t="s">
        <v>1238</v>
      </c>
    </row>
    <row r="29" spans="1:7" ht="64.5" thickBot="1" x14ac:dyDescent="0.3">
      <c r="A29" s="29">
        <v>45668.57885416667</v>
      </c>
      <c r="B29" s="6" t="s">
        <v>1164</v>
      </c>
      <c r="C29" s="6" t="s">
        <v>1216</v>
      </c>
      <c r="D29" s="6" t="s">
        <v>31</v>
      </c>
      <c r="E29" s="6" t="s">
        <v>32</v>
      </c>
      <c r="F29" s="7">
        <v>9819789523</v>
      </c>
      <c r="G29" s="16"/>
    </row>
    <row r="30" spans="1:7" ht="51.75" thickBot="1" x14ac:dyDescent="0.3">
      <c r="A30" s="28">
        <v>45668.579456018517</v>
      </c>
      <c r="B30" s="1" t="s">
        <v>1236</v>
      </c>
      <c r="C30" s="1" t="s">
        <v>1011</v>
      </c>
      <c r="D30" s="1" t="s">
        <v>41</v>
      </c>
      <c r="E30" s="1" t="s">
        <v>400</v>
      </c>
      <c r="F30" s="2">
        <v>8779756681</v>
      </c>
      <c r="G30" s="14"/>
    </row>
    <row r="31" spans="1:7" ht="51.75" thickBot="1" x14ac:dyDescent="0.3">
      <c r="A31" s="29">
        <v>45668.580324074072</v>
      </c>
      <c r="B31" s="6" t="s">
        <v>1236</v>
      </c>
      <c r="C31" s="6" t="s">
        <v>1011</v>
      </c>
      <c r="D31" s="6" t="s">
        <v>41</v>
      </c>
      <c r="E31" s="6" t="s">
        <v>447</v>
      </c>
      <c r="F31" s="7">
        <v>9820230357</v>
      </c>
      <c r="G31" s="16"/>
    </row>
    <row r="32" spans="1:7" ht="77.25" thickBot="1" x14ac:dyDescent="0.3">
      <c r="A32" s="28">
        <v>45668.58053240741</v>
      </c>
      <c r="B32" s="1" t="s">
        <v>1164</v>
      </c>
      <c r="C32" s="1" t="s">
        <v>1216</v>
      </c>
      <c r="D32" s="1" t="s">
        <v>31</v>
      </c>
      <c r="E32" s="1" t="s">
        <v>776</v>
      </c>
      <c r="F32" s="2">
        <v>9821070860</v>
      </c>
      <c r="G32" s="14"/>
    </row>
    <row r="33" spans="1:7" ht="51.75" thickBot="1" x14ac:dyDescent="0.3">
      <c r="A33" s="29">
        <v>45668.581006944441</v>
      </c>
      <c r="B33" s="6" t="s">
        <v>1164</v>
      </c>
      <c r="C33" s="6" t="s">
        <v>1011</v>
      </c>
      <c r="D33" s="6" t="s">
        <v>31</v>
      </c>
      <c r="E33" s="6" t="s">
        <v>442</v>
      </c>
      <c r="F33" s="7">
        <v>9892879893</v>
      </c>
      <c r="G33" s="16"/>
    </row>
    <row r="34" spans="1:7" ht="51.75" thickBot="1" x14ac:dyDescent="0.3">
      <c r="A34" s="28">
        <v>45668.581608796296</v>
      </c>
      <c r="B34" s="1" t="s">
        <v>1236</v>
      </c>
      <c r="C34" s="1" t="s">
        <v>1216</v>
      </c>
      <c r="D34" s="1" t="s">
        <v>41</v>
      </c>
      <c r="E34" s="1" t="s">
        <v>162</v>
      </c>
      <c r="F34" s="2">
        <v>9867328282</v>
      </c>
      <c r="G34" s="14"/>
    </row>
    <row r="35" spans="1:7" ht="51.75" thickBot="1" x14ac:dyDescent="0.3">
      <c r="A35" s="29">
        <v>45668.581631944442</v>
      </c>
      <c r="B35" s="6" t="s">
        <v>1164</v>
      </c>
      <c r="C35" s="6" t="s">
        <v>1011</v>
      </c>
      <c r="D35" s="6" t="s">
        <v>31</v>
      </c>
      <c r="E35" s="6" t="s">
        <v>157</v>
      </c>
      <c r="F35" s="7">
        <v>9820798553</v>
      </c>
      <c r="G35" s="16"/>
    </row>
    <row r="36" spans="1:7" ht="39" thickBot="1" x14ac:dyDescent="0.3">
      <c r="A36" s="28">
        <v>45668.581886574073</v>
      </c>
      <c r="B36" s="1" t="s">
        <v>1237</v>
      </c>
      <c r="C36" s="1" t="s">
        <v>1239</v>
      </c>
      <c r="D36" s="1" t="s">
        <v>1126</v>
      </c>
      <c r="E36" s="1" t="s">
        <v>352</v>
      </c>
      <c r="F36" s="2">
        <v>9820444531</v>
      </c>
      <c r="G36" s="18" t="s">
        <v>1240</v>
      </c>
    </row>
    <row r="37" spans="1:7" ht="39" thickBot="1" x14ac:dyDescent="0.3">
      <c r="A37" s="29">
        <v>45668.58189814815</v>
      </c>
      <c r="B37" s="6" t="s">
        <v>1164</v>
      </c>
      <c r="C37" s="6" t="s">
        <v>1025</v>
      </c>
      <c r="D37" s="6" t="s">
        <v>31</v>
      </c>
      <c r="E37" s="6" t="s">
        <v>537</v>
      </c>
      <c r="F37" s="7">
        <v>9322275160</v>
      </c>
      <c r="G37" s="16"/>
    </row>
    <row r="38" spans="1:7" ht="51.75" thickBot="1" x14ac:dyDescent="0.3">
      <c r="A38" s="28">
        <v>45668.582083333335</v>
      </c>
      <c r="B38" s="1" t="s">
        <v>1236</v>
      </c>
      <c r="C38" s="1" t="s">
        <v>1216</v>
      </c>
      <c r="D38" s="1" t="s">
        <v>41</v>
      </c>
      <c r="E38" s="1" t="s">
        <v>258</v>
      </c>
      <c r="F38" s="2">
        <v>9820066427</v>
      </c>
      <c r="G38" s="14"/>
    </row>
    <row r="39" spans="1:7" ht="51.75" thickBot="1" x14ac:dyDescent="0.3">
      <c r="A39" s="29">
        <v>45668.582905092589</v>
      </c>
      <c r="B39" s="6" t="s">
        <v>1236</v>
      </c>
      <c r="C39" s="6" t="s">
        <v>1230</v>
      </c>
      <c r="D39" s="6" t="s">
        <v>41</v>
      </c>
      <c r="E39" s="6" t="s">
        <v>781</v>
      </c>
      <c r="F39" s="7">
        <v>9324051973</v>
      </c>
      <c r="G39" s="16"/>
    </row>
    <row r="40" spans="1:7" ht="39" thickBot="1" x14ac:dyDescent="0.3">
      <c r="A40" s="28">
        <v>45668.583078703705</v>
      </c>
      <c r="B40" s="1" t="s">
        <v>1164</v>
      </c>
      <c r="C40" s="1" t="s">
        <v>1216</v>
      </c>
      <c r="D40" s="1" t="s">
        <v>31</v>
      </c>
      <c r="E40" s="1" t="s">
        <v>395</v>
      </c>
      <c r="F40" s="2">
        <v>9004481082</v>
      </c>
      <c r="G40" s="14"/>
    </row>
    <row r="41" spans="1:7" ht="51.75" thickBot="1" x14ac:dyDescent="0.3">
      <c r="A41" s="29">
        <v>45668.583657407406</v>
      </c>
      <c r="B41" s="6" t="s">
        <v>1236</v>
      </c>
      <c r="C41" s="6" t="s">
        <v>1011</v>
      </c>
      <c r="D41" s="6" t="s">
        <v>41</v>
      </c>
      <c r="E41" s="6" t="s">
        <v>590</v>
      </c>
      <c r="F41" s="7">
        <v>9833577351</v>
      </c>
      <c r="G41" s="16"/>
    </row>
    <row r="42" spans="1:7" ht="51.75" thickBot="1" x14ac:dyDescent="0.3">
      <c r="A42" s="28">
        <v>45668.584594907406</v>
      </c>
      <c r="B42" s="1" t="s">
        <v>1236</v>
      </c>
      <c r="C42" s="1" t="s">
        <v>1239</v>
      </c>
      <c r="D42" s="1" t="s">
        <v>41</v>
      </c>
      <c r="E42" s="1" t="s">
        <v>353</v>
      </c>
      <c r="F42" s="2">
        <v>9323188245</v>
      </c>
      <c r="G42" s="14"/>
    </row>
    <row r="43" spans="1:7" ht="51.75" thickBot="1" x14ac:dyDescent="0.3">
      <c r="A43" s="29">
        <v>45668.585428240738</v>
      </c>
      <c r="B43" s="6" t="s">
        <v>1236</v>
      </c>
      <c r="C43" s="6" t="s">
        <v>1239</v>
      </c>
      <c r="D43" s="6" t="s">
        <v>41</v>
      </c>
      <c r="E43" s="6" t="s">
        <v>42</v>
      </c>
      <c r="F43" s="7">
        <v>9321169646</v>
      </c>
      <c r="G43" s="16"/>
    </row>
    <row r="44" spans="1:7" ht="39" thickBot="1" x14ac:dyDescent="0.3">
      <c r="A44" s="28">
        <v>45668.585474537038</v>
      </c>
      <c r="B44" s="1" t="s">
        <v>1164</v>
      </c>
      <c r="C44" s="1" t="s">
        <v>1011</v>
      </c>
      <c r="D44" s="1" t="s">
        <v>31</v>
      </c>
      <c r="E44" s="1" t="s">
        <v>109</v>
      </c>
      <c r="F44" s="2">
        <v>9892123876</v>
      </c>
      <c r="G44" s="14"/>
    </row>
    <row r="45" spans="1:7" ht="39" thickBot="1" x14ac:dyDescent="0.3">
      <c r="A45" s="29">
        <v>45668.587291666663</v>
      </c>
      <c r="B45" s="6" t="s">
        <v>1164</v>
      </c>
      <c r="C45" s="6" t="s">
        <v>1239</v>
      </c>
      <c r="D45" s="6" t="s">
        <v>31</v>
      </c>
      <c r="E45" s="6" t="s">
        <v>300</v>
      </c>
      <c r="F45" s="7">
        <v>9820810762</v>
      </c>
      <c r="G45" s="16"/>
    </row>
    <row r="46" spans="1:7" ht="64.5" thickBot="1" x14ac:dyDescent="0.3">
      <c r="A46" s="28">
        <v>45668.587500000001</v>
      </c>
      <c r="B46" s="1" t="s">
        <v>1164</v>
      </c>
      <c r="C46" s="1" t="s">
        <v>1011</v>
      </c>
      <c r="D46" s="1" t="s">
        <v>31</v>
      </c>
      <c r="E46" s="1" t="s">
        <v>680</v>
      </c>
      <c r="F46" s="2">
        <v>9920445444</v>
      </c>
      <c r="G46" s="14"/>
    </row>
    <row r="47" spans="1:7" ht="39" thickBot="1" x14ac:dyDescent="0.3">
      <c r="A47" s="29">
        <v>45668.587592592594</v>
      </c>
      <c r="B47" s="6" t="s">
        <v>1237</v>
      </c>
      <c r="C47" s="6" t="s">
        <v>1216</v>
      </c>
      <c r="D47" s="6" t="s">
        <v>1126</v>
      </c>
      <c r="E47" s="6" t="s">
        <v>209</v>
      </c>
      <c r="F47" s="7">
        <v>9076054588</v>
      </c>
      <c r="G47" s="17" t="s">
        <v>1241</v>
      </c>
    </row>
    <row r="48" spans="1:7" ht="39" thickBot="1" x14ac:dyDescent="0.3">
      <c r="A48" s="28">
        <v>45668.588946759257</v>
      </c>
      <c r="B48" s="1" t="s">
        <v>1164</v>
      </c>
      <c r="C48" s="1" t="s">
        <v>1239</v>
      </c>
      <c r="D48" s="1" t="s">
        <v>31</v>
      </c>
      <c r="E48" s="1" t="s">
        <v>585</v>
      </c>
      <c r="F48" s="2">
        <v>9833032997</v>
      </c>
      <c r="G48" s="14"/>
    </row>
    <row r="49" spans="1:7" ht="39" thickBot="1" x14ac:dyDescent="0.3">
      <c r="A49" s="29">
        <v>45668.589120370372</v>
      </c>
      <c r="B49" s="6" t="s">
        <v>1164</v>
      </c>
      <c r="C49" s="6" t="s">
        <v>1239</v>
      </c>
      <c r="D49" s="6" t="s">
        <v>31</v>
      </c>
      <c r="E49" s="6" t="s">
        <v>585</v>
      </c>
      <c r="F49" s="7">
        <v>9833032997</v>
      </c>
      <c r="G49" s="16"/>
    </row>
    <row r="50" spans="1:7" ht="64.5" thickBot="1" x14ac:dyDescent="0.3">
      <c r="A50" s="28">
        <v>45668.590277777781</v>
      </c>
      <c r="B50" s="1" t="s">
        <v>1164</v>
      </c>
      <c r="C50" s="1" t="s">
        <v>1216</v>
      </c>
      <c r="D50" s="1" t="s">
        <v>31</v>
      </c>
      <c r="E50" s="1" t="s">
        <v>348</v>
      </c>
      <c r="F50" s="2">
        <v>9324698060</v>
      </c>
      <c r="G50" s="14"/>
    </row>
    <row r="51" spans="1:7" ht="51.75" thickBot="1" x14ac:dyDescent="0.3">
      <c r="A51" s="29">
        <v>45668.600532407407</v>
      </c>
      <c r="B51" s="6" t="s">
        <v>1237</v>
      </c>
      <c r="C51" s="6" t="s">
        <v>1216</v>
      </c>
      <c r="D51" s="6" t="s">
        <v>1126</v>
      </c>
      <c r="E51" s="6" t="s">
        <v>257</v>
      </c>
      <c r="F51" s="7">
        <v>9892146517</v>
      </c>
      <c r="G51" s="17" t="s">
        <v>1241</v>
      </c>
    </row>
    <row r="52" spans="1:7" ht="39" thickBot="1" x14ac:dyDescent="0.3">
      <c r="A52" s="28">
        <v>45668.606481481482</v>
      </c>
      <c r="B52" s="1" t="s">
        <v>1237</v>
      </c>
      <c r="C52" s="1" t="s">
        <v>1216</v>
      </c>
      <c r="D52" s="1" t="s">
        <v>1126</v>
      </c>
      <c r="E52" s="1" t="s">
        <v>541</v>
      </c>
      <c r="F52" s="2">
        <v>9320916175</v>
      </c>
      <c r="G52" s="18" t="s">
        <v>1241</v>
      </c>
    </row>
    <row r="53" spans="1:7" ht="39" thickBot="1" x14ac:dyDescent="0.3">
      <c r="A53" s="29">
        <v>45668.612719907411</v>
      </c>
      <c r="B53" s="6" t="s">
        <v>1237</v>
      </c>
      <c r="C53" s="6" t="s">
        <v>1216</v>
      </c>
      <c r="D53" s="6" t="s">
        <v>1126</v>
      </c>
      <c r="E53" s="6" t="s">
        <v>636</v>
      </c>
      <c r="F53" s="7">
        <v>9821129200</v>
      </c>
      <c r="G53" s="17" t="s">
        <v>1241</v>
      </c>
    </row>
    <row r="54" spans="1:7" ht="64.5" thickBot="1" x14ac:dyDescent="0.3">
      <c r="A54" s="28">
        <v>45668.615833333337</v>
      </c>
      <c r="B54" s="1" t="s">
        <v>1237</v>
      </c>
      <c r="C54" s="1" t="s">
        <v>1216</v>
      </c>
      <c r="D54" s="1" t="s">
        <v>1126</v>
      </c>
      <c r="E54" s="1" t="s">
        <v>493</v>
      </c>
      <c r="F54" s="2">
        <v>9892340588</v>
      </c>
      <c r="G54" s="18" t="s">
        <v>1241</v>
      </c>
    </row>
    <row r="55" spans="1:7" ht="51.75" thickBot="1" x14ac:dyDescent="0.3">
      <c r="A55" s="29">
        <v>45668.616249999999</v>
      </c>
      <c r="B55" s="6" t="s">
        <v>1242</v>
      </c>
      <c r="C55" s="6" t="s">
        <v>1230</v>
      </c>
      <c r="D55" s="6" t="s">
        <v>84</v>
      </c>
      <c r="E55" s="6" t="s">
        <v>707</v>
      </c>
      <c r="F55" s="7">
        <v>9322080898</v>
      </c>
      <c r="G55" s="16"/>
    </row>
    <row r="56" spans="1:7" ht="51.75" thickBot="1" x14ac:dyDescent="0.3">
      <c r="A56" s="28">
        <v>45668.6172337963</v>
      </c>
      <c r="B56" s="1" t="s">
        <v>1242</v>
      </c>
      <c r="C56" s="13"/>
      <c r="D56" s="1" t="s">
        <v>84</v>
      </c>
      <c r="E56" s="1" t="s">
        <v>327</v>
      </c>
      <c r="F56" s="2">
        <v>9323908004</v>
      </c>
      <c r="G56" s="18" t="s">
        <v>1243</v>
      </c>
    </row>
    <row r="57" spans="1:7" ht="51.75" thickBot="1" x14ac:dyDescent="0.3">
      <c r="A57" s="29">
        <v>45668.620208333334</v>
      </c>
      <c r="B57" s="6" t="s">
        <v>1244</v>
      </c>
      <c r="C57" s="6" t="s">
        <v>1239</v>
      </c>
      <c r="D57" s="6" t="s">
        <v>84</v>
      </c>
      <c r="E57" s="6" t="s">
        <v>707</v>
      </c>
      <c r="F57" s="7">
        <v>9322080898</v>
      </c>
      <c r="G57" s="16"/>
    </row>
    <row r="58" spans="1:7" ht="39" thickBot="1" x14ac:dyDescent="0.3">
      <c r="A58" s="28">
        <v>45668.620451388888</v>
      </c>
      <c r="B58" s="1" t="s">
        <v>1244</v>
      </c>
      <c r="C58" s="1" t="s">
        <v>1011</v>
      </c>
      <c r="D58" s="1" t="s">
        <v>84</v>
      </c>
      <c r="E58" s="1" t="s">
        <v>327</v>
      </c>
      <c r="F58" s="2">
        <v>9323908004</v>
      </c>
      <c r="G58" s="18" t="s">
        <v>1245</v>
      </c>
    </row>
    <row r="59" spans="1:7" ht="51.75" thickBot="1" x14ac:dyDescent="0.3">
      <c r="A59" s="29">
        <v>45668.620787037034</v>
      </c>
      <c r="B59" s="6" t="s">
        <v>1244</v>
      </c>
      <c r="C59" s="6" t="s">
        <v>1230</v>
      </c>
      <c r="D59" s="6" t="s">
        <v>84</v>
      </c>
      <c r="E59" s="6" t="s">
        <v>755</v>
      </c>
      <c r="F59" s="7">
        <v>9414069059</v>
      </c>
      <c r="G59" s="17" t="s">
        <v>1246</v>
      </c>
    </row>
    <row r="60" spans="1:7" ht="39" thickBot="1" x14ac:dyDescent="0.3">
      <c r="A60" s="28">
        <v>45668.620983796296</v>
      </c>
      <c r="B60" s="1" t="s">
        <v>1244</v>
      </c>
      <c r="C60" s="1" t="s">
        <v>1011</v>
      </c>
      <c r="D60" s="1" t="s">
        <v>84</v>
      </c>
      <c r="E60" s="1" t="s">
        <v>136</v>
      </c>
      <c r="F60" s="2">
        <v>9768245456</v>
      </c>
      <c r="G60" s="14"/>
    </row>
    <row r="61" spans="1:7" ht="51.75" thickBot="1" x14ac:dyDescent="0.3">
      <c r="A61" s="29">
        <v>45668.62122685185</v>
      </c>
      <c r="B61" s="6" t="s">
        <v>1244</v>
      </c>
      <c r="C61" s="6" t="s">
        <v>1239</v>
      </c>
      <c r="D61" s="6" t="s">
        <v>84</v>
      </c>
      <c r="E61" s="6" t="s">
        <v>232</v>
      </c>
      <c r="F61" s="7">
        <v>9820569281</v>
      </c>
      <c r="G61" s="16"/>
    </row>
    <row r="62" spans="1:7" ht="51.75" thickBot="1" x14ac:dyDescent="0.3">
      <c r="A62" s="28">
        <v>45668.621458333335</v>
      </c>
      <c r="B62" s="1" t="s">
        <v>1244</v>
      </c>
      <c r="C62" s="1" t="s">
        <v>1230</v>
      </c>
      <c r="D62" s="1" t="s">
        <v>84</v>
      </c>
      <c r="E62" s="1" t="s">
        <v>279</v>
      </c>
      <c r="F62" s="2">
        <v>9619537250</v>
      </c>
      <c r="G62" s="18" t="s">
        <v>1246</v>
      </c>
    </row>
    <row r="63" spans="1:7" ht="51.75" thickBot="1" x14ac:dyDescent="0.3">
      <c r="A63" s="29">
        <v>45668.621770833335</v>
      </c>
      <c r="B63" s="6" t="s">
        <v>1244</v>
      </c>
      <c r="C63" s="6" t="s">
        <v>1239</v>
      </c>
      <c r="D63" s="6" t="s">
        <v>84</v>
      </c>
      <c r="E63" s="6" t="s">
        <v>184</v>
      </c>
      <c r="F63" s="7">
        <v>9820144077</v>
      </c>
      <c r="G63" s="17" t="s">
        <v>1247</v>
      </c>
    </row>
    <row r="64" spans="1:7" ht="51.75" thickBot="1" x14ac:dyDescent="0.3">
      <c r="A64" s="28">
        <v>45668.621990740743</v>
      </c>
      <c r="B64" s="1" t="s">
        <v>1244</v>
      </c>
      <c r="C64" s="1" t="s">
        <v>1230</v>
      </c>
      <c r="D64" s="1" t="s">
        <v>84</v>
      </c>
      <c r="E64" s="1" t="s">
        <v>564</v>
      </c>
      <c r="F64" s="2">
        <v>9820660395</v>
      </c>
      <c r="G64" s="18" t="s">
        <v>1235</v>
      </c>
    </row>
    <row r="65" spans="1:7" ht="39" thickBot="1" x14ac:dyDescent="0.3">
      <c r="A65" s="29">
        <v>45668.622164351851</v>
      </c>
      <c r="B65" s="6" t="s">
        <v>1244</v>
      </c>
      <c r="C65" s="6" t="s">
        <v>1230</v>
      </c>
      <c r="D65" s="6" t="s">
        <v>84</v>
      </c>
      <c r="E65" s="6" t="s">
        <v>659</v>
      </c>
      <c r="F65" s="7">
        <v>9967592693</v>
      </c>
      <c r="G65" s="16"/>
    </row>
    <row r="66" spans="1:7" ht="51.75" thickBot="1" x14ac:dyDescent="0.3">
      <c r="A66" s="28">
        <v>45668.622384259259</v>
      </c>
      <c r="B66" s="1" t="s">
        <v>1244</v>
      </c>
      <c r="C66" s="1" t="s">
        <v>1011</v>
      </c>
      <c r="D66" s="1" t="s">
        <v>84</v>
      </c>
      <c r="E66" s="1" t="s">
        <v>374</v>
      </c>
      <c r="F66" s="2">
        <v>9619190941</v>
      </c>
      <c r="G66" s="18" t="s">
        <v>1248</v>
      </c>
    </row>
    <row r="67" spans="1:7" ht="39" thickBot="1" x14ac:dyDescent="0.3">
      <c r="A67" s="29">
        <v>45668.62259259259</v>
      </c>
      <c r="B67" s="6" t="s">
        <v>1244</v>
      </c>
      <c r="C67" s="6" t="s">
        <v>1230</v>
      </c>
      <c r="D67" s="6" t="s">
        <v>84</v>
      </c>
      <c r="E67" s="6" t="s">
        <v>422</v>
      </c>
      <c r="F67" s="7">
        <v>9923332469</v>
      </c>
      <c r="G67" s="17" t="s">
        <v>1249</v>
      </c>
    </row>
    <row r="68" spans="1:7" ht="51.75" thickBot="1" x14ac:dyDescent="0.3">
      <c r="A68" s="28">
        <v>45668.622766203705</v>
      </c>
      <c r="B68" s="1" t="s">
        <v>1244</v>
      </c>
      <c r="C68" s="1" t="s">
        <v>1216</v>
      </c>
      <c r="D68" s="1" t="s">
        <v>84</v>
      </c>
      <c r="E68" s="1" t="s">
        <v>85</v>
      </c>
      <c r="F68" s="2">
        <v>9967045520</v>
      </c>
      <c r="G68" s="14"/>
    </row>
    <row r="69" spans="1:7" ht="39" thickBot="1" x14ac:dyDescent="0.3">
      <c r="A69" s="29">
        <v>45668.622986111113</v>
      </c>
      <c r="B69" s="6" t="s">
        <v>1244</v>
      </c>
      <c r="C69" s="6" t="s">
        <v>1216</v>
      </c>
      <c r="D69" s="6" t="s">
        <v>84</v>
      </c>
      <c r="E69" s="6" t="s">
        <v>612</v>
      </c>
      <c r="F69" s="7">
        <v>9664467750</v>
      </c>
      <c r="G69" s="17" t="s">
        <v>1250</v>
      </c>
    </row>
    <row r="70" spans="1:7" ht="51.75" thickBot="1" x14ac:dyDescent="0.3">
      <c r="A70" s="28">
        <v>45668.623182870368</v>
      </c>
      <c r="B70" s="1" t="s">
        <v>1244</v>
      </c>
      <c r="C70" s="1" t="s">
        <v>1011</v>
      </c>
      <c r="D70" s="1" t="s">
        <v>84</v>
      </c>
      <c r="E70" s="1" t="s">
        <v>469</v>
      </c>
      <c r="F70" s="2">
        <v>9619136378</v>
      </c>
      <c r="G70" s="18" t="s">
        <v>1248</v>
      </c>
    </row>
    <row r="71" spans="1:7" ht="39" thickBot="1" x14ac:dyDescent="0.3">
      <c r="A71" s="29">
        <v>45668.623310185183</v>
      </c>
      <c r="B71" s="6" t="s">
        <v>1244</v>
      </c>
      <c r="C71" s="6" t="s">
        <v>1230</v>
      </c>
      <c r="D71" s="6" t="s">
        <v>84</v>
      </c>
      <c r="E71" s="6" t="s">
        <v>516</v>
      </c>
      <c r="F71" s="7">
        <v>9702733311</v>
      </c>
      <c r="G71" s="16"/>
    </row>
    <row r="72" spans="1:7" ht="51.75" thickBot="1" x14ac:dyDescent="0.3">
      <c r="A72" s="28">
        <v>45668.623749999999</v>
      </c>
      <c r="B72" s="1" t="s">
        <v>1237</v>
      </c>
      <c r="C72" s="1" t="s">
        <v>1239</v>
      </c>
      <c r="D72" s="1" t="s">
        <v>1126</v>
      </c>
      <c r="E72" s="1" t="s">
        <v>304</v>
      </c>
      <c r="F72" s="2">
        <v>9324819088</v>
      </c>
      <c r="G72" s="18" t="s">
        <v>1251</v>
      </c>
    </row>
    <row r="73" spans="1:7" ht="51.75" thickBot="1" x14ac:dyDescent="0.3">
      <c r="A73" s="29">
        <v>45668.641296296293</v>
      </c>
      <c r="B73" s="6" t="s">
        <v>1059</v>
      </c>
      <c r="C73" s="6" t="s">
        <v>1230</v>
      </c>
      <c r="D73" s="6" t="s">
        <v>1006</v>
      </c>
      <c r="E73" s="6" t="s">
        <v>1252</v>
      </c>
      <c r="F73" s="6" t="s">
        <v>1253</v>
      </c>
      <c r="G73" s="17" t="s">
        <v>1254</v>
      </c>
    </row>
    <row r="74" spans="1:7" ht="64.5" thickBot="1" x14ac:dyDescent="0.3">
      <c r="A74" s="28">
        <v>45668.651875000003</v>
      </c>
      <c r="B74" s="1" t="s">
        <v>1237</v>
      </c>
      <c r="C74" s="1" t="s">
        <v>1216</v>
      </c>
      <c r="D74" s="1" t="s">
        <v>1126</v>
      </c>
      <c r="E74" s="1" t="s">
        <v>780</v>
      </c>
      <c r="F74" s="2">
        <v>9892686153</v>
      </c>
      <c r="G74" s="18" t="s">
        <v>1241</v>
      </c>
    </row>
    <row r="75" spans="1:7" ht="51.75" thickBot="1" x14ac:dyDescent="0.3">
      <c r="A75" s="29">
        <v>45668.653749999998</v>
      </c>
      <c r="B75" s="6" t="s">
        <v>1237</v>
      </c>
      <c r="C75" s="6" t="s">
        <v>1216</v>
      </c>
      <c r="D75" s="6" t="s">
        <v>1126</v>
      </c>
      <c r="E75" s="6" t="s">
        <v>399</v>
      </c>
      <c r="F75" s="7">
        <v>7977439717</v>
      </c>
      <c r="G75" s="17" t="s">
        <v>1241</v>
      </c>
    </row>
    <row r="76" spans="1:7" ht="51.75" thickBot="1" x14ac:dyDescent="0.3">
      <c r="A76" s="28">
        <v>45668.654675925929</v>
      </c>
      <c r="B76" s="1" t="s">
        <v>1237</v>
      </c>
      <c r="C76" s="1" t="s">
        <v>1216</v>
      </c>
      <c r="D76" s="1" t="s">
        <v>1126</v>
      </c>
      <c r="E76" s="1" t="s">
        <v>40</v>
      </c>
      <c r="F76" s="2">
        <v>9833184392</v>
      </c>
      <c r="G76" s="18" t="s">
        <v>1241</v>
      </c>
    </row>
    <row r="77" spans="1:7" ht="64.5" thickBot="1" x14ac:dyDescent="0.3">
      <c r="A77" s="29">
        <v>45668.660810185182</v>
      </c>
      <c r="B77" s="6" t="s">
        <v>1255</v>
      </c>
      <c r="C77" s="6" t="s">
        <v>1216</v>
      </c>
      <c r="D77" s="6" t="s">
        <v>96</v>
      </c>
      <c r="E77" s="6" t="s">
        <v>238</v>
      </c>
      <c r="F77" s="7">
        <v>7387113012</v>
      </c>
      <c r="G77" s="17" t="s">
        <v>1256</v>
      </c>
    </row>
    <row r="78" spans="1:7" ht="153.75" thickBot="1" x14ac:dyDescent="0.3">
      <c r="A78" s="28">
        <v>45668.661979166667</v>
      </c>
      <c r="B78" s="1" t="s">
        <v>1255</v>
      </c>
      <c r="C78" s="1" t="s">
        <v>1216</v>
      </c>
      <c r="D78" s="1" t="s">
        <v>96</v>
      </c>
      <c r="E78" s="1" t="s">
        <v>333</v>
      </c>
      <c r="F78" s="2">
        <v>9819700400</v>
      </c>
      <c r="G78" s="18" t="s">
        <v>1257</v>
      </c>
    </row>
    <row r="79" spans="1:7" ht="77.25" thickBot="1" x14ac:dyDescent="0.3">
      <c r="A79" s="29">
        <v>45668.664733796293</v>
      </c>
      <c r="B79" s="6" t="s">
        <v>1255</v>
      </c>
      <c r="C79" s="6" t="s">
        <v>1230</v>
      </c>
      <c r="D79" s="6" t="s">
        <v>96</v>
      </c>
      <c r="E79" s="6" t="s">
        <v>475</v>
      </c>
      <c r="F79" s="7">
        <v>9768532064</v>
      </c>
      <c r="G79" s="17" t="s">
        <v>1258</v>
      </c>
    </row>
    <row r="80" spans="1:7" ht="51.75" thickBot="1" x14ac:dyDescent="0.3">
      <c r="A80" s="28">
        <v>45668.665752314817</v>
      </c>
      <c r="B80" s="1" t="s">
        <v>1255</v>
      </c>
      <c r="C80" s="1" t="s">
        <v>1230</v>
      </c>
      <c r="D80" s="1" t="s">
        <v>96</v>
      </c>
      <c r="E80" s="1" t="s">
        <v>428</v>
      </c>
      <c r="F80" s="2">
        <v>9322210725</v>
      </c>
      <c r="G80" s="18" t="s">
        <v>1259</v>
      </c>
    </row>
    <row r="81" spans="1:7" ht="90" thickBot="1" x14ac:dyDescent="0.3">
      <c r="A81" s="29">
        <v>45668.667569444442</v>
      </c>
      <c r="B81" s="6" t="s">
        <v>1255</v>
      </c>
      <c r="C81" s="6" t="s">
        <v>1216</v>
      </c>
      <c r="D81" s="6" t="s">
        <v>96</v>
      </c>
      <c r="E81" s="6" t="s">
        <v>713</v>
      </c>
      <c r="F81" s="7">
        <v>9702088221</v>
      </c>
      <c r="G81" s="17" t="s">
        <v>1260</v>
      </c>
    </row>
    <row r="82" spans="1:7" ht="64.5" thickBot="1" x14ac:dyDescent="0.3">
      <c r="A82" s="28">
        <v>45668.669247685182</v>
      </c>
      <c r="B82" s="1" t="s">
        <v>1255</v>
      </c>
      <c r="C82" s="1" t="s">
        <v>1239</v>
      </c>
      <c r="D82" s="1" t="s">
        <v>96</v>
      </c>
      <c r="E82" s="1" t="s">
        <v>522</v>
      </c>
      <c r="F82" s="2">
        <v>9322232683</v>
      </c>
      <c r="G82" s="18" t="s">
        <v>1261</v>
      </c>
    </row>
    <row r="83" spans="1:7" ht="39" thickBot="1" x14ac:dyDescent="0.3">
      <c r="A83" s="29">
        <v>45668.669965277775</v>
      </c>
      <c r="B83" s="6" t="s">
        <v>1255</v>
      </c>
      <c r="C83" s="6" t="s">
        <v>1011</v>
      </c>
      <c r="D83" s="6" t="s">
        <v>96</v>
      </c>
      <c r="E83" s="6" t="s">
        <v>380</v>
      </c>
      <c r="F83" s="7">
        <v>9890208968</v>
      </c>
      <c r="G83" s="17" t="s">
        <v>1262</v>
      </c>
    </row>
    <row r="84" spans="1:7" ht="39" thickBot="1" x14ac:dyDescent="0.3">
      <c r="A84" s="28">
        <v>45668.671805555554</v>
      </c>
      <c r="B84" s="1" t="s">
        <v>1255</v>
      </c>
      <c r="C84" s="1" t="s">
        <v>1011</v>
      </c>
      <c r="D84" s="1" t="s">
        <v>96</v>
      </c>
      <c r="E84" s="1" t="s">
        <v>190</v>
      </c>
      <c r="F84" s="2">
        <v>9819332481</v>
      </c>
      <c r="G84" s="18" t="s">
        <v>1262</v>
      </c>
    </row>
    <row r="85" spans="1:7" ht="90" thickBot="1" x14ac:dyDescent="0.3">
      <c r="A85" s="29">
        <v>45668.674375000002</v>
      </c>
      <c r="B85" s="6" t="s">
        <v>1255</v>
      </c>
      <c r="C85" s="6" t="s">
        <v>1239</v>
      </c>
      <c r="D85" s="6" t="s">
        <v>96</v>
      </c>
      <c r="E85" s="6" t="s">
        <v>570</v>
      </c>
      <c r="F85" s="7">
        <v>9331055539</v>
      </c>
      <c r="G85" s="17" t="s">
        <v>1263</v>
      </c>
    </row>
    <row r="86" spans="1:7" ht="64.5" thickBot="1" x14ac:dyDescent="0.3">
      <c r="A86" s="28">
        <v>45668.675254629627</v>
      </c>
      <c r="B86" s="1" t="s">
        <v>1255</v>
      </c>
      <c r="C86" s="1" t="s">
        <v>1239</v>
      </c>
      <c r="D86" s="1" t="s">
        <v>96</v>
      </c>
      <c r="E86" s="1" t="s">
        <v>761</v>
      </c>
      <c r="F86" s="2">
        <v>9322896944</v>
      </c>
      <c r="G86" s="18" t="s">
        <v>1264</v>
      </c>
    </row>
    <row r="87" spans="1:7" ht="51.75" thickBot="1" x14ac:dyDescent="0.3">
      <c r="A87" s="29">
        <v>45668.675613425927</v>
      </c>
      <c r="B87" s="6" t="s">
        <v>1059</v>
      </c>
      <c r="C87" s="6" t="s">
        <v>1230</v>
      </c>
      <c r="D87" s="6" t="s">
        <v>35</v>
      </c>
      <c r="E87" s="6" t="s">
        <v>255</v>
      </c>
      <c r="F87" s="7">
        <v>9999845745</v>
      </c>
      <c r="G87" s="17" t="s">
        <v>1265</v>
      </c>
    </row>
    <row r="88" spans="1:7" ht="51.75" thickBot="1" x14ac:dyDescent="0.3">
      <c r="A88" s="28">
        <v>45668.675671296296</v>
      </c>
      <c r="B88" s="1" t="s">
        <v>1255</v>
      </c>
      <c r="C88" s="1" t="s">
        <v>1011</v>
      </c>
      <c r="D88" s="1" t="s">
        <v>96</v>
      </c>
      <c r="E88" s="1" t="s">
        <v>665</v>
      </c>
      <c r="F88" s="2">
        <v>9820522401</v>
      </c>
      <c r="G88" s="18" t="s">
        <v>1266</v>
      </c>
    </row>
    <row r="89" spans="1:7" ht="39" thickBot="1" x14ac:dyDescent="0.3">
      <c r="A89" s="29">
        <v>45668.675844907404</v>
      </c>
      <c r="B89" s="6" t="s">
        <v>1255</v>
      </c>
      <c r="C89" s="6" t="s">
        <v>1011</v>
      </c>
      <c r="D89" s="6" t="s">
        <v>96</v>
      </c>
      <c r="E89" s="6" t="s">
        <v>97</v>
      </c>
      <c r="F89" s="7">
        <v>9820144705</v>
      </c>
      <c r="G89" s="17" t="s">
        <v>1266</v>
      </c>
    </row>
    <row r="90" spans="1:7" ht="64.5" thickBot="1" x14ac:dyDescent="0.3">
      <c r="A90" s="28">
        <v>45668.676053240742</v>
      </c>
      <c r="B90" s="1" t="s">
        <v>1059</v>
      </c>
      <c r="C90" s="1" t="s">
        <v>1011</v>
      </c>
      <c r="D90" s="1" t="s">
        <v>35</v>
      </c>
      <c r="E90" s="1" t="s">
        <v>778</v>
      </c>
      <c r="F90" s="2">
        <v>9815222337</v>
      </c>
      <c r="G90" s="18" t="s">
        <v>1267</v>
      </c>
    </row>
    <row r="91" spans="1:7" ht="39" thickBot="1" x14ac:dyDescent="0.3">
      <c r="A91" s="29">
        <v>45668.676562499997</v>
      </c>
      <c r="B91" s="6" t="s">
        <v>1255</v>
      </c>
      <c r="C91" s="6" t="s">
        <v>1011</v>
      </c>
      <c r="D91" s="6" t="s">
        <v>96</v>
      </c>
      <c r="E91" s="6" t="s">
        <v>142</v>
      </c>
      <c r="F91" s="7">
        <v>9594936594</v>
      </c>
      <c r="G91" s="17" t="s">
        <v>1266</v>
      </c>
    </row>
    <row r="92" spans="1:7" ht="51.75" thickBot="1" x14ac:dyDescent="0.3">
      <c r="A92" s="28">
        <v>45668.67695601852</v>
      </c>
      <c r="B92" s="1" t="s">
        <v>1255</v>
      </c>
      <c r="C92" s="1" t="s">
        <v>1011</v>
      </c>
      <c r="D92" s="1" t="s">
        <v>96</v>
      </c>
      <c r="E92" s="1" t="s">
        <v>285</v>
      </c>
      <c r="F92" s="2">
        <v>9820558544</v>
      </c>
      <c r="G92" s="18" t="s">
        <v>1268</v>
      </c>
    </row>
    <row r="93" spans="1:7" ht="51.75" thickBot="1" x14ac:dyDescent="0.3">
      <c r="A93" s="29">
        <v>45668.677847222221</v>
      </c>
      <c r="B93" s="6" t="s">
        <v>1255</v>
      </c>
      <c r="C93" s="6" t="s">
        <v>1230</v>
      </c>
      <c r="D93" s="6" t="s">
        <v>96</v>
      </c>
      <c r="E93" s="6" t="s">
        <v>618</v>
      </c>
      <c r="F93" s="7">
        <v>9967015641</v>
      </c>
      <c r="G93" s="17" t="s">
        <v>1269</v>
      </c>
    </row>
    <row r="94" spans="1:7" ht="51.75" thickBot="1" x14ac:dyDescent="0.3">
      <c r="A94" s="28">
        <v>45668.685497685183</v>
      </c>
      <c r="B94" s="1" t="s">
        <v>1270</v>
      </c>
      <c r="C94" s="1" t="s">
        <v>1239</v>
      </c>
      <c r="D94" s="1" t="s">
        <v>78</v>
      </c>
      <c r="E94" s="1" t="s">
        <v>79</v>
      </c>
      <c r="F94" s="2">
        <v>9833202274</v>
      </c>
      <c r="G94" s="14"/>
    </row>
    <row r="95" spans="1:7" ht="39" thickBot="1" x14ac:dyDescent="0.3">
      <c r="A95" s="29">
        <v>45668.68608796296</v>
      </c>
      <c r="B95" s="6" t="s">
        <v>1270</v>
      </c>
      <c r="C95" s="6" t="s">
        <v>1025</v>
      </c>
      <c r="D95" s="6" t="s">
        <v>78</v>
      </c>
      <c r="E95" s="6" t="s">
        <v>561</v>
      </c>
      <c r="F95" s="7">
        <v>9323698838</v>
      </c>
      <c r="G95" s="16"/>
    </row>
    <row r="96" spans="1:7" ht="51.75" thickBot="1" x14ac:dyDescent="0.3">
      <c r="A96" s="28">
        <v>45668.686620370368</v>
      </c>
      <c r="B96" s="1" t="s">
        <v>1270</v>
      </c>
      <c r="C96" s="1" t="s">
        <v>1216</v>
      </c>
      <c r="D96" s="1" t="s">
        <v>78</v>
      </c>
      <c r="E96" s="1" t="s">
        <v>133</v>
      </c>
      <c r="F96" s="2">
        <v>9323549794</v>
      </c>
      <c r="G96" s="14"/>
    </row>
    <row r="97" spans="1:7" ht="39" thickBot="1" x14ac:dyDescent="0.3">
      <c r="A97" s="29">
        <v>45668.686840277776</v>
      </c>
      <c r="B97" s="6" t="s">
        <v>1270</v>
      </c>
      <c r="C97" s="6" t="s">
        <v>1025</v>
      </c>
      <c r="D97" s="6" t="s">
        <v>78</v>
      </c>
      <c r="E97" s="6" t="s">
        <v>466</v>
      </c>
      <c r="F97" s="7">
        <v>9029889349</v>
      </c>
      <c r="G97" s="16"/>
    </row>
    <row r="98" spans="1:7" ht="39" thickBot="1" x14ac:dyDescent="0.3">
      <c r="A98" s="28">
        <v>45668.687106481484</v>
      </c>
      <c r="B98" s="1" t="s">
        <v>1270</v>
      </c>
      <c r="C98" s="1" t="s">
        <v>1011</v>
      </c>
      <c r="D98" s="1" t="s">
        <v>78</v>
      </c>
      <c r="E98" s="1" t="s">
        <v>656</v>
      </c>
      <c r="F98" s="2">
        <v>9579122701</v>
      </c>
      <c r="G98" s="14"/>
    </row>
    <row r="99" spans="1:7" ht="64.5" thickBot="1" x14ac:dyDescent="0.3">
      <c r="A99" s="29">
        <v>45668.687777777777</v>
      </c>
      <c r="B99" s="6" t="s">
        <v>1270</v>
      </c>
      <c r="C99" s="6" t="s">
        <v>1239</v>
      </c>
      <c r="D99" s="6" t="s">
        <v>78</v>
      </c>
      <c r="E99" s="6" t="s">
        <v>752</v>
      </c>
      <c r="F99" s="7">
        <v>9920816543</v>
      </c>
      <c r="G99" s="16"/>
    </row>
    <row r="100" spans="1:7" ht="39" thickBot="1" x14ac:dyDescent="0.3">
      <c r="A100" s="28">
        <v>45668.688217592593</v>
      </c>
      <c r="B100" s="1" t="s">
        <v>1270</v>
      </c>
      <c r="C100" s="1" t="s">
        <v>1216</v>
      </c>
      <c r="D100" s="1" t="s">
        <v>78</v>
      </c>
      <c r="E100" s="1" t="s">
        <v>181</v>
      </c>
      <c r="F100" s="2">
        <v>9821116827</v>
      </c>
      <c r="G100" s="14"/>
    </row>
    <row r="101" spans="1:7" ht="51.75" thickBot="1" x14ac:dyDescent="0.3">
      <c r="A101" s="29">
        <v>45668.688796296294</v>
      </c>
      <c r="B101" s="6" t="s">
        <v>1270</v>
      </c>
      <c r="C101" s="6" t="s">
        <v>1230</v>
      </c>
      <c r="D101" s="6" t="s">
        <v>78</v>
      </c>
      <c r="E101" s="6" t="s">
        <v>704</v>
      </c>
      <c r="F101" s="7">
        <v>9820970907</v>
      </c>
      <c r="G101" s="16"/>
    </row>
    <row r="102" spans="1:7" ht="39" thickBot="1" x14ac:dyDescent="0.3">
      <c r="A102" s="28">
        <v>45668.689571759256</v>
      </c>
      <c r="B102" s="1" t="s">
        <v>1270</v>
      </c>
      <c r="C102" s="1" t="s">
        <v>1230</v>
      </c>
      <c r="D102" s="1" t="s">
        <v>78</v>
      </c>
      <c r="E102" s="1" t="s">
        <v>419</v>
      </c>
      <c r="F102" s="2">
        <v>9920202022</v>
      </c>
      <c r="G102" s="14"/>
    </row>
    <row r="103" spans="1:7" ht="51.75" thickBot="1" x14ac:dyDescent="0.3">
      <c r="A103" s="29">
        <v>45668.690034722225</v>
      </c>
      <c r="B103" s="6" t="s">
        <v>1270</v>
      </c>
      <c r="C103" s="6" t="s">
        <v>1025</v>
      </c>
      <c r="D103" s="6" t="s">
        <v>78</v>
      </c>
      <c r="E103" s="6" t="s">
        <v>371</v>
      </c>
      <c r="F103" s="7">
        <v>9324059577</v>
      </c>
      <c r="G103" s="16"/>
    </row>
    <row r="104" spans="1:7" ht="51.75" thickBot="1" x14ac:dyDescent="0.3">
      <c r="A104" s="28">
        <v>45668.690613425926</v>
      </c>
      <c r="B104" s="1" t="s">
        <v>1270</v>
      </c>
      <c r="C104" s="1" t="s">
        <v>1230</v>
      </c>
      <c r="D104" s="1" t="s">
        <v>78</v>
      </c>
      <c r="E104" s="1" t="s">
        <v>371</v>
      </c>
      <c r="F104" s="2">
        <v>9324059577</v>
      </c>
      <c r="G104" s="14"/>
    </row>
    <row r="105" spans="1:7" ht="51.75" thickBot="1" x14ac:dyDescent="0.3">
      <c r="A105" s="29">
        <v>45668.691064814811</v>
      </c>
      <c r="B105" s="6" t="s">
        <v>1270</v>
      </c>
      <c r="C105" s="6" t="s">
        <v>1216</v>
      </c>
      <c r="D105" s="6" t="s">
        <v>78</v>
      </c>
      <c r="E105" s="6" t="s">
        <v>324</v>
      </c>
      <c r="F105" s="7">
        <v>9820858454</v>
      </c>
      <c r="G105" s="16"/>
    </row>
    <row r="106" spans="1:7" ht="64.5" thickBot="1" x14ac:dyDescent="0.3">
      <c r="A106" s="28">
        <v>45668.691712962966</v>
      </c>
      <c r="B106" s="1" t="s">
        <v>1270</v>
      </c>
      <c r="C106" s="1" t="s">
        <v>1239</v>
      </c>
      <c r="D106" s="1" t="s">
        <v>78</v>
      </c>
      <c r="E106" s="1" t="s">
        <v>276</v>
      </c>
      <c r="F106" s="2">
        <v>9320102206</v>
      </c>
      <c r="G106" s="14"/>
    </row>
    <row r="107" spans="1:7" ht="51.75" thickBot="1" x14ac:dyDescent="0.3">
      <c r="A107" s="29">
        <v>45668.692083333335</v>
      </c>
      <c r="B107" s="6" t="s">
        <v>1270</v>
      </c>
      <c r="C107" s="6" t="s">
        <v>1025</v>
      </c>
      <c r="D107" s="6" t="s">
        <v>78</v>
      </c>
      <c r="E107" s="6" t="s">
        <v>513</v>
      </c>
      <c r="F107" s="7">
        <v>9821775817</v>
      </c>
      <c r="G107" s="16"/>
    </row>
    <row r="108" spans="1:7" ht="39" thickBot="1" x14ac:dyDescent="0.3">
      <c r="A108" s="28">
        <v>45668.692743055559</v>
      </c>
      <c r="B108" s="1" t="s">
        <v>1270</v>
      </c>
      <c r="C108" s="1" t="s">
        <v>1216</v>
      </c>
      <c r="D108" s="1" t="s">
        <v>78</v>
      </c>
      <c r="E108" s="1" t="s">
        <v>229</v>
      </c>
      <c r="F108" s="2">
        <v>9987241860</v>
      </c>
      <c r="G108" s="14"/>
    </row>
    <row r="109" spans="1:7" ht="39" thickBot="1" x14ac:dyDescent="0.3">
      <c r="A109" s="29">
        <v>45668.693136574075</v>
      </c>
      <c r="B109" s="6" t="s">
        <v>1270</v>
      </c>
      <c r="C109" s="6" t="s">
        <v>1025</v>
      </c>
      <c r="D109" s="6" t="s">
        <v>78</v>
      </c>
      <c r="E109" s="6" t="s">
        <v>609</v>
      </c>
      <c r="F109" s="7">
        <v>7303221249</v>
      </c>
      <c r="G109" s="16"/>
    </row>
    <row r="110" spans="1:7" ht="39" thickBot="1" x14ac:dyDescent="0.3">
      <c r="A110" s="28">
        <v>45668.693437499998</v>
      </c>
      <c r="B110" s="1" t="s">
        <v>1270</v>
      </c>
      <c r="C110" s="1" t="s">
        <v>1025</v>
      </c>
      <c r="D110" s="1" t="s">
        <v>78</v>
      </c>
      <c r="E110" s="1" t="s">
        <v>609</v>
      </c>
      <c r="F110" s="2">
        <v>7303221249</v>
      </c>
      <c r="G110" s="14"/>
    </row>
    <row r="111" spans="1:7" ht="51.75" thickBot="1" x14ac:dyDescent="0.3">
      <c r="A111" s="29">
        <v>45668.698761574073</v>
      </c>
      <c r="B111" s="6" t="s">
        <v>1271</v>
      </c>
      <c r="C111" s="6" t="s">
        <v>1239</v>
      </c>
      <c r="D111" s="6" t="s">
        <v>61</v>
      </c>
      <c r="E111" s="6" t="s">
        <v>457</v>
      </c>
      <c r="F111" s="7">
        <v>9820075931</v>
      </c>
      <c r="G111" s="16"/>
    </row>
    <row r="112" spans="1:7" ht="64.5" thickBot="1" x14ac:dyDescent="0.3">
      <c r="A112" s="28">
        <v>45668.699004629627</v>
      </c>
      <c r="B112" s="1" t="s">
        <v>1271</v>
      </c>
      <c r="C112" s="1" t="s">
        <v>1011</v>
      </c>
      <c r="D112" s="1" t="s">
        <v>61</v>
      </c>
      <c r="E112" s="1" t="s">
        <v>172</v>
      </c>
      <c r="F112" s="2">
        <v>9987019726</v>
      </c>
      <c r="G112" s="14"/>
    </row>
    <row r="113" spans="1:7" ht="39" thickBot="1" x14ac:dyDescent="0.3">
      <c r="A113" s="29">
        <v>45668.699212962965</v>
      </c>
      <c r="B113" s="6" t="s">
        <v>1271</v>
      </c>
      <c r="C113" s="6" t="s">
        <v>1230</v>
      </c>
      <c r="D113" s="6" t="s">
        <v>61</v>
      </c>
      <c r="E113" s="6" t="s">
        <v>695</v>
      </c>
      <c r="F113" s="7">
        <v>9820027895</v>
      </c>
      <c r="G113" s="16"/>
    </row>
    <row r="114" spans="1:7" ht="51.75" thickBot="1" x14ac:dyDescent="0.3">
      <c r="A114" s="28">
        <v>45668.69971064815</v>
      </c>
      <c r="B114" s="1" t="s">
        <v>1271</v>
      </c>
      <c r="C114" s="1" t="s">
        <v>1239</v>
      </c>
      <c r="D114" s="1" t="s">
        <v>61</v>
      </c>
      <c r="E114" s="1" t="s">
        <v>552</v>
      </c>
      <c r="F114" s="2">
        <v>7045887557</v>
      </c>
      <c r="G114" s="18" t="s">
        <v>1272</v>
      </c>
    </row>
    <row r="115" spans="1:7" ht="39" thickBot="1" x14ac:dyDescent="0.3">
      <c r="A115" s="29">
        <v>45668.702372685184</v>
      </c>
      <c r="B115" s="6" t="s">
        <v>1270</v>
      </c>
      <c r="C115" s="6" t="s">
        <v>1216</v>
      </c>
      <c r="D115" s="6" t="s">
        <v>78</v>
      </c>
      <c r="E115" s="6" t="s">
        <v>609</v>
      </c>
      <c r="F115" s="7">
        <v>7303221249</v>
      </c>
      <c r="G115" s="16"/>
    </row>
    <row r="116" spans="1:7" ht="39" thickBot="1" x14ac:dyDescent="0.3">
      <c r="A116" s="28">
        <v>45668.756018518521</v>
      </c>
      <c r="B116" s="1" t="s">
        <v>1273</v>
      </c>
      <c r="C116" s="13"/>
      <c r="D116" s="1" t="s">
        <v>798</v>
      </c>
      <c r="E116" s="1" t="s">
        <v>993</v>
      </c>
      <c r="F116" s="2">
        <v>9920772647</v>
      </c>
      <c r="G116" s="18" t="s">
        <v>1274</v>
      </c>
    </row>
    <row r="117" spans="1:7" ht="39" thickBot="1" x14ac:dyDescent="0.3">
      <c r="A117" s="29">
        <v>45668.766250000001</v>
      </c>
      <c r="B117" s="6" t="s">
        <v>1273</v>
      </c>
      <c r="C117" s="6" t="s">
        <v>1011</v>
      </c>
      <c r="D117" s="6" t="s">
        <v>798</v>
      </c>
      <c r="E117" s="6" t="s">
        <v>839</v>
      </c>
      <c r="F117" s="7">
        <v>9664188608</v>
      </c>
      <c r="G117" s="17" t="s">
        <v>1275</v>
      </c>
    </row>
    <row r="118" spans="1:7" ht="39" thickBot="1" x14ac:dyDescent="0.3">
      <c r="A118" s="28">
        <v>45668.766956018517</v>
      </c>
      <c r="B118" s="1" t="s">
        <v>1273</v>
      </c>
      <c r="C118" s="1" t="s">
        <v>1011</v>
      </c>
      <c r="D118" s="1" t="s">
        <v>798</v>
      </c>
      <c r="E118" s="1" t="s">
        <v>799</v>
      </c>
      <c r="F118" s="2">
        <v>9322335162</v>
      </c>
      <c r="G118" s="18" t="s">
        <v>1274</v>
      </c>
    </row>
    <row r="119" spans="1:7" ht="39" thickBot="1" x14ac:dyDescent="0.3">
      <c r="A119" s="29">
        <v>45668.767384259256</v>
      </c>
      <c r="B119" s="6" t="s">
        <v>1273</v>
      </c>
      <c r="C119" s="6" t="s">
        <v>1216</v>
      </c>
      <c r="D119" s="6" t="s">
        <v>798</v>
      </c>
      <c r="E119" s="6" t="s">
        <v>882</v>
      </c>
      <c r="F119" s="7">
        <v>8999747002</v>
      </c>
      <c r="G119" s="17" t="s">
        <v>1276</v>
      </c>
    </row>
    <row r="120" spans="1:7" ht="64.5" thickBot="1" x14ac:dyDescent="0.3">
      <c r="A120" s="28">
        <v>45668.767627314817</v>
      </c>
      <c r="B120" s="1" t="s">
        <v>1273</v>
      </c>
      <c r="C120" s="13"/>
      <c r="D120" s="1" t="s">
        <v>798</v>
      </c>
      <c r="E120" s="1" t="s">
        <v>854</v>
      </c>
      <c r="F120" s="2">
        <v>9322177718</v>
      </c>
      <c r="G120" s="18" t="s">
        <v>1116</v>
      </c>
    </row>
    <row r="121" spans="1:7" ht="51.75" thickBot="1" x14ac:dyDescent="0.3">
      <c r="A121" s="29">
        <v>45668.767939814818</v>
      </c>
      <c r="B121" s="6" t="s">
        <v>1273</v>
      </c>
      <c r="C121" s="15"/>
      <c r="D121" s="6" t="s">
        <v>798</v>
      </c>
      <c r="E121" s="6" t="s">
        <v>899</v>
      </c>
      <c r="F121" s="7">
        <v>9833025492</v>
      </c>
      <c r="G121" s="17" t="s">
        <v>1274</v>
      </c>
    </row>
    <row r="122" spans="1:7" ht="39" thickBot="1" x14ac:dyDescent="0.3">
      <c r="A122" s="28">
        <v>45668.76834490741</v>
      </c>
      <c r="B122" s="1" t="s">
        <v>1273</v>
      </c>
      <c r="C122" s="1" t="s">
        <v>1239</v>
      </c>
      <c r="D122" s="1" t="s">
        <v>798</v>
      </c>
      <c r="E122" s="1" t="s">
        <v>914</v>
      </c>
      <c r="F122" s="2">
        <v>9820089651</v>
      </c>
      <c r="G122" s="14"/>
    </row>
    <row r="123" spans="1:7" ht="39" thickBot="1" x14ac:dyDescent="0.3">
      <c r="A123" s="29">
        <v>45668.768553240741</v>
      </c>
      <c r="B123" s="6" t="s">
        <v>1273</v>
      </c>
      <c r="C123" s="6" t="s">
        <v>1011</v>
      </c>
      <c r="D123" s="6" t="s">
        <v>798</v>
      </c>
      <c r="E123" s="6" t="s">
        <v>929</v>
      </c>
      <c r="F123" s="7">
        <v>9912062970</v>
      </c>
      <c r="G123" s="16"/>
    </row>
    <row r="124" spans="1:7" ht="39" thickBot="1" x14ac:dyDescent="0.3">
      <c r="A124" s="28">
        <v>45668.768784722219</v>
      </c>
      <c r="B124" s="1" t="s">
        <v>1273</v>
      </c>
      <c r="C124" s="13"/>
      <c r="D124" s="1" t="s">
        <v>798</v>
      </c>
      <c r="E124" s="1" t="s">
        <v>945</v>
      </c>
      <c r="F124" s="2">
        <v>9322177391</v>
      </c>
      <c r="G124" s="18" t="s">
        <v>1274</v>
      </c>
    </row>
    <row r="125" spans="1:7" ht="39" thickBot="1" x14ac:dyDescent="0.3">
      <c r="A125" s="29">
        <v>45668.768958333334</v>
      </c>
      <c r="B125" s="6" t="s">
        <v>1273</v>
      </c>
      <c r="C125" s="6" t="s">
        <v>1216</v>
      </c>
      <c r="D125" s="6" t="s">
        <v>798</v>
      </c>
      <c r="E125" s="6" t="s">
        <v>790</v>
      </c>
      <c r="F125" s="7">
        <v>9702260383</v>
      </c>
      <c r="G125" s="16"/>
    </row>
    <row r="126" spans="1:7" ht="39" thickBot="1" x14ac:dyDescent="0.3">
      <c r="A126" s="28">
        <v>45668.769166666665</v>
      </c>
      <c r="B126" s="1" t="s">
        <v>1273</v>
      </c>
      <c r="C126" s="13"/>
      <c r="D126" s="1" t="s">
        <v>798</v>
      </c>
      <c r="E126" s="1" t="s">
        <v>67</v>
      </c>
      <c r="F126" s="2">
        <v>9820251565</v>
      </c>
      <c r="G126" s="18" t="s">
        <v>1274</v>
      </c>
    </row>
    <row r="127" spans="1:7" ht="39" thickBot="1" x14ac:dyDescent="0.3">
      <c r="A127" s="29">
        <v>45668.769386574073</v>
      </c>
      <c r="B127" s="6" t="s">
        <v>1273</v>
      </c>
      <c r="C127" s="6" t="s">
        <v>1239</v>
      </c>
      <c r="D127" s="6" t="s">
        <v>798</v>
      </c>
      <c r="E127" s="6" t="s">
        <v>962</v>
      </c>
      <c r="F127" s="7">
        <v>9920247736</v>
      </c>
      <c r="G127" s="16"/>
    </row>
    <row r="128" spans="1:7" ht="39" thickBot="1" x14ac:dyDescent="0.3">
      <c r="A128" s="28">
        <v>45668.769571759258</v>
      </c>
      <c r="B128" s="1" t="s">
        <v>1273</v>
      </c>
      <c r="C128" s="1" t="s">
        <v>1239</v>
      </c>
      <c r="D128" s="1" t="s">
        <v>798</v>
      </c>
      <c r="E128" s="1" t="s">
        <v>962</v>
      </c>
      <c r="F128" s="2">
        <v>9920247736</v>
      </c>
      <c r="G128" s="14"/>
    </row>
    <row r="129" spans="1:7" ht="39" thickBot="1" x14ac:dyDescent="0.3">
      <c r="A129" s="29">
        <v>45668.769733796296</v>
      </c>
      <c r="B129" s="6" t="s">
        <v>1273</v>
      </c>
      <c r="C129" s="6" t="s">
        <v>1025</v>
      </c>
      <c r="D129" s="6" t="s">
        <v>798</v>
      </c>
      <c r="E129" s="6" t="s">
        <v>976</v>
      </c>
      <c r="F129" s="7">
        <v>9769859980</v>
      </c>
      <c r="G129" s="16"/>
    </row>
    <row r="130" spans="1:7" ht="64.5" thickBot="1" x14ac:dyDescent="0.3">
      <c r="A130" s="28">
        <v>45699.422418981485</v>
      </c>
      <c r="B130" s="1" t="s">
        <v>1234</v>
      </c>
      <c r="C130" s="1" t="s">
        <v>1230</v>
      </c>
      <c r="D130" s="1" t="s">
        <v>57</v>
      </c>
      <c r="E130" s="1" t="s">
        <v>408</v>
      </c>
      <c r="F130" s="2">
        <v>8919841473</v>
      </c>
      <c r="G130" s="18" t="s">
        <v>1277</v>
      </c>
    </row>
    <row r="131" spans="1:7" ht="39" thickBot="1" x14ac:dyDescent="0.3">
      <c r="A131" s="29">
        <v>45699.424756944441</v>
      </c>
      <c r="B131" s="6" t="s">
        <v>1234</v>
      </c>
      <c r="C131" s="15"/>
      <c r="D131" s="6" t="s">
        <v>57</v>
      </c>
      <c r="E131" s="6" t="s">
        <v>741</v>
      </c>
      <c r="F131" s="7">
        <v>9324607730</v>
      </c>
      <c r="G131" s="17" t="s">
        <v>1278</v>
      </c>
    </row>
    <row r="132" spans="1:7" ht="51.75" thickBot="1" x14ac:dyDescent="0.3">
      <c r="A132" s="28">
        <v>45699.42659722222</v>
      </c>
      <c r="B132" s="1" t="s">
        <v>1234</v>
      </c>
      <c r="C132" s="1" t="s">
        <v>1011</v>
      </c>
      <c r="D132" s="1" t="s">
        <v>57</v>
      </c>
      <c r="E132" s="1" t="s">
        <v>550</v>
      </c>
      <c r="F132" s="2">
        <v>9167234508</v>
      </c>
      <c r="G132" s="14"/>
    </row>
    <row r="133" spans="1:7" ht="51.75" thickBot="1" x14ac:dyDescent="0.3">
      <c r="A133" s="29">
        <v>45699.428854166668</v>
      </c>
      <c r="B133" s="6" t="s">
        <v>1234</v>
      </c>
      <c r="C133" s="6" t="s">
        <v>1216</v>
      </c>
      <c r="D133" s="6" t="s">
        <v>57</v>
      </c>
      <c r="E133" s="6" t="s">
        <v>360</v>
      </c>
      <c r="F133" s="7">
        <v>9819758430</v>
      </c>
      <c r="G133" s="17" t="s">
        <v>1279</v>
      </c>
    </row>
    <row r="134" spans="1:7" ht="51.75" thickBot="1" x14ac:dyDescent="0.3">
      <c r="A134" s="28">
        <v>45699.429606481484</v>
      </c>
      <c r="B134" s="1" t="s">
        <v>1280</v>
      </c>
      <c r="C134" s="1" t="s">
        <v>1230</v>
      </c>
      <c r="D134" s="1" t="s">
        <v>12</v>
      </c>
      <c r="E134" s="1" t="s">
        <v>465</v>
      </c>
      <c r="F134" s="2">
        <v>9324403905</v>
      </c>
      <c r="G134" s="18" t="s">
        <v>1116</v>
      </c>
    </row>
    <row r="135" spans="1:7" ht="51.75" thickBot="1" x14ac:dyDescent="0.3">
      <c r="A135" s="29">
        <v>45699.430706018517</v>
      </c>
      <c r="B135" s="6" t="s">
        <v>1280</v>
      </c>
      <c r="C135" s="6" t="s">
        <v>1216</v>
      </c>
      <c r="D135" s="6" t="s">
        <v>12</v>
      </c>
      <c r="E135" s="6" t="s">
        <v>180</v>
      </c>
      <c r="F135" s="7">
        <v>9820454557</v>
      </c>
      <c r="G135" s="16"/>
    </row>
    <row r="136" spans="1:7" ht="64.5" thickBot="1" x14ac:dyDescent="0.3">
      <c r="A136" s="28">
        <v>45699.431250000001</v>
      </c>
      <c r="B136" s="1" t="s">
        <v>1234</v>
      </c>
      <c r="C136" s="1" t="s">
        <v>1216</v>
      </c>
      <c r="D136" s="1" t="s">
        <v>57</v>
      </c>
      <c r="E136" s="1" t="s">
        <v>455</v>
      </c>
      <c r="F136" s="2">
        <v>9967235652</v>
      </c>
      <c r="G136" s="18" t="s">
        <v>1281</v>
      </c>
    </row>
    <row r="137" spans="1:7" ht="64.5" thickBot="1" x14ac:dyDescent="0.3">
      <c r="A137" s="29">
        <v>45699.432268518518</v>
      </c>
      <c r="B137" s="6" t="s">
        <v>1280</v>
      </c>
      <c r="C137" s="6" t="s">
        <v>1239</v>
      </c>
      <c r="D137" s="6" t="s">
        <v>12</v>
      </c>
      <c r="E137" s="6" t="s">
        <v>132</v>
      </c>
      <c r="F137" s="7">
        <v>9820460950</v>
      </c>
      <c r="G137" s="17" t="s">
        <v>1282</v>
      </c>
    </row>
    <row r="138" spans="1:7" ht="39" thickBot="1" x14ac:dyDescent="0.3">
      <c r="A138" s="28">
        <v>45699.432314814818</v>
      </c>
      <c r="B138" s="1" t="s">
        <v>1234</v>
      </c>
      <c r="C138" s="1" t="s">
        <v>1011</v>
      </c>
      <c r="D138" s="1" t="s">
        <v>57</v>
      </c>
      <c r="E138" s="1" t="s">
        <v>598</v>
      </c>
      <c r="F138" s="2">
        <v>9920299939</v>
      </c>
      <c r="G138" s="14"/>
    </row>
    <row r="139" spans="1:7" ht="51.75" thickBot="1" x14ac:dyDescent="0.3">
      <c r="A139" s="29">
        <v>45699.432858796295</v>
      </c>
      <c r="B139" s="6" t="s">
        <v>1234</v>
      </c>
      <c r="C139" s="6" t="s">
        <v>1011</v>
      </c>
      <c r="D139" s="6" t="s">
        <v>57</v>
      </c>
      <c r="E139" s="6" t="s">
        <v>122</v>
      </c>
      <c r="F139" s="7">
        <v>9324812699</v>
      </c>
      <c r="G139" s="16"/>
    </row>
    <row r="140" spans="1:7" ht="51.75" thickBot="1" x14ac:dyDescent="0.3">
      <c r="A140" s="28">
        <v>45699.433819444443</v>
      </c>
      <c r="B140" s="1" t="s">
        <v>1280</v>
      </c>
      <c r="C140" s="1" t="s">
        <v>1216</v>
      </c>
      <c r="D140" s="1" t="s">
        <v>12</v>
      </c>
      <c r="E140" s="1" t="s">
        <v>370</v>
      </c>
      <c r="F140" s="2">
        <v>9869906116</v>
      </c>
      <c r="G140" s="14"/>
    </row>
    <row r="141" spans="1:7" ht="51.75" thickBot="1" x14ac:dyDescent="0.3">
      <c r="A141" s="29">
        <v>45699.434583333335</v>
      </c>
      <c r="B141" s="6" t="s">
        <v>1280</v>
      </c>
      <c r="C141" s="6" t="s">
        <v>1216</v>
      </c>
      <c r="D141" s="6" t="s">
        <v>12</v>
      </c>
      <c r="E141" s="6" t="s">
        <v>323</v>
      </c>
      <c r="F141" s="7">
        <v>9819621190</v>
      </c>
      <c r="G141" s="16"/>
    </row>
    <row r="142" spans="1:7" ht="141" thickBot="1" x14ac:dyDescent="0.3">
      <c r="A142" s="28">
        <v>45699.435057870367</v>
      </c>
      <c r="B142" s="1" t="s">
        <v>1234</v>
      </c>
      <c r="C142" s="1" t="s">
        <v>1230</v>
      </c>
      <c r="D142" s="1" t="s">
        <v>57</v>
      </c>
      <c r="E142" s="1" t="s">
        <v>170</v>
      </c>
      <c r="F142" s="2">
        <v>9879060094</v>
      </c>
      <c r="G142" s="18" t="s">
        <v>1283</v>
      </c>
    </row>
    <row r="143" spans="1:7" ht="51.75" thickBot="1" x14ac:dyDescent="0.3">
      <c r="A143" s="29">
        <v>45699.437442129631</v>
      </c>
      <c r="B143" s="6" t="s">
        <v>1280</v>
      </c>
      <c r="C143" s="6" t="s">
        <v>1011</v>
      </c>
      <c r="D143" s="6" t="s">
        <v>12</v>
      </c>
      <c r="E143" s="6" t="s">
        <v>655</v>
      </c>
      <c r="F143" s="7">
        <v>9833729262</v>
      </c>
      <c r="G143" s="17" t="s">
        <v>1284</v>
      </c>
    </row>
    <row r="144" spans="1:7" ht="39" thickBot="1" x14ac:dyDescent="0.3">
      <c r="A144" s="28">
        <v>45699.438472222224</v>
      </c>
      <c r="B144" s="1" t="s">
        <v>1234</v>
      </c>
      <c r="C144" s="1" t="s">
        <v>1025</v>
      </c>
      <c r="D144" s="1" t="s">
        <v>57</v>
      </c>
      <c r="E144" s="1" t="s">
        <v>265</v>
      </c>
      <c r="F144" s="2">
        <v>8291612305</v>
      </c>
      <c r="G144" s="14"/>
    </row>
    <row r="145" spans="1:7" ht="51.75" thickBot="1" x14ac:dyDescent="0.3">
      <c r="A145" s="29">
        <v>45699.438668981478</v>
      </c>
      <c r="B145" s="6" t="s">
        <v>1280</v>
      </c>
      <c r="C145" s="6" t="s">
        <v>1011</v>
      </c>
      <c r="D145" s="6" t="s">
        <v>12</v>
      </c>
      <c r="E145" s="6" t="s">
        <v>751</v>
      </c>
      <c r="F145" s="7">
        <v>8779689904</v>
      </c>
      <c r="G145" s="17" t="s">
        <v>1285</v>
      </c>
    </row>
    <row r="146" spans="1:7" ht="102.75" thickBot="1" x14ac:dyDescent="0.3">
      <c r="A146" s="28">
        <v>45699.439849537041</v>
      </c>
      <c r="B146" s="1" t="s">
        <v>1234</v>
      </c>
      <c r="C146" s="1" t="s">
        <v>1011</v>
      </c>
      <c r="D146" s="1" t="s">
        <v>57</v>
      </c>
      <c r="E146" s="1" t="s">
        <v>313</v>
      </c>
      <c r="F146" s="2">
        <v>8823915926</v>
      </c>
      <c r="G146" s="18" t="s">
        <v>1286</v>
      </c>
    </row>
    <row r="147" spans="1:7" ht="51.75" thickBot="1" x14ac:dyDescent="0.3">
      <c r="A147" s="29">
        <v>45699.440023148149</v>
      </c>
      <c r="B147" s="6" t="s">
        <v>1280</v>
      </c>
      <c r="C147" s="6" t="s">
        <v>1216</v>
      </c>
      <c r="D147" s="6" t="s">
        <v>12</v>
      </c>
      <c r="E147" s="6" t="s">
        <v>418</v>
      </c>
      <c r="F147" s="7">
        <v>9821084020</v>
      </c>
      <c r="G147" s="16"/>
    </row>
    <row r="148" spans="1:7" ht="51.75" thickBot="1" x14ac:dyDescent="0.3">
      <c r="A148" s="28">
        <v>45699.440729166665</v>
      </c>
      <c r="B148" s="1" t="s">
        <v>1280</v>
      </c>
      <c r="C148" s="1" t="s">
        <v>1025</v>
      </c>
      <c r="D148" s="1" t="s">
        <v>12</v>
      </c>
      <c r="E148" s="1" t="s">
        <v>228</v>
      </c>
      <c r="F148" s="2">
        <v>9322233166</v>
      </c>
      <c r="G148" s="14"/>
    </row>
    <row r="149" spans="1:7" ht="51.75" thickBot="1" x14ac:dyDescent="0.3">
      <c r="A149" s="29">
        <v>45699.440983796296</v>
      </c>
      <c r="B149" s="6" t="s">
        <v>1280</v>
      </c>
      <c r="C149" s="6" t="s">
        <v>1025</v>
      </c>
      <c r="D149" s="6" t="s">
        <v>12</v>
      </c>
      <c r="E149" s="6" t="s">
        <v>560</v>
      </c>
      <c r="F149" s="7">
        <v>8879097778</v>
      </c>
      <c r="G149" s="17" t="s">
        <v>1287</v>
      </c>
    </row>
    <row r="150" spans="1:7" ht="51.75" thickBot="1" x14ac:dyDescent="0.3">
      <c r="A150" s="28">
        <v>45699.441331018519</v>
      </c>
      <c r="B150" s="1" t="s">
        <v>1234</v>
      </c>
      <c r="C150" s="1" t="s">
        <v>1216</v>
      </c>
      <c r="D150" s="1" t="s">
        <v>57</v>
      </c>
      <c r="E150" s="1" t="s">
        <v>645</v>
      </c>
      <c r="F150" s="2">
        <v>9324543199</v>
      </c>
      <c r="G150" s="18" t="s">
        <v>1288</v>
      </c>
    </row>
    <row r="151" spans="1:7" ht="39" thickBot="1" x14ac:dyDescent="0.3">
      <c r="A151" s="29">
        <v>45699.442673611113</v>
      </c>
      <c r="B151" s="6" t="s">
        <v>1234</v>
      </c>
      <c r="C151" s="6" t="s">
        <v>1216</v>
      </c>
      <c r="D151" s="6" t="s">
        <v>57</v>
      </c>
      <c r="E151" s="6" t="s">
        <v>218</v>
      </c>
      <c r="F151" s="7">
        <v>9820916001</v>
      </c>
      <c r="G151" s="16"/>
    </row>
    <row r="152" spans="1:7" ht="51.75" thickBot="1" x14ac:dyDescent="0.3">
      <c r="A152" s="28">
        <v>45699.443773148145</v>
      </c>
      <c r="B152" s="1" t="s">
        <v>1280</v>
      </c>
      <c r="C152" s="1" t="s">
        <v>1216</v>
      </c>
      <c r="D152" s="1" t="s">
        <v>12</v>
      </c>
      <c r="E152" s="1" t="s">
        <v>608</v>
      </c>
      <c r="F152" s="2">
        <v>9892537304</v>
      </c>
      <c r="G152" s="14"/>
    </row>
    <row r="153" spans="1:7" ht="39" thickBot="1" x14ac:dyDescent="0.3">
      <c r="A153" s="29">
        <v>45699.443854166668</v>
      </c>
      <c r="B153" s="6" t="s">
        <v>1234</v>
      </c>
      <c r="C153" s="6" t="s">
        <v>1025</v>
      </c>
      <c r="D153" s="6" t="s">
        <v>57</v>
      </c>
      <c r="E153" s="6" t="s">
        <v>502</v>
      </c>
      <c r="F153" s="7">
        <v>9321489104</v>
      </c>
      <c r="G153" s="16"/>
    </row>
    <row r="154" spans="1:7" ht="51.75" thickBot="1" x14ac:dyDescent="0.3">
      <c r="A154" s="28">
        <v>45699.462881944448</v>
      </c>
      <c r="B154" s="1" t="s">
        <v>1280</v>
      </c>
      <c r="C154" s="1" t="s">
        <v>1216</v>
      </c>
      <c r="D154" s="1" t="s">
        <v>12</v>
      </c>
      <c r="E154" s="1" t="s">
        <v>275</v>
      </c>
      <c r="F154" s="2">
        <v>9869652536</v>
      </c>
      <c r="G154" s="14"/>
    </row>
    <row r="155" spans="1:7" ht="51.75" thickBot="1" x14ac:dyDescent="0.3">
      <c r="A155" s="29">
        <v>45699.497974537036</v>
      </c>
      <c r="B155" s="6" t="s">
        <v>1271</v>
      </c>
      <c r="C155" s="6" t="s">
        <v>1230</v>
      </c>
      <c r="D155" s="6" t="s">
        <v>61</v>
      </c>
      <c r="E155" s="6" t="s">
        <v>647</v>
      </c>
      <c r="F155" s="7">
        <v>9833374470</v>
      </c>
      <c r="G155" s="17" t="s">
        <v>1289</v>
      </c>
    </row>
    <row r="156" spans="1:7" ht="39" thickBot="1" x14ac:dyDescent="0.3">
      <c r="A156" s="28">
        <v>45699.498472222222</v>
      </c>
      <c r="B156" s="1" t="s">
        <v>1271</v>
      </c>
      <c r="C156" s="1" t="s">
        <v>1011</v>
      </c>
      <c r="D156" s="1" t="s">
        <v>61</v>
      </c>
      <c r="E156" s="1" t="s">
        <v>124</v>
      </c>
      <c r="F156" s="2">
        <v>9867986666</v>
      </c>
      <c r="G156" s="18" t="s">
        <v>1290</v>
      </c>
    </row>
    <row r="157" spans="1:7" ht="39" thickBot="1" x14ac:dyDescent="0.3">
      <c r="A157" s="29">
        <v>45699.499236111114</v>
      </c>
      <c r="B157" s="6" t="s">
        <v>1271</v>
      </c>
      <c r="C157" s="6" t="s">
        <v>1011</v>
      </c>
      <c r="D157" s="6" t="s">
        <v>61</v>
      </c>
      <c r="E157" s="6" t="s">
        <v>315</v>
      </c>
      <c r="F157" s="7">
        <v>9819884085</v>
      </c>
      <c r="G157" s="17" t="s">
        <v>1291</v>
      </c>
    </row>
    <row r="158" spans="1:7" ht="39" thickBot="1" x14ac:dyDescent="0.3">
      <c r="A158" s="28">
        <v>45699.499907407408</v>
      </c>
      <c r="B158" s="1" t="s">
        <v>1271</v>
      </c>
      <c r="C158" s="1" t="s">
        <v>1011</v>
      </c>
      <c r="D158" s="1" t="s">
        <v>61</v>
      </c>
      <c r="E158" s="1" t="s">
        <v>600</v>
      </c>
      <c r="F158" s="2">
        <v>9820267735</v>
      </c>
      <c r="G158" s="18" t="s">
        <v>1292</v>
      </c>
    </row>
    <row r="159" spans="1:7" ht="51.75" thickBot="1" x14ac:dyDescent="0.3">
      <c r="A159" s="29">
        <v>45699.500937500001</v>
      </c>
      <c r="B159" s="6" t="s">
        <v>1271</v>
      </c>
      <c r="C159" s="6" t="s">
        <v>1230</v>
      </c>
      <c r="D159" s="6" t="s">
        <v>61</v>
      </c>
      <c r="E159" s="6" t="s">
        <v>410</v>
      </c>
      <c r="F159" s="7">
        <v>9339057544</v>
      </c>
      <c r="G159" s="17" t="s">
        <v>1235</v>
      </c>
    </row>
    <row r="160" spans="1:7" ht="51.75" thickBot="1" x14ac:dyDescent="0.3">
      <c r="A160" s="28">
        <v>45699.501226851855</v>
      </c>
      <c r="B160" s="1" t="s">
        <v>1271</v>
      </c>
      <c r="C160" s="1" t="s">
        <v>1230</v>
      </c>
      <c r="D160" s="1" t="s">
        <v>61</v>
      </c>
      <c r="E160" s="1" t="s">
        <v>457</v>
      </c>
      <c r="F160" s="2">
        <v>9820075931</v>
      </c>
      <c r="G160" s="18" t="s">
        <v>1293</v>
      </c>
    </row>
    <row r="161" spans="1:7" ht="64.5" thickBot="1" x14ac:dyDescent="0.3">
      <c r="A161" s="29">
        <v>45699.501493055555</v>
      </c>
      <c r="B161" s="6" t="s">
        <v>1271</v>
      </c>
      <c r="C161" s="6" t="s">
        <v>1239</v>
      </c>
      <c r="D161" s="6" t="s">
        <v>61</v>
      </c>
      <c r="E161" s="6" t="s">
        <v>172</v>
      </c>
      <c r="F161" s="7">
        <v>9987019726</v>
      </c>
      <c r="G161" s="17" t="s">
        <v>1294</v>
      </c>
    </row>
    <row r="162" spans="1:7" ht="39" thickBot="1" x14ac:dyDescent="0.3">
      <c r="A162" s="28">
        <v>45699.52784722222</v>
      </c>
      <c r="B162" s="1" t="s">
        <v>1295</v>
      </c>
      <c r="C162" s="1" t="s">
        <v>1011</v>
      </c>
      <c r="D162" s="1" t="s">
        <v>71</v>
      </c>
      <c r="E162" s="1" t="s">
        <v>415</v>
      </c>
      <c r="F162" s="2">
        <v>7738388091</v>
      </c>
      <c r="G162" s="18" t="s">
        <v>1296</v>
      </c>
    </row>
    <row r="163" spans="1:7" ht="39" thickBot="1" x14ac:dyDescent="0.3">
      <c r="A163" s="29">
        <v>45699.528865740744</v>
      </c>
      <c r="B163" s="6" t="s">
        <v>1295</v>
      </c>
      <c r="C163" s="6" t="s">
        <v>1011</v>
      </c>
      <c r="D163" s="6" t="s">
        <v>71</v>
      </c>
      <c r="E163" s="6" t="s">
        <v>177</v>
      </c>
      <c r="F163" s="7">
        <v>7738385694</v>
      </c>
      <c r="G163" s="17" t="s">
        <v>1297</v>
      </c>
    </row>
    <row r="164" spans="1:7" ht="51.75" thickBot="1" x14ac:dyDescent="0.3">
      <c r="A164" s="28">
        <v>45699.531469907408</v>
      </c>
      <c r="B164" s="1" t="s">
        <v>1295</v>
      </c>
      <c r="C164" s="1" t="s">
        <v>1239</v>
      </c>
      <c r="D164" s="1" t="s">
        <v>71</v>
      </c>
      <c r="E164" s="1" t="s">
        <v>700</v>
      </c>
      <c r="F164" s="2">
        <v>9892590626</v>
      </c>
      <c r="G164" s="18" t="s">
        <v>1298</v>
      </c>
    </row>
    <row r="165" spans="1:7" ht="51.75" thickBot="1" x14ac:dyDescent="0.3">
      <c r="A165" s="29">
        <v>45699.533668981479</v>
      </c>
      <c r="B165" s="6" t="s">
        <v>1295</v>
      </c>
      <c r="C165" s="6" t="s">
        <v>1216</v>
      </c>
      <c r="D165" s="6" t="s">
        <v>71</v>
      </c>
      <c r="E165" s="6" t="s">
        <v>129</v>
      </c>
      <c r="F165" s="7">
        <v>9820070274</v>
      </c>
      <c r="G165" s="17" t="s">
        <v>1299</v>
      </c>
    </row>
    <row r="166" spans="1:7" ht="51.75" thickBot="1" x14ac:dyDescent="0.3">
      <c r="A166" s="28">
        <v>45699.536469907405</v>
      </c>
      <c r="B166" s="1" t="s">
        <v>1295</v>
      </c>
      <c r="C166" s="1" t="s">
        <v>1216</v>
      </c>
      <c r="D166" s="1" t="s">
        <v>71</v>
      </c>
      <c r="E166" s="1" t="s">
        <v>320</v>
      </c>
      <c r="F166" s="2">
        <v>9820550154</v>
      </c>
      <c r="G166" s="68">
        <v>5</v>
      </c>
    </row>
    <row r="167" spans="1:7" ht="39" thickBot="1" x14ac:dyDescent="0.3">
      <c r="A167" s="29">
        <v>45699.53707175926</v>
      </c>
      <c r="B167" s="6" t="s">
        <v>1295</v>
      </c>
      <c r="C167" s="6" t="s">
        <v>1239</v>
      </c>
      <c r="D167" s="6" t="s">
        <v>71</v>
      </c>
      <c r="E167" s="6" t="s">
        <v>415</v>
      </c>
      <c r="F167" s="7">
        <v>7738388091</v>
      </c>
      <c r="G167" s="17" t="s">
        <v>1300</v>
      </c>
    </row>
    <row r="168" spans="1:7" ht="51.75" thickBot="1" x14ac:dyDescent="0.3">
      <c r="A168" s="28">
        <v>45699.538356481484</v>
      </c>
      <c r="B168" s="1" t="s">
        <v>1295</v>
      </c>
      <c r="C168" s="1" t="s">
        <v>1011</v>
      </c>
      <c r="D168" s="1" t="s">
        <v>71</v>
      </c>
      <c r="E168" s="1" t="s">
        <v>605</v>
      </c>
      <c r="F168" s="2">
        <v>9819802826</v>
      </c>
      <c r="G168" s="18" t="s">
        <v>1301</v>
      </c>
    </row>
    <row r="169" spans="1:7" ht="64.5" thickBot="1" x14ac:dyDescent="0.3">
      <c r="A169" s="29">
        <v>45699.538761574076</v>
      </c>
      <c r="B169" s="6" t="s">
        <v>1302</v>
      </c>
      <c r="C169" s="6" t="s">
        <v>1216</v>
      </c>
      <c r="D169" s="6" t="s">
        <v>786</v>
      </c>
      <c r="E169" s="6" t="s">
        <v>96</v>
      </c>
      <c r="F169" s="7">
        <v>8871984007</v>
      </c>
      <c r="G169" s="16"/>
    </row>
    <row r="170" spans="1:7" ht="51.75" thickBot="1" x14ac:dyDescent="0.3">
      <c r="A170" s="28">
        <v>45699.539965277778</v>
      </c>
      <c r="B170" s="1" t="s">
        <v>1295</v>
      </c>
      <c r="C170" s="1" t="s">
        <v>1239</v>
      </c>
      <c r="D170" s="1" t="s">
        <v>71</v>
      </c>
      <c r="E170" s="1" t="s">
        <v>72</v>
      </c>
      <c r="F170" s="2">
        <v>9820960490</v>
      </c>
      <c r="G170" s="18" t="s">
        <v>1300</v>
      </c>
    </row>
    <row r="171" spans="1:7" ht="64.5" thickBot="1" x14ac:dyDescent="0.3">
      <c r="A171" s="29">
        <v>45699.541550925926</v>
      </c>
      <c r="B171" s="6" t="s">
        <v>1302</v>
      </c>
      <c r="C171" s="6" t="s">
        <v>1230</v>
      </c>
      <c r="D171" s="6" t="s">
        <v>786</v>
      </c>
      <c r="E171" s="6" t="s">
        <v>787</v>
      </c>
      <c r="F171" s="7">
        <v>9869136046</v>
      </c>
      <c r="G171" s="17" t="s">
        <v>1303</v>
      </c>
    </row>
    <row r="172" spans="1:7" ht="39" thickBot="1" x14ac:dyDescent="0.3">
      <c r="A172" s="28">
        <v>45699.58390046296</v>
      </c>
      <c r="B172" s="1" t="s">
        <v>1304</v>
      </c>
      <c r="C172" s="1" t="s">
        <v>1216</v>
      </c>
      <c r="D172" s="1" t="s">
        <v>55</v>
      </c>
      <c r="E172" s="1" t="s">
        <v>692</v>
      </c>
      <c r="F172" s="2">
        <v>8425048184</v>
      </c>
      <c r="G172" s="18" t="s">
        <v>1305</v>
      </c>
    </row>
    <row r="173" spans="1:7" ht="64.5" thickBot="1" x14ac:dyDescent="0.3">
      <c r="A173" s="29">
        <v>45699.584548611114</v>
      </c>
      <c r="B173" s="6" t="s">
        <v>1304</v>
      </c>
      <c r="C173" s="6" t="s">
        <v>1011</v>
      </c>
      <c r="D173" s="6" t="s">
        <v>55</v>
      </c>
      <c r="E173" s="6" t="s">
        <v>407</v>
      </c>
      <c r="F173" s="7">
        <v>7798729876</v>
      </c>
      <c r="G173" s="17" t="s">
        <v>1306</v>
      </c>
    </row>
    <row r="174" spans="1:7" ht="39" thickBot="1" x14ac:dyDescent="0.3">
      <c r="A174" s="28">
        <v>45699.585289351853</v>
      </c>
      <c r="B174" s="1" t="s">
        <v>1304</v>
      </c>
      <c r="C174" s="1" t="s">
        <v>1011</v>
      </c>
      <c r="D174" s="1" t="s">
        <v>55</v>
      </c>
      <c r="E174" s="1" t="s">
        <v>454</v>
      </c>
      <c r="F174" s="2">
        <v>9322598681</v>
      </c>
      <c r="G174" s="18" t="s">
        <v>1307</v>
      </c>
    </row>
    <row r="175" spans="1:7" ht="51.75" thickBot="1" x14ac:dyDescent="0.3">
      <c r="A175" s="29">
        <v>45699.585763888892</v>
      </c>
      <c r="B175" s="6" t="s">
        <v>1304</v>
      </c>
      <c r="C175" s="6" t="s">
        <v>1011</v>
      </c>
      <c r="D175" s="6" t="s">
        <v>55</v>
      </c>
      <c r="E175" s="6" t="s">
        <v>549</v>
      </c>
      <c r="F175" s="7">
        <v>9819141611</v>
      </c>
      <c r="G175" s="17" t="s">
        <v>1308</v>
      </c>
    </row>
    <row r="176" spans="1:7" ht="39" thickBot="1" x14ac:dyDescent="0.3">
      <c r="A176" s="28">
        <v>45699.586863425924</v>
      </c>
      <c r="B176" s="1" t="s">
        <v>1304</v>
      </c>
      <c r="C176" s="1" t="s">
        <v>1011</v>
      </c>
      <c r="D176" s="1" t="s">
        <v>55</v>
      </c>
      <c r="E176" s="1" t="s">
        <v>359</v>
      </c>
      <c r="F176" s="2">
        <v>9820634447</v>
      </c>
      <c r="G176" s="14"/>
    </row>
    <row r="177" spans="1:7" ht="39" thickBot="1" x14ac:dyDescent="0.3">
      <c r="A177" s="29">
        <v>45699.587164351855</v>
      </c>
      <c r="B177" s="6" t="s">
        <v>1304</v>
      </c>
      <c r="C177" s="6" t="s">
        <v>1216</v>
      </c>
      <c r="D177" s="6" t="s">
        <v>55</v>
      </c>
      <c r="E177" s="6" t="s">
        <v>56</v>
      </c>
      <c r="F177" s="7">
        <v>9821013859</v>
      </c>
      <c r="G177" s="16"/>
    </row>
    <row r="178" spans="1:7" ht="39" thickBot="1" x14ac:dyDescent="0.3">
      <c r="A178" s="28">
        <v>45699.587951388887</v>
      </c>
      <c r="B178" s="1" t="s">
        <v>1304</v>
      </c>
      <c r="C178" s="1" t="s">
        <v>1025</v>
      </c>
      <c r="D178" s="1" t="s">
        <v>55</v>
      </c>
      <c r="E178" s="1" t="s">
        <v>121</v>
      </c>
      <c r="F178" s="2">
        <v>9594929376</v>
      </c>
      <c r="G178" s="14"/>
    </row>
    <row r="179" spans="1:7" ht="51.75" thickBot="1" x14ac:dyDescent="0.3">
      <c r="A179" s="29">
        <v>45699.588171296295</v>
      </c>
      <c r="B179" s="6" t="s">
        <v>1304</v>
      </c>
      <c r="C179" s="6" t="s">
        <v>1216</v>
      </c>
      <c r="D179" s="6" t="s">
        <v>55</v>
      </c>
      <c r="E179" s="6" t="s">
        <v>169</v>
      </c>
      <c r="F179" s="7">
        <v>9867252526</v>
      </c>
      <c r="G179" s="16"/>
    </row>
    <row r="180" spans="1:7" ht="39" thickBot="1" x14ac:dyDescent="0.3">
      <c r="A180" s="28">
        <v>45699.588472222225</v>
      </c>
      <c r="B180" s="1" t="s">
        <v>1304</v>
      </c>
      <c r="C180" s="1" t="s">
        <v>1239</v>
      </c>
      <c r="D180" s="1" t="s">
        <v>55</v>
      </c>
      <c r="E180" s="1" t="s">
        <v>312</v>
      </c>
      <c r="F180" s="2">
        <v>9930770867</v>
      </c>
      <c r="G180" s="14"/>
    </row>
    <row r="181" spans="1:7" ht="39" thickBot="1" x14ac:dyDescent="0.3">
      <c r="A181" s="29">
        <v>45699.589143518519</v>
      </c>
      <c r="B181" s="6" t="s">
        <v>1304</v>
      </c>
      <c r="C181" s="6" t="s">
        <v>1230</v>
      </c>
      <c r="D181" s="6" t="s">
        <v>55</v>
      </c>
      <c r="E181" s="6" t="s">
        <v>217</v>
      </c>
      <c r="F181" s="7">
        <v>9975629760</v>
      </c>
      <c r="G181" s="17" t="s">
        <v>1309</v>
      </c>
    </row>
    <row r="182" spans="1:7" ht="64.5" thickBot="1" x14ac:dyDescent="0.3">
      <c r="A182" s="28">
        <v>45699.589386574073</v>
      </c>
      <c r="B182" s="1" t="s">
        <v>1304</v>
      </c>
      <c r="C182" s="1" t="s">
        <v>1216</v>
      </c>
      <c r="D182" s="1" t="s">
        <v>55</v>
      </c>
      <c r="E182" s="1" t="s">
        <v>501</v>
      </c>
      <c r="F182" s="2">
        <v>9819424430</v>
      </c>
      <c r="G182" s="14"/>
    </row>
    <row r="183" spans="1:7" ht="51.75" thickBot="1" x14ac:dyDescent="0.3">
      <c r="A183" s="29">
        <v>45699.589675925927</v>
      </c>
      <c r="B183" s="6" t="s">
        <v>1304</v>
      </c>
      <c r="C183" s="6" t="s">
        <v>1230</v>
      </c>
      <c r="D183" s="6" t="s">
        <v>55</v>
      </c>
      <c r="E183" s="6" t="s">
        <v>264</v>
      </c>
      <c r="F183" s="7">
        <v>9320105607</v>
      </c>
      <c r="G183" s="17" t="s">
        <v>1310</v>
      </c>
    </row>
    <row r="184" spans="1:7" ht="51.75" thickBot="1" x14ac:dyDescent="0.3">
      <c r="A184" s="28">
        <v>45699.589895833335</v>
      </c>
      <c r="B184" s="1" t="s">
        <v>1304</v>
      </c>
      <c r="C184" s="1" t="s">
        <v>1025</v>
      </c>
      <c r="D184" s="1" t="s">
        <v>55</v>
      </c>
      <c r="E184" s="1" t="s">
        <v>644</v>
      </c>
      <c r="F184" s="2">
        <v>9930799429</v>
      </c>
      <c r="G184" s="14"/>
    </row>
    <row r="185" spans="1:7" ht="39" thickBot="1" x14ac:dyDescent="0.3">
      <c r="A185" s="29">
        <v>45699.590358796297</v>
      </c>
      <c r="B185" s="6" t="s">
        <v>1304</v>
      </c>
      <c r="C185" s="6" t="s">
        <v>1011</v>
      </c>
      <c r="D185" s="6" t="s">
        <v>55</v>
      </c>
      <c r="E185" s="6" t="s">
        <v>740</v>
      </c>
      <c r="F185" s="7">
        <v>9833078523</v>
      </c>
      <c r="G185" s="17" t="s">
        <v>1311</v>
      </c>
    </row>
    <row r="186" spans="1:7" ht="39" thickBot="1" x14ac:dyDescent="0.3">
      <c r="A186" s="28">
        <v>45699.590717592589</v>
      </c>
      <c r="B186" s="1" t="s">
        <v>1304</v>
      </c>
      <c r="C186" s="1" t="s">
        <v>1025</v>
      </c>
      <c r="D186" s="1" t="s">
        <v>55</v>
      </c>
      <c r="E186" s="1" t="s">
        <v>597</v>
      </c>
      <c r="F186" s="2">
        <v>9967071927</v>
      </c>
      <c r="G186" s="14"/>
    </row>
    <row r="187" spans="1:7" ht="51.75" thickBot="1" x14ac:dyDescent="0.3">
      <c r="A187" s="29">
        <v>45699.643518518518</v>
      </c>
      <c r="B187" s="6" t="s">
        <v>1312</v>
      </c>
      <c r="C187" s="6" t="s">
        <v>1239</v>
      </c>
      <c r="D187" s="6" t="s">
        <v>1313</v>
      </c>
      <c r="E187" s="6" t="s">
        <v>912</v>
      </c>
      <c r="F187" s="7">
        <v>9819929206</v>
      </c>
      <c r="G187" s="16"/>
    </row>
    <row r="188" spans="1:7" ht="51.75" thickBot="1" x14ac:dyDescent="0.3">
      <c r="A188" s="28">
        <v>45699.676180555558</v>
      </c>
      <c r="B188" s="1" t="s">
        <v>1314</v>
      </c>
      <c r="C188" s="1" t="s">
        <v>1216</v>
      </c>
      <c r="D188" s="1" t="s">
        <v>63</v>
      </c>
      <c r="E188" s="1" t="s">
        <v>268</v>
      </c>
      <c r="F188" s="2">
        <v>9764005162</v>
      </c>
      <c r="G188" s="18" t="s">
        <v>1315</v>
      </c>
    </row>
    <row r="189" spans="1:7" ht="51.75" thickBot="1" x14ac:dyDescent="0.3">
      <c r="A189" s="29">
        <v>45699.678935185184</v>
      </c>
      <c r="B189" s="6" t="s">
        <v>1314</v>
      </c>
      <c r="C189" s="6" t="s">
        <v>1216</v>
      </c>
      <c r="D189" s="6" t="s">
        <v>63</v>
      </c>
      <c r="E189" s="6" t="s">
        <v>363</v>
      </c>
      <c r="F189" s="7">
        <v>9323589700</v>
      </c>
      <c r="G189" s="17" t="s">
        <v>1316</v>
      </c>
    </row>
    <row r="190" spans="1:7" ht="39" thickBot="1" x14ac:dyDescent="0.3">
      <c r="A190" s="28">
        <v>45699.803402777776</v>
      </c>
      <c r="B190" s="1" t="s">
        <v>1317</v>
      </c>
      <c r="C190" s="1" t="s">
        <v>1239</v>
      </c>
      <c r="D190" s="1" t="s">
        <v>800</v>
      </c>
      <c r="E190" s="1" t="s">
        <v>930</v>
      </c>
      <c r="F190" s="2">
        <v>9527814992</v>
      </c>
      <c r="G190" s="14"/>
    </row>
    <row r="191" spans="1:7" ht="39" thickBot="1" x14ac:dyDescent="0.3">
      <c r="A191" s="29">
        <v>45699.804780092592</v>
      </c>
      <c r="B191" s="6" t="s">
        <v>1317</v>
      </c>
      <c r="C191" s="6" t="s">
        <v>1230</v>
      </c>
      <c r="D191" s="6" t="s">
        <v>800</v>
      </c>
      <c r="E191" s="6" t="s">
        <v>840</v>
      </c>
      <c r="F191" s="7">
        <v>9920341990</v>
      </c>
      <c r="G191" s="16"/>
    </row>
    <row r="192" spans="1:7" ht="51.75" thickBot="1" x14ac:dyDescent="0.3">
      <c r="A192" s="28">
        <v>45699.807187500002</v>
      </c>
      <c r="B192" s="1" t="s">
        <v>1317</v>
      </c>
      <c r="C192" s="1" t="s">
        <v>1239</v>
      </c>
      <c r="D192" s="1" t="s">
        <v>800</v>
      </c>
      <c r="E192" s="1" t="s">
        <v>946</v>
      </c>
      <c r="F192" s="2">
        <v>9820282322</v>
      </c>
      <c r="G192" s="14"/>
    </row>
    <row r="193" spans="1:7" ht="51.75" thickBot="1" x14ac:dyDescent="0.3">
      <c r="A193" s="29">
        <v>45699.807708333334</v>
      </c>
      <c r="B193" s="6" t="s">
        <v>1317</v>
      </c>
      <c r="C193" s="6" t="s">
        <v>1216</v>
      </c>
      <c r="D193" s="6" t="s">
        <v>800</v>
      </c>
      <c r="E193" s="6" t="s">
        <v>946</v>
      </c>
      <c r="F193" s="7">
        <v>9820282322</v>
      </c>
      <c r="G193" s="16"/>
    </row>
    <row r="194" spans="1:7" ht="51.75" thickBot="1" x14ac:dyDescent="0.3">
      <c r="A194" s="30">
        <v>45699.807928240742</v>
      </c>
      <c r="B194" s="8" t="s">
        <v>1317</v>
      </c>
      <c r="C194" s="8" t="s">
        <v>1216</v>
      </c>
      <c r="D194" s="8" t="s">
        <v>800</v>
      </c>
      <c r="E194" s="8" t="s">
        <v>946</v>
      </c>
      <c r="F194" s="9">
        <v>9820282322</v>
      </c>
      <c r="G194" s="6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575DB-26F0-4F09-8BE8-745DDBB12872}">
  <dimension ref="A1:N54"/>
  <sheetViews>
    <sheetView topLeftCell="A3" workbookViewId="0">
      <selection activeCell="A21" sqref="A21"/>
    </sheetView>
  </sheetViews>
  <sheetFormatPr defaultColWidth="18.42578125" defaultRowHeight="15" x14ac:dyDescent="0.25"/>
  <cols>
    <col min="1" max="1" width="15.140625" bestFit="1" customWidth="1"/>
    <col min="2" max="2" width="11.5703125" bestFit="1" customWidth="1"/>
    <col min="3" max="3" width="11" bestFit="1" customWidth="1"/>
    <col min="4" max="4" width="39.85546875" customWidth="1"/>
    <col min="5" max="5" width="11" bestFit="1" customWidth="1"/>
    <col min="6" max="6" width="15.42578125" bestFit="1" customWidth="1"/>
    <col min="7" max="7" width="27.140625" customWidth="1"/>
    <col min="8" max="8" width="18.140625" bestFit="1" customWidth="1"/>
    <col min="9" max="9" width="12.5703125" bestFit="1" customWidth="1"/>
    <col min="10" max="10" width="44.140625" customWidth="1"/>
    <col min="11" max="11" width="19.140625" bestFit="1" customWidth="1"/>
    <col min="12" max="12" width="17" bestFit="1" customWidth="1"/>
    <col min="13" max="13" width="8.7109375" bestFit="1" customWidth="1"/>
    <col min="14" max="14" width="14.7109375" bestFit="1" customWidth="1"/>
  </cols>
  <sheetData>
    <row r="1" spans="1:14" ht="114.75" x14ac:dyDescent="0.25">
      <c r="A1" s="37" t="s">
        <v>2</v>
      </c>
      <c r="B1" s="38" t="s">
        <v>1007</v>
      </c>
      <c r="C1" s="38" t="s">
        <v>1008</v>
      </c>
      <c r="D1" s="38" t="s">
        <v>1009</v>
      </c>
      <c r="E1" s="39"/>
      <c r="F1" s="40" t="s">
        <v>1019</v>
      </c>
      <c r="G1" s="40" t="s">
        <v>1020</v>
      </c>
      <c r="H1" s="40" t="s">
        <v>1049</v>
      </c>
      <c r="I1" s="40" t="s">
        <v>1050</v>
      </c>
      <c r="J1" s="40" t="s">
        <v>1051</v>
      </c>
      <c r="K1" s="40" t="s">
        <v>1052</v>
      </c>
      <c r="L1" s="41" t="s">
        <v>1053</v>
      </c>
      <c r="M1" s="41" t="s">
        <v>1054</v>
      </c>
      <c r="N1" s="40" t="s">
        <v>1055</v>
      </c>
    </row>
    <row r="2" spans="1:14" x14ac:dyDescent="0.25">
      <c r="A2" s="39">
        <f>C2</f>
        <v>9993325021</v>
      </c>
      <c r="B2" s="42">
        <f>H2</f>
        <v>2</v>
      </c>
      <c r="C2" s="42">
        <f>I2</f>
        <v>9993325021</v>
      </c>
      <c r="D2" s="43" t="str">
        <f>J2</f>
        <v>Ronak karwa</v>
      </c>
      <c r="E2" s="39">
        <f>VLOOKUP(A2,DataPublished!C:C,1,FALSE)</f>
        <v>9993325021</v>
      </c>
      <c r="F2" s="44">
        <v>45939.432083333333</v>
      </c>
      <c r="G2" s="43" t="s">
        <v>1056</v>
      </c>
      <c r="H2" s="42">
        <v>2</v>
      </c>
      <c r="I2" s="42">
        <v>9993325021</v>
      </c>
      <c r="J2" s="43" t="s">
        <v>1005</v>
      </c>
      <c r="K2" s="43" t="s">
        <v>1057</v>
      </c>
      <c r="L2" s="42">
        <v>528265775027</v>
      </c>
      <c r="M2" s="45"/>
      <c r="N2" s="43" t="s">
        <v>1058</v>
      </c>
    </row>
    <row r="3" spans="1:14" ht="25.5" x14ac:dyDescent="0.25">
      <c r="A3" s="39">
        <f t="shared" ref="A3:A20" si="0">C3</f>
        <v>9833705425</v>
      </c>
      <c r="B3" s="42">
        <f t="shared" ref="B3:B20" si="1">H3</f>
        <v>4</v>
      </c>
      <c r="C3" s="42">
        <f t="shared" ref="C3:C20" si="2">I3</f>
        <v>9833705425</v>
      </c>
      <c r="D3" s="43" t="str">
        <f t="shared" ref="D3:D20" si="3">J3</f>
        <v>Ramesh Mundhra</v>
      </c>
      <c r="E3" s="39">
        <f>VLOOKUP(A3,DataPublished!C:C,1,FALSE)</f>
        <v>9833705425</v>
      </c>
      <c r="F3" s="46">
        <v>45941.588043981479</v>
      </c>
      <c r="G3" s="47" t="s">
        <v>1059</v>
      </c>
      <c r="H3" s="48">
        <v>4</v>
      </c>
      <c r="I3" s="48">
        <v>9833705425</v>
      </c>
      <c r="J3" s="47" t="s">
        <v>1006</v>
      </c>
      <c r="K3" s="47" t="s">
        <v>1057</v>
      </c>
      <c r="L3" s="48">
        <v>112486806258</v>
      </c>
      <c r="M3" s="49"/>
      <c r="N3" s="47" t="s">
        <v>1060</v>
      </c>
    </row>
    <row r="4" spans="1:14" x14ac:dyDescent="0.25">
      <c r="A4" s="39">
        <f t="shared" si="0"/>
        <v>9820522401</v>
      </c>
      <c r="B4" s="42">
        <f t="shared" si="1"/>
        <v>5</v>
      </c>
      <c r="C4" s="42">
        <f t="shared" si="2"/>
        <v>9820522401</v>
      </c>
      <c r="D4" s="43" t="str">
        <f t="shared" si="3"/>
        <v>Radheshyam Lahoti</v>
      </c>
      <c r="E4" s="39">
        <f>VLOOKUP(A4,DataPublished!C:C,1,FALSE)</f>
        <v>9820522401</v>
      </c>
      <c r="F4" s="44">
        <v>45944.770532407405</v>
      </c>
      <c r="G4" s="43" t="s">
        <v>1061</v>
      </c>
      <c r="H4" s="42">
        <v>5</v>
      </c>
      <c r="I4" s="42">
        <v>9820522401</v>
      </c>
      <c r="J4" s="43" t="s">
        <v>1062</v>
      </c>
      <c r="K4" s="43" t="s">
        <v>1057</v>
      </c>
      <c r="L4" s="42">
        <v>54634</v>
      </c>
      <c r="M4" s="45"/>
      <c r="N4" s="43" t="s">
        <v>1063</v>
      </c>
    </row>
    <row r="5" spans="1:14" x14ac:dyDescent="0.25">
      <c r="A5" s="39">
        <f t="shared" si="0"/>
        <v>9987207838</v>
      </c>
      <c r="B5" s="42">
        <f t="shared" si="1"/>
        <v>2</v>
      </c>
      <c r="C5" s="42">
        <f t="shared" si="2"/>
        <v>9987207838</v>
      </c>
      <c r="D5" s="43" t="str">
        <f t="shared" si="3"/>
        <v>Sarla Toshniwal</v>
      </c>
      <c r="E5" s="39" t="e">
        <f>VLOOKUP(A5,DataPublished!C:C,1,FALSE)</f>
        <v>#N/A</v>
      </c>
      <c r="F5" s="46">
        <v>45948.643993055557</v>
      </c>
      <c r="G5" s="47" t="s">
        <v>1064</v>
      </c>
      <c r="H5" s="48">
        <v>2</v>
      </c>
      <c r="I5" s="48">
        <v>9987207838</v>
      </c>
      <c r="J5" s="47" t="s">
        <v>1065</v>
      </c>
      <c r="K5" s="47" t="s">
        <v>1057</v>
      </c>
      <c r="L5" s="48">
        <v>81820</v>
      </c>
      <c r="M5" s="49"/>
      <c r="N5" s="47" t="s">
        <v>1066</v>
      </c>
    </row>
    <row r="6" spans="1:14" x14ac:dyDescent="0.25">
      <c r="A6" s="39">
        <f t="shared" si="0"/>
        <v>9867711122</v>
      </c>
      <c r="B6" s="42">
        <f t="shared" si="1"/>
        <v>3</v>
      </c>
      <c r="C6" s="42">
        <f t="shared" si="2"/>
        <v>9867711122</v>
      </c>
      <c r="D6" s="43" t="str">
        <f t="shared" si="3"/>
        <v>Ravi Soni</v>
      </c>
      <c r="E6" s="39">
        <f>VLOOKUP(A6,DataPublished!C:C,1,FALSE)</f>
        <v>9867711122</v>
      </c>
      <c r="F6" s="44">
        <v>45949.444432870368</v>
      </c>
      <c r="G6" s="43" t="s">
        <v>1067</v>
      </c>
      <c r="H6" s="42">
        <v>3</v>
      </c>
      <c r="I6" s="42">
        <v>9867711122</v>
      </c>
      <c r="J6" s="43" t="s">
        <v>1068</v>
      </c>
      <c r="K6" s="43" t="s">
        <v>1057</v>
      </c>
      <c r="L6" s="42">
        <v>81103</v>
      </c>
      <c r="M6" s="45"/>
      <c r="N6" s="43" t="s">
        <v>1069</v>
      </c>
    </row>
    <row r="7" spans="1:14" x14ac:dyDescent="0.25">
      <c r="A7" s="39">
        <f t="shared" si="0"/>
        <v>9920307573</v>
      </c>
      <c r="B7" s="42">
        <f t="shared" si="1"/>
        <v>4</v>
      </c>
      <c r="C7" s="42">
        <f t="shared" si="2"/>
        <v>9920307573</v>
      </c>
      <c r="D7" s="43" t="str">
        <f t="shared" si="3"/>
        <v>Mayur Dilip Biyani</v>
      </c>
      <c r="E7" s="39">
        <f>VLOOKUP(A7,DataPublished!C:C,1,FALSE)</f>
        <v>9920307573</v>
      </c>
      <c r="F7" s="46">
        <v>45951.820532407408</v>
      </c>
      <c r="G7" s="47" t="s">
        <v>1070</v>
      </c>
      <c r="H7" s="48">
        <v>4</v>
      </c>
      <c r="I7" s="48">
        <v>9920307573</v>
      </c>
      <c r="J7" s="47" t="s">
        <v>594</v>
      </c>
      <c r="K7" s="47" t="s">
        <v>1057</v>
      </c>
      <c r="L7" s="47">
        <v>1991</v>
      </c>
      <c r="M7" s="49"/>
      <c r="N7" s="47" t="s">
        <v>1071</v>
      </c>
    </row>
    <row r="8" spans="1:14" x14ac:dyDescent="0.25">
      <c r="A8" s="39">
        <f t="shared" si="0"/>
        <v>9322206108</v>
      </c>
      <c r="B8" s="42">
        <f t="shared" si="1"/>
        <v>5</v>
      </c>
      <c r="C8" s="42">
        <f t="shared" si="2"/>
        <v>9322206108</v>
      </c>
      <c r="D8" s="43" t="str">
        <f t="shared" si="3"/>
        <v>Purushottam Kalantri</v>
      </c>
      <c r="E8" s="39">
        <f>VLOOKUP(A8,DataPublished!C:C,1,FALSE)</f>
        <v>9322206108</v>
      </c>
      <c r="F8" s="44">
        <v>45957.750231481485</v>
      </c>
      <c r="G8" s="43" t="s">
        <v>1072</v>
      </c>
      <c r="H8" s="42">
        <v>5</v>
      </c>
      <c r="I8" s="42">
        <v>9322206108</v>
      </c>
      <c r="J8" s="43" t="s">
        <v>1073</v>
      </c>
      <c r="K8" s="43" t="s">
        <v>1057</v>
      </c>
      <c r="L8" s="43">
        <v>6381</v>
      </c>
      <c r="M8" s="45"/>
      <c r="N8" s="43" t="s">
        <v>1074</v>
      </c>
    </row>
    <row r="9" spans="1:14" x14ac:dyDescent="0.25">
      <c r="A9" s="39">
        <f t="shared" si="0"/>
        <v>9004928430</v>
      </c>
      <c r="B9" s="42">
        <f t="shared" si="1"/>
        <v>1</v>
      </c>
      <c r="C9" s="42">
        <f t="shared" si="2"/>
        <v>9004928430</v>
      </c>
      <c r="D9" s="43" t="str">
        <f t="shared" si="3"/>
        <v>Naresh Dhoot</v>
      </c>
      <c r="E9" s="39">
        <f>VLOOKUP(A9,DataPublished!C:C,1,FALSE)</f>
        <v>9004928430</v>
      </c>
      <c r="F9" s="46">
        <v>45957.952326388891</v>
      </c>
      <c r="G9" s="47" t="s">
        <v>1075</v>
      </c>
      <c r="H9" s="48">
        <v>1</v>
      </c>
      <c r="I9" s="48">
        <v>9004928430</v>
      </c>
      <c r="J9" s="47" t="s">
        <v>1076</v>
      </c>
      <c r="K9" s="47" t="s">
        <v>1057</v>
      </c>
      <c r="L9" s="48">
        <v>77239</v>
      </c>
      <c r="M9" s="49"/>
      <c r="N9" s="47" t="s">
        <v>1077</v>
      </c>
    </row>
    <row r="10" spans="1:14" x14ac:dyDescent="0.25">
      <c r="A10" s="39">
        <f t="shared" si="0"/>
        <v>9967031830</v>
      </c>
      <c r="B10" s="42">
        <f t="shared" si="1"/>
        <v>3</v>
      </c>
      <c r="C10" s="42">
        <f t="shared" si="2"/>
        <v>9967031830</v>
      </c>
      <c r="D10" s="43" t="str">
        <f t="shared" si="3"/>
        <v>Rinku Rajgopal Kabra</v>
      </c>
      <c r="E10" s="39">
        <f>VLOOKUP(A10,DataPublished!C:C,1,FALSE)</f>
        <v>9967031830</v>
      </c>
      <c r="F10" s="44">
        <v>45958.401388888888</v>
      </c>
      <c r="G10" s="43" t="s">
        <v>1078</v>
      </c>
      <c r="H10" s="42">
        <v>3</v>
      </c>
      <c r="I10" s="42">
        <v>9967031830</v>
      </c>
      <c r="J10" s="43" t="s">
        <v>846</v>
      </c>
      <c r="K10" s="43" t="s">
        <v>1057</v>
      </c>
      <c r="L10" s="42">
        <v>93461</v>
      </c>
      <c r="M10" s="45"/>
      <c r="N10" s="43" t="s">
        <v>1079</v>
      </c>
    </row>
    <row r="11" spans="1:14" x14ac:dyDescent="0.25">
      <c r="A11" s="39">
        <f t="shared" si="0"/>
        <v>9820001618</v>
      </c>
      <c r="B11" s="42">
        <f t="shared" si="1"/>
        <v>8</v>
      </c>
      <c r="C11" s="42">
        <f t="shared" si="2"/>
        <v>9820001618</v>
      </c>
      <c r="D11" s="43" t="str">
        <f t="shared" si="3"/>
        <v>Ramavtar Gaggar</v>
      </c>
      <c r="E11" s="39">
        <f>VLOOKUP(A11,DataPublished!C:C,1,FALSE)</f>
        <v>9820001618</v>
      </c>
      <c r="F11" s="46">
        <v>45958.442395833335</v>
      </c>
      <c r="G11" s="47" t="s">
        <v>1080</v>
      </c>
      <c r="H11" s="48">
        <v>8</v>
      </c>
      <c r="I11" s="48">
        <v>9820001618</v>
      </c>
      <c r="J11" s="47" t="s">
        <v>1081</v>
      </c>
      <c r="K11" s="47" t="s">
        <v>1057</v>
      </c>
      <c r="L11" s="47">
        <v>8791</v>
      </c>
      <c r="M11" s="49"/>
      <c r="N11" s="47" t="s">
        <v>1082</v>
      </c>
    </row>
    <row r="12" spans="1:14" x14ac:dyDescent="0.25">
      <c r="A12" s="39">
        <f t="shared" si="0"/>
        <v>9975708960</v>
      </c>
      <c r="B12" s="42">
        <f t="shared" si="1"/>
        <v>3</v>
      </c>
      <c r="C12" s="42">
        <f t="shared" si="2"/>
        <v>9975708960</v>
      </c>
      <c r="D12" s="43" t="str">
        <f t="shared" si="3"/>
        <v>Priyanka singhi</v>
      </c>
      <c r="E12" s="39" t="e">
        <f>VLOOKUP(A12,DataPublished!C:C,1,FALSE)</f>
        <v>#N/A</v>
      </c>
      <c r="F12" s="44">
        <v>45958.46539351852</v>
      </c>
      <c r="G12" s="43" t="s">
        <v>1083</v>
      </c>
      <c r="H12" s="42">
        <v>3</v>
      </c>
      <c r="I12" s="42">
        <v>9975708960</v>
      </c>
      <c r="J12" s="43" t="s">
        <v>1084</v>
      </c>
      <c r="K12" s="43" t="s">
        <v>1057</v>
      </c>
      <c r="L12" s="42">
        <v>80153</v>
      </c>
      <c r="M12" s="45"/>
      <c r="N12" s="43" t="s">
        <v>1085</v>
      </c>
    </row>
    <row r="13" spans="1:14" x14ac:dyDescent="0.25">
      <c r="A13" s="39">
        <f t="shared" si="0"/>
        <v>9964005943</v>
      </c>
      <c r="B13" s="42">
        <f t="shared" si="1"/>
        <v>2</v>
      </c>
      <c r="C13" s="42">
        <f t="shared" si="2"/>
        <v>9964005943</v>
      </c>
      <c r="D13" s="43" t="str">
        <f t="shared" si="3"/>
        <v>Rohit Zanwar</v>
      </c>
      <c r="E13" s="39">
        <f>VLOOKUP(A13,DataPublished!C:C,1,FALSE)</f>
        <v>9964005943</v>
      </c>
      <c r="F13" s="46">
        <v>45958.681909722225</v>
      </c>
      <c r="G13" s="47" t="s">
        <v>1086</v>
      </c>
      <c r="H13" s="48">
        <v>2</v>
      </c>
      <c r="I13" s="48">
        <v>9964005943</v>
      </c>
      <c r="J13" s="47" t="s">
        <v>1087</v>
      </c>
      <c r="K13" s="47" t="s">
        <v>1057</v>
      </c>
      <c r="L13" s="48">
        <v>71985</v>
      </c>
      <c r="M13" s="49"/>
      <c r="N13" s="47" t="s">
        <v>1088</v>
      </c>
    </row>
    <row r="14" spans="1:14" x14ac:dyDescent="0.25">
      <c r="A14" s="39">
        <f t="shared" si="0"/>
        <v>9821116827</v>
      </c>
      <c r="B14" s="42">
        <f t="shared" si="1"/>
        <v>2</v>
      </c>
      <c r="C14" s="42">
        <f t="shared" si="2"/>
        <v>9821116827</v>
      </c>
      <c r="D14" s="43" t="str">
        <f t="shared" si="3"/>
        <v>PUSHKAR SOHANLAL MANTRI</v>
      </c>
      <c r="E14" s="39">
        <f>VLOOKUP(A14,DataPublished!C:C,1,FALSE)</f>
        <v>9821116827</v>
      </c>
      <c r="F14" s="44">
        <v>45958.789386574077</v>
      </c>
      <c r="G14" s="43" t="s">
        <v>1089</v>
      </c>
      <c r="H14" s="42">
        <v>2</v>
      </c>
      <c r="I14" s="42">
        <v>9821116827</v>
      </c>
      <c r="J14" s="43" t="s">
        <v>1090</v>
      </c>
      <c r="K14" s="43" t="s">
        <v>1057</v>
      </c>
      <c r="L14" s="42">
        <v>20083</v>
      </c>
      <c r="M14" s="45"/>
      <c r="N14" s="43" t="s">
        <v>1091</v>
      </c>
    </row>
    <row r="15" spans="1:14" x14ac:dyDescent="0.25">
      <c r="A15" s="39">
        <f t="shared" si="0"/>
        <v>9820252108</v>
      </c>
      <c r="B15" s="42">
        <f t="shared" si="1"/>
        <v>2</v>
      </c>
      <c r="C15" s="42">
        <f t="shared" si="2"/>
        <v>9820252108</v>
      </c>
      <c r="D15" s="43" t="str">
        <f t="shared" si="3"/>
        <v>Mahesh Lohia</v>
      </c>
      <c r="E15" s="39" t="e">
        <f>VLOOKUP(A15,DataPublished!C:C,1,FALSE)</f>
        <v>#N/A</v>
      </c>
      <c r="F15" s="46">
        <v>45958.829386574071</v>
      </c>
      <c r="G15" s="47" t="s">
        <v>1092</v>
      </c>
      <c r="H15" s="48">
        <v>2</v>
      </c>
      <c r="I15" s="48">
        <v>9820252108</v>
      </c>
      <c r="J15" s="47" t="s">
        <v>1093</v>
      </c>
      <c r="K15" s="47" t="s">
        <v>1057</v>
      </c>
      <c r="L15" s="48">
        <v>29665</v>
      </c>
      <c r="M15" s="49"/>
      <c r="N15" s="47" t="s">
        <v>1094</v>
      </c>
    </row>
    <row r="16" spans="1:14" x14ac:dyDescent="0.25">
      <c r="A16" s="39">
        <f t="shared" si="0"/>
        <v>9702224535</v>
      </c>
      <c r="B16" s="42">
        <f t="shared" si="1"/>
        <v>3</v>
      </c>
      <c r="C16" s="42">
        <f t="shared" si="2"/>
        <v>9702224535</v>
      </c>
      <c r="D16" s="43" t="str">
        <f t="shared" si="3"/>
        <v>Hemant Bahedia</v>
      </c>
      <c r="E16" s="39">
        <f>VLOOKUP(A16,DataPublished!C:C,1,FALSE)</f>
        <v>9702224535</v>
      </c>
      <c r="F16" s="44">
        <v>45958.870798611111</v>
      </c>
      <c r="G16" s="43" t="s">
        <v>1095</v>
      </c>
      <c r="H16" s="42">
        <v>3</v>
      </c>
      <c r="I16" s="42">
        <v>9702224535</v>
      </c>
      <c r="J16" s="43" t="s">
        <v>1096</v>
      </c>
      <c r="K16" s="43" t="s">
        <v>1057</v>
      </c>
      <c r="L16" s="42">
        <v>21640</v>
      </c>
      <c r="M16" s="45"/>
      <c r="N16" s="43" t="s">
        <v>1097</v>
      </c>
    </row>
    <row r="17" spans="1:14" x14ac:dyDescent="0.25">
      <c r="A17" s="39">
        <f t="shared" si="0"/>
        <v>9967772280</v>
      </c>
      <c r="B17" s="42">
        <f t="shared" si="1"/>
        <v>2</v>
      </c>
      <c r="C17" s="42">
        <f t="shared" si="2"/>
        <v>9967772280</v>
      </c>
      <c r="D17" s="43" t="str">
        <f t="shared" si="3"/>
        <v>Anuradha Laddha</v>
      </c>
      <c r="E17" s="39">
        <f>VLOOKUP(A17,DataPublished!C:C,1,FALSE)</f>
        <v>9967772280</v>
      </c>
      <c r="F17" s="46">
        <v>45959.010682870372</v>
      </c>
      <c r="G17" s="47" t="s">
        <v>1098</v>
      </c>
      <c r="H17" s="48">
        <v>2</v>
      </c>
      <c r="I17" s="48">
        <v>9967772280</v>
      </c>
      <c r="J17" s="47" t="s">
        <v>1099</v>
      </c>
      <c r="K17" s="47" t="s">
        <v>1057</v>
      </c>
      <c r="L17" s="48">
        <v>28641</v>
      </c>
      <c r="M17" s="49"/>
      <c r="N17" s="47" t="s">
        <v>1100</v>
      </c>
    </row>
    <row r="18" spans="1:14" x14ac:dyDescent="0.25">
      <c r="A18" s="39">
        <f t="shared" si="0"/>
        <v>9987596931</v>
      </c>
      <c r="B18" s="42">
        <f t="shared" si="1"/>
        <v>2</v>
      </c>
      <c r="C18" s="42">
        <f t="shared" si="2"/>
        <v>9987596931</v>
      </c>
      <c r="D18" s="43" t="str">
        <f t="shared" si="3"/>
        <v>Anju Maheshwari</v>
      </c>
      <c r="E18" s="39" t="e">
        <f>VLOOKUP(A18,DataPublished!C:C,1,FALSE)</f>
        <v>#N/A</v>
      </c>
      <c r="F18" s="44">
        <v>45959.295590277776</v>
      </c>
      <c r="G18" s="43" t="s">
        <v>1101</v>
      </c>
      <c r="H18" s="42">
        <v>2</v>
      </c>
      <c r="I18" s="42">
        <v>9987596931</v>
      </c>
      <c r="J18" s="43" t="s">
        <v>1102</v>
      </c>
      <c r="K18" s="43" t="s">
        <v>1057</v>
      </c>
      <c r="L18" s="42">
        <v>28470</v>
      </c>
      <c r="M18" s="45"/>
      <c r="N18" s="43" t="s">
        <v>1103</v>
      </c>
    </row>
    <row r="19" spans="1:14" x14ac:dyDescent="0.25">
      <c r="A19" s="39">
        <f t="shared" si="0"/>
        <v>9323589700</v>
      </c>
      <c r="B19" s="42">
        <f t="shared" si="1"/>
        <v>1</v>
      </c>
      <c r="C19" s="42">
        <f t="shared" si="2"/>
        <v>9323589700</v>
      </c>
      <c r="D19" s="43" t="str">
        <f t="shared" si="3"/>
        <v>Pankaj rathi</v>
      </c>
      <c r="E19" s="39">
        <f>VLOOKUP(A19,DataPublished!C:C,1,FALSE)</f>
        <v>9323589700</v>
      </c>
      <c r="F19" s="46">
        <v>45959.338159722225</v>
      </c>
      <c r="G19" s="47" t="s">
        <v>1104</v>
      </c>
      <c r="H19" s="48">
        <v>1</v>
      </c>
      <c r="I19" s="48">
        <v>9323589700</v>
      </c>
      <c r="J19" s="47" t="s">
        <v>1105</v>
      </c>
      <c r="K19" s="47" t="s">
        <v>1057</v>
      </c>
      <c r="L19" s="48">
        <v>17577</v>
      </c>
      <c r="M19" s="49"/>
      <c r="N19" s="47" t="s">
        <v>1106</v>
      </c>
    </row>
    <row r="20" spans="1:14" ht="15.75" thickBot="1" x14ac:dyDescent="0.3">
      <c r="A20" s="39">
        <f t="shared" si="0"/>
        <v>9833922453</v>
      </c>
      <c r="B20" s="42">
        <f t="shared" si="1"/>
        <v>6</v>
      </c>
      <c r="C20" s="42">
        <f t="shared" si="2"/>
        <v>9833922453</v>
      </c>
      <c r="D20" s="43" t="str">
        <f t="shared" si="3"/>
        <v>Pallavi Kasat</v>
      </c>
      <c r="E20" s="39" t="e">
        <f>VLOOKUP(A20,DataPublished!C:C,1,FALSE)</f>
        <v>#N/A</v>
      </c>
      <c r="F20" s="44">
        <v>45959.375057870369</v>
      </c>
      <c r="G20" s="43" t="s">
        <v>1107</v>
      </c>
      <c r="H20" s="42">
        <v>6</v>
      </c>
      <c r="I20" s="42">
        <v>9833922453</v>
      </c>
      <c r="J20" s="43" t="s">
        <v>1108</v>
      </c>
      <c r="K20" s="43" t="s">
        <v>1057</v>
      </c>
      <c r="L20" s="42">
        <v>16427</v>
      </c>
      <c r="M20" s="45"/>
      <c r="N20" s="43" t="s">
        <v>1109</v>
      </c>
    </row>
    <row r="21" spans="1:14" ht="26.25" thickBot="1" x14ac:dyDescent="0.3">
      <c r="A21" s="39">
        <f t="shared" ref="A21:A54" si="4">C21</f>
        <v>9002826174</v>
      </c>
      <c r="B21" s="42">
        <f t="shared" ref="B21:B54" si="5">H21</f>
        <v>2</v>
      </c>
      <c r="C21" s="42">
        <f t="shared" ref="C21:C54" si="6">I21</f>
        <v>9002826174</v>
      </c>
      <c r="D21" s="43" t="str">
        <f t="shared" ref="D21:D54" si="7">J21</f>
        <v>Nidhi taparia</v>
      </c>
      <c r="E21" s="39" t="e">
        <f>VLOOKUP(A21,DataPublished!C:C,1,FALSE)</f>
        <v>#N/A</v>
      </c>
      <c r="F21" s="50" t="s">
        <v>1128</v>
      </c>
      <c r="G21" s="5" t="s">
        <v>1129</v>
      </c>
      <c r="H21" s="3">
        <v>2</v>
      </c>
      <c r="I21" s="3">
        <v>9002826174</v>
      </c>
      <c r="J21" s="58" t="s">
        <v>1173</v>
      </c>
      <c r="K21" s="58" t="s">
        <v>1057</v>
      </c>
      <c r="L21" s="62">
        <v>16878</v>
      </c>
    </row>
    <row r="22" spans="1:14" ht="26.25" thickBot="1" x14ac:dyDescent="0.3">
      <c r="A22" s="39">
        <f t="shared" si="4"/>
        <v>9819146316</v>
      </c>
      <c r="B22" s="42">
        <f t="shared" si="5"/>
        <v>4</v>
      </c>
      <c r="C22" s="42">
        <f t="shared" si="6"/>
        <v>9819146316</v>
      </c>
      <c r="D22" s="43" t="str">
        <f t="shared" si="7"/>
        <v>Vishnu Toshniwal</v>
      </c>
      <c r="E22" s="39">
        <f>VLOOKUP(A22,DataPublished!C:C,1,FALSE)</f>
        <v>9819146316</v>
      </c>
      <c r="F22" s="51" t="s">
        <v>1130</v>
      </c>
      <c r="G22" s="6" t="s">
        <v>1131</v>
      </c>
      <c r="H22" s="55">
        <v>4</v>
      </c>
      <c r="I22" s="55">
        <v>9819146316</v>
      </c>
      <c r="J22" s="59" t="s">
        <v>1174</v>
      </c>
      <c r="K22" s="59" t="s">
        <v>1057</v>
      </c>
      <c r="L22" s="63">
        <v>69118</v>
      </c>
    </row>
    <row r="23" spans="1:14" ht="26.25" thickBot="1" x14ac:dyDescent="0.3">
      <c r="A23" s="39">
        <f t="shared" si="4"/>
        <v>7506460775</v>
      </c>
      <c r="B23" s="42">
        <f t="shared" si="5"/>
        <v>2</v>
      </c>
      <c r="C23" s="42">
        <f t="shared" si="6"/>
        <v>7506460775</v>
      </c>
      <c r="D23" s="43" t="str">
        <f t="shared" si="7"/>
        <v>Raunak Rathi</v>
      </c>
      <c r="E23" s="39" t="e">
        <f>VLOOKUP(A23,DataPublished!C:C,1,FALSE)</f>
        <v>#N/A</v>
      </c>
      <c r="F23" s="52" t="s">
        <v>1132</v>
      </c>
      <c r="G23" s="1" t="s">
        <v>1133</v>
      </c>
      <c r="H23" s="56">
        <v>2</v>
      </c>
      <c r="I23" s="56">
        <v>7506460775</v>
      </c>
      <c r="J23" s="60" t="s">
        <v>1175</v>
      </c>
      <c r="K23" s="60" t="s">
        <v>1057</v>
      </c>
      <c r="L23" s="64">
        <v>40851</v>
      </c>
    </row>
    <row r="24" spans="1:14" ht="26.25" thickBot="1" x14ac:dyDescent="0.3">
      <c r="A24" s="39">
        <f t="shared" si="4"/>
        <v>9920485387</v>
      </c>
      <c r="B24" s="42">
        <f t="shared" si="5"/>
        <v>3</v>
      </c>
      <c r="C24" s="42">
        <f t="shared" si="6"/>
        <v>9920485387</v>
      </c>
      <c r="D24" s="43" t="str">
        <f t="shared" si="7"/>
        <v>Dinesh Hari Kabra</v>
      </c>
      <c r="E24" s="39">
        <f>VLOOKUP(A24,DataPublished!C:C,1,FALSE)</f>
        <v>9920485387</v>
      </c>
      <c r="F24" s="51" t="s">
        <v>1134</v>
      </c>
      <c r="G24" s="6" t="s">
        <v>1135</v>
      </c>
      <c r="H24" s="55">
        <v>3</v>
      </c>
      <c r="I24" s="55">
        <v>9920485387</v>
      </c>
      <c r="J24" s="59" t="s">
        <v>1176</v>
      </c>
      <c r="K24" s="59" t="s">
        <v>1057</v>
      </c>
      <c r="L24" s="63">
        <v>42270</v>
      </c>
    </row>
    <row r="25" spans="1:14" ht="26.25" thickBot="1" x14ac:dyDescent="0.3">
      <c r="A25" s="39">
        <f t="shared" si="4"/>
        <v>9820747070</v>
      </c>
      <c r="B25" s="42">
        <f t="shared" si="5"/>
        <v>3</v>
      </c>
      <c r="C25" s="42">
        <f t="shared" si="6"/>
        <v>9820747070</v>
      </c>
      <c r="D25" s="43" t="str">
        <f t="shared" si="7"/>
        <v>Santosh Dhoot</v>
      </c>
      <c r="E25" s="39">
        <f>VLOOKUP(A25,DataPublished!C:C,1,FALSE)</f>
        <v>9820747070</v>
      </c>
      <c r="F25" s="52" t="s">
        <v>1136</v>
      </c>
      <c r="G25" s="1" t="s">
        <v>1137</v>
      </c>
      <c r="H25" s="56">
        <v>3</v>
      </c>
      <c r="I25" s="56">
        <v>9820747070</v>
      </c>
      <c r="J25" s="60" t="s">
        <v>1177</v>
      </c>
      <c r="K25" s="60" t="s">
        <v>1057</v>
      </c>
      <c r="L25" s="64">
        <v>72805</v>
      </c>
    </row>
    <row r="26" spans="1:14" ht="26.25" thickBot="1" x14ac:dyDescent="0.3">
      <c r="A26" s="39">
        <f t="shared" si="4"/>
        <v>7387113012</v>
      </c>
      <c r="B26" s="42">
        <f t="shared" si="5"/>
        <v>2</v>
      </c>
      <c r="C26" s="42">
        <f t="shared" si="6"/>
        <v>7387113012</v>
      </c>
      <c r="D26" s="43" t="str">
        <f t="shared" si="7"/>
        <v>Rupesh Somani</v>
      </c>
      <c r="E26" s="39">
        <f>VLOOKUP(A26,DataPublished!C:C,1,FALSE)</f>
        <v>7387113012</v>
      </c>
      <c r="F26" s="51" t="s">
        <v>1138</v>
      </c>
      <c r="G26" s="6" t="s">
        <v>1139</v>
      </c>
      <c r="H26" s="55">
        <v>2</v>
      </c>
      <c r="I26" s="55">
        <v>7387113012</v>
      </c>
      <c r="J26" s="59" t="s">
        <v>1178</v>
      </c>
      <c r="K26" s="59" t="s">
        <v>1057</v>
      </c>
      <c r="L26" s="63">
        <v>70086</v>
      </c>
    </row>
    <row r="27" spans="1:14" ht="26.25" thickBot="1" x14ac:dyDescent="0.3">
      <c r="A27" s="39">
        <f t="shared" si="4"/>
        <v>9987715825</v>
      </c>
      <c r="B27" s="42">
        <f t="shared" si="5"/>
        <v>4</v>
      </c>
      <c r="C27" s="42">
        <f t="shared" si="6"/>
        <v>9987715825</v>
      </c>
      <c r="D27" s="43" t="str">
        <f t="shared" si="7"/>
        <v>Yash Malani</v>
      </c>
      <c r="E27" s="39" t="e">
        <f>VLOOKUP(A27,DataPublished!C:C,1,FALSE)</f>
        <v>#N/A</v>
      </c>
      <c r="F27" s="52" t="s">
        <v>1140</v>
      </c>
      <c r="G27" s="1" t="s">
        <v>1141</v>
      </c>
      <c r="H27" s="56">
        <v>4</v>
      </c>
      <c r="I27" s="56">
        <v>9987715825</v>
      </c>
      <c r="J27" s="60" t="s">
        <v>1179</v>
      </c>
      <c r="K27" s="60" t="s">
        <v>1057</v>
      </c>
      <c r="L27" s="64">
        <v>10477</v>
      </c>
    </row>
    <row r="28" spans="1:14" ht="26.25" thickBot="1" x14ac:dyDescent="0.3">
      <c r="A28" s="39">
        <f t="shared" si="4"/>
        <v>9323192651</v>
      </c>
      <c r="B28" s="42">
        <f t="shared" si="5"/>
        <v>1</v>
      </c>
      <c r="C28" s="42">
        <f t="shared" si="6"/>
        <v>9323192651</v>
      </c>
      <c r="D28" s="43" t="str">
        <f t="shared" si="7"/>
        <v>Nilesh Tawari</v>
      </c>
      <c r="E28" s="39">
        <f>VLOOKUP(A28,DataPublished!C:C,1,FALSE)</f>
        <v>9323192651</v>
      </c>
      <c r="F28" s="51" t="s">
        <v>1142</v>
      </c>
      <c r="G28" s="6" t="s">
        <v>1143</v>
      </c>
      <c r="H28" s="55">
        <v>1</v>
      </c>
      <c r="I28" s="55">
        <v>9323192651</v>
      </c>
      <c r="J28" s="59" t="s">
        <v>1180</v>
      </c>
      <c r="K28" s="59" t="s">
        <v>1057</v>
      </c>
      <c r="L28" s="63">
        <v>15925</v>
      </c>
    </row>
    <row r="29" spans="1:14" ht="26.25" thickBot="1" x14ac:dyDescent="0.3">
      <c r="A29" s="39">
        <f t="shared" si="4"/>
        <v>9529611813</v>
      </c>
      <c r="B29" s="42">
        <f t="shared" si="5"/>
        <v>4</v>
      </c>
      <c r="C29" s="42">
        <f t="shared" si="6"/>
        <v>9529611813</v>
      </c>
      <c r="D29" s="43" t="str">
        <f t="shared" si="7"/>
        <v>Abhishek Rathi</v>
      </c>
      <c r="E29" s="39">
        <f>VLOOKUP(A29,DataPublished!C:C,1,FALSE)</f>
        <v>9529611813</v>
      </c>
      <c r="F29" s="52" t="s">
        <v>1144</v>
      </c>
      <c r="G29" s="1" t="s">
        <v>1145</v>
      </c>
      <c r="H29" s="56">
        <v>4</v>
      </c>
      <c r="I29" s="56">
        <v>9529611813</v>
      </c>
      <c r="J29" s="60" t="s">
        <v>1181</v>
      </c>
      <c r="K29" s="60" t="s">
        <v>1057</v>
      </c>
      <c r="L29" s="64">
        <v>90705</v>
      </c>
    </row>
    <row r="30" spans="1:14" ht="26.25" thickBot="1" x14ac:dyDescent="0.3">
      <c r="A30" s="39">
        <f t="shared" si="4"/>
        <v>9833451953</v>
      </c>
      <c r="B30" s="42">
        <f t="shared" si="5"/>
        <v>6</v>
      </c>
      <c r="C30" s="42">
        <f t="shared" si="6"/>
        <v>9833451953</v>
      </c>
      <c r="D30" s="43" t="str">
        <f t="shared" si="7"/>
        <v>Khushbu bhala</v>
      </c>
      <c r="E30" s="39" t="e">
        <f>VLOOKUP(A30,DataPublished!C:C,1,FALSE)</f>
        <v>#N/A</v>
      </c>
      <c r="F30" s="51" t="s">
        <v>1146</v>
      </c>
      <c r="G30" s="6" t="s">
        <v>1147</v>
      </c>
      <c r="H30" s="55">
        <v>6</v>
      </c>
      <c r="I30" s="55">
        <v>9833451953</v>
      </c>
      <c r="J30" s="59" t="s">
        <v>1182</v>
      </c>
      <c r="K30" s="59" t="s">
        <v>1057</v>
      </c>
      <c r="L30" s="63">
        <v>97389</v>
      </c>
    </row>
    <row r="31" spans="1:14" ht="26.25" thickBot="1" x14ac:dyDescent="0.3">
      <c r="A31" s="39">
        <f t="shared" si="4"/>
        <v>9004481082</v>
      </c>
      <c r="B31" s="42">
        <f t="shared" si="5"/>
        <v>3</v>
      </c>
      <c r="C31" s="42">
        <f t="shared" si="6"/>
        <v>9004481082</v>
      </c>
      <c r="D31" s="43" t="str">
        <f t="shared" si="7"/>
        <v>Ramanuj Dad</v>
      </c>
      <c r="E31" s="39">
        <f>VLOOKUP(A31,DataPublished!C:C,1,FALSE)</f>
        <v>9004481082</v>
      </c>
      <c r="F31" s="52" t="s">
        <v>1148</v>
      </c>
      <c r="G31" s="1" t="s">
        <v>1149</v>
      </c>
      <c r="H31" s="56">
        <v>3</v>
      </c>
      <c r="I31" s="56">
        <v>9004481082</v>
      </c>
      <c r="J31" s="60" t="s">
        <v>1183</v>
      </c>
      <c r="K31" s="60" t="s">
        <v>1057</v>
      </c>
      <c r="L31" s="64">
        <v>19968</v>
      </c>
    </row>
    <row r="32" spans="1:14" ht="15.75" thickBot="1" x14ac:dyDescent="0.3">
      <c r="A32" s="39">
        <f t="shared" si="4"/>
        <v>8383088008</v>
      </c>
      <c r="B32" s="42">
        <f t="shared" si="5"/>
        <v>3</v>
      </c>
      <c r="C32" s="42">
        <f t="shared" si="6"/>
        <v>8383088008</v>
      </c>
      <c r="D32" s="43" t="str">
        <f t="shared" si="7"/>
        <v>Sanwariya Somani</v>
      </c>
      <c r="E32" s="39">
        <f>VLOOKUP(A32,DataPublished!C:C,1,FALSE)</f>
        <v>8383088008</v>
      </c>
      <c r="F32" s="29">
        <v>45668.404317129629</v>
      </c>
      <c r="G32" s="6" t="s">
        <v>1150</v>
      </c>
      <c r="H32" s="55">
        <v>3</v>
      </c>
      <c r="I32" s="55">
        <v>8383088008</v>
      </c>
      <c r="J32" s="59" t="s">
        <v>1184</v>
      </c>
      <c r="K32" s="59" t="s">
        <v>1057</v>
      </c>
      <c r="L32" s="63">
        <v>36151</v>
      </c>
    </row>
    <row r="33" spans="1:12" ht="15.75" thickBot="1" x14ac:dyDescent="0.3">
      <c r="A33" s="39">
        <f t="shared" si="4"/>
        <v>9867621977</v>
      </c>
      <c r="B33" s="42">
        <f t="shared" si="5"/>
        <v>2</v>
      </c>
      <c r="C33" s="42">
        <f t="shared" si="6"/>
        <v>9867621977</v>
      </c>
      <c r="D33" s="43" t="str">
        <f t="shared" si="7"/>
        <v>Naresh Kabra</v>
      </c>
      <c r="E33" s="39">
        <f>VLOOKUP(A33,DataPublished!C:C,1,FALSE)</f>
        <v>9867621977</v>
      </c>
      <c r="F33" s="28">
        <v>45668.446643518517</v>
      </c>
      <c r="G33" s="1" t="s">
        <v>1151</v>
      </c>
      <c r="H33" s="56">
        <v>2</v>
      </c>
      <c r="I33" s="56">
        <v>9867621977</v>
      </c>
      <c r="J33" s="60" t="s">
        <v>1185</v>
      </c>
      <c r="K33" s="60" t="s">
        <v>1057</v>
      </c>
      <c r="L33" s="64">
        <v>90139</v>
      </c>
    </row>
    <row r="34" spans="1:12" ht="15.75" thickBot="1" x14ac:dyDescent="0.3">
      <c r="A34" s="39">
        <f t="shared" si="4"/>
        <v>9819364345</v>
      </c>
      <c r="B34" s="42">
        <f t="shared" si="5"/>
        <v>4</v>
      </c>
      <c r="C34" s="42">
        <f t="shared" si="6"/>
        <v>9819364345</v>
      </c>
      <c r="D34" s="43" t="str">
        <f t="shared" si="7"/>
        <v>Ankit Kabra</v>
      </c>
      <c r="E34" s="39">
        <f>VLOOKUP(A34,DataPublished!C:C,1,FALSE)</f>
        <v>9819364345</v>
      </c>
      <c r="F34" s="29">
        <v>45668.470671296294</v>
      </c>
      <c r="G34" s="6" t="s">
        <v>1152</v>
      </c>
      <c r="H34" s="55">
        <v>4</v>
      </c>
      <c r="I34" s="55">
        <v>9819364345</v>
      </c>
      <c r="J34" s="59" t="s">
        <v>1186</v>
      </c>
      <c r="K34" s="59" t="s">
        <v>1057</v>
      </c>
      <c r="L34" s="63">
        <v>10651</v>
      </c>
    </row>
    <row r="35" spans="1:12" ht="15.75" thickBot="1" x14ac:dyDescent="0.3">
      <c r="A35" s="39">
        <f t="shared" si="4"/>
        <v>9920020171</v>
      </c>
      <c r="B35" s="42">
        <f t="shared" si="5"/>
        <v>4</v>
      </c>
      <c r="C35" s="42">
        <f t="shared" si="6"/>
        <v>9920020171</v>
      </c>
      <c r="D35" s="43" t="str">
        <f t="shared" si="7"/>
        <v>Harish Bhootra</v>
      </c>
      <c r="E35" s="39" t="e">
        <f>VLOOKUP(A35,DataPublished!C:C,1,FALSE)</f>
        <v>#N/A</v>
      </c>
      <c r="F35" s="28">
        <v>45668.534490740742</v>
      </c>
      <c r="G35" s="1" t="s">
        <v>1153</v>
      </c>
      <c r="H35" s="56">
        <v>4</v>
      </c>
      <c r="I35" s="56">
        <v>9920020171</v>
      </c>
      <c r="J35" s="60" t="s">
        <v>1187</v>
      </c>
      <c r="K35" s="60" t="s">
        <v>1207</v>
      </c>
      <c r="L35" s="64">
        <v>64713</v>
      </c>
    </row>
    <row r="36" spans="1:12" ht="15.75" thickBot="1" x14ac:dyDescent="0.3">
      <c r="A36" s="39">
        <f t="shared" si="4"/>
        <v>9664467750</v>
      </c>
      <c r="B36" s="42">
        <f t="shared" si="5"/>
        <v>2</v>
      </c>
      <c r="C36" s="42">
        <f t="shared" si="6"/>
        <v>9664467750</v>
      </c>
      <c r="D36" s="43" t="str">
        <f t="shared" si="7"/>
        <v>Shivratan gaggar</v>
      </c>
      <c r="E36" s="39">
        <f>VLOOKUP(A36,DataPublished!C:C,1,FALSE)</f>
        <v>9664467750</v>
      </c>
      <c r="F36" s="29">
        <v>45668.549780092595</v>
      </c>
      <c r="G36" s="6" t="s">
        <v>1154</v>
      </c>
      <c r="H36" s="55">
        <v>2</v>
      </c>
      <c r="I36" s="55">
        <v>9664467750</v>
      </c>
      <c r="J36" s="59" t="s">
        <v>1188</v>
      </c>
      <c r="K36" s="59" t="s">
        <v>1057</v>
      </c>
      <c r="L36" s="63">
        <v>46959</v>
      </c>
    </row>
    <row r="37" spans="1:12" ht="15.75" thickBot="1" x14ac:dyDescent="0.3">
      <c r="A37" s="39">
        <f t="shared" si="4"/>
        <v>9320770849</v>
      </c>
      <c r="B37" s="42">
        <f t="shared" si="5"/>
        <v>2</v>
      </c>
      <c r="C37" s="42">
        <f t="shared" si="6"/>
        <v>9320770849</v>
      </c>
      <c r="D37" s="43" t="str">
        <f t="shared" si="7"/>
        <v>Neelam Toshniwal</v>
      </c>
      <c r="E37" s="39">
        <f>VLOOKUP(A37,DataPublished!C:C,1,FALSE)</f>
        <v>9320770849</v>
      </c>
      <c r="F37" s="28">
        <v>45668.559583333335</v>
      </c>
      <c r="G37" s="1" t="s">
        <v>1155</v>
      </c>
      <c r="H37" s="56">
        <v>2</v>
      </c>
      <c r="I37" s="56">
        <v>9320770849</v>
      </c>
      <c r="J37" s="60" t="s">
        <v>1189</v>
      </c>
      <c r="K37" s="60" t="s">
        <v>1057</v>
      </c>
      <c r="L37" s="64">
        <v>72503</v>
      </c>
    </row>
    <row r="38" spans="1:12" ht="15.75" thickBot="1" x14ac:dyDescent="0.3">
      <c r="A38" s="39">
        <f t="shared" si="4"/>
        <v>9869834085</v>
      </c>
      <c r="B38" s="42">
        <f t="shared" si="5"/>
        <v>2</v>
      </c>
      <c r="C38" s="42">
        <f t="shared" si="6"/>
        <v>9869834085</v>
      </c>
      <c r="D38" s="43" t="str">
        <f t="shared" si="7"/>
        <v>Sumit Somani</v>
      </c>
      <c r="E38" s="39" t="e">
        <f>VLOOKUP(A38,DataPublished!C:C,1,FALSE)</f>
        <v>#N/A</v>
      </c>
      <c r="F38" s="29">
        <v>45668.59952546296</v>
      </c>
      <c r="G38" s="6" t="s">
        <v>1156</v>
      </c>
      <c r="H38" s="55">
        <v>2</v>
      </c>
      <c r="I38" s="55">
        <v>9869834085</v>
      </c>
      <c r="J38" s="59" t="s">
        <v>1190</v>
      </c>
      <c r="K38" s="59" t="s">
        <v>1057</v>
      </c>
      <c r="L38" s="63">
        <v>41509</v>
      </c>
    </row>
    <row r="39" spans="1:12" ht="15.75" thickBot="1" x14ac:dyDescent="0.3">
      <c r="A39" s="39">
        <f t="shared" si="4"/>
        <v>7506747155</v>
      </c>
      <c r="B39" s="42">
        <f t="shared" si="5"/>
        <v>4</v>
      </c>
      <c r="C39" s="42">
        <f t="shared" si="6"/>
        <v>7506747155</v>
      </c>
      <c r="D39" s="43" t="str">
        <f t="shared" si="7"/>
        <v>Jai Prakash Rathi</v>
      </c>
      <c r="E39" s="39">
        <f>VLOOKUP(A39,DataPublished!C:C,1,FALSE)</f>
        <v>7506747155</v>
      </c>
      <c r="F39" s="28">
        <v>45668.616099537037</v>
      </c>
      <c r="G39" s="1" t="s">
        <v>1157</v>
      </c>
      <c r="H39" s="56">
        <v>4</v>
      </c>
      <c r="I39" s="56">
        <v>7506747155</v>
      </c>
      <c r="J39" s="60" t="s">
        <v>1191</v>
      </c>
      <c r="K39" s="60" t="s">
        <v>1057</v>
      </c>
      <c r="L39" s="64">
        <v>33904</v>
      </c>
    </row>
    <row r="40" spans="1:12" ht="15.75" thickBot="1" x14ac:dyDescent="0.3">
      <c r="A40" s="39">
        <f t="shared" si="4"/>
        <v>9967841114</v>
      </c>
      <c r="B40" s="42">
        <f t="shared" si="5"/>
        <v>3</v>
      </c>
      <c r="C40" s="42">
        <f t="shared" si="6"/>
        <v>9967841114</v>
      </c>
      <c r="D40" s="43" t="str">
        <f t="shared" si="7"/>
        <v>Ramesh Mundra</v>
      </c>
      <c r="E40" s="39">
        <f>VLOOKUP(A40,DataPublished!C:C,1,FALSE)</f>
        <v>9967841114</v>
      </c>
      <c r="F40" s="29">
        <v>45668.689872685187</v>
      </c>
      <c r="G40" s="6" t="s">
        <v>1158</v>
      </c>
      <c r="H40" s="55">
        <v>3</v>
      </c>
      <c r="I40" s="55">
        <v>9967841114</v>
      </c>
      <c r="J40" s="59" t="s">
        <v>1192</v>
      </c>
      <c r="K40" s="59" t="s">
        <v>1057</v>
      </c>
      <c r="L40" s="63">
        <v>17693</v>
      </c>
    </row>
    <row r="41" spans="1:12" ht="15.75" thickBot="1" x14ac:dyDescent="0.3">
      <c r="A41" s="39">
        <f t="shared" si="4"/>
        <v>9322853147</v>
      </c>
      <c r="B41" s="42">
        <f t="shared" si="5"/>
        <v>2</v>
      </c>
      <c r="C41" s="42">
        <f t="shared" si="6"/>
        <v>9322853147</v>
      </c>
      <c r="D41" s="43" t="str">
        <f t="shared" si="7"/>
        <v>Nandkishore Attal</v>
      </c>
      <c r="E41" s="39">
        <f>VLOOKUP(A41,DataPublished!C:C,1,FALSE)</f>
        <v>9322853147</v>
      </c>
      <c r="F41" s="28">
        <v>45668.716458333336</v>
      </c>
      <c r="G41" s="1" t="s">
        <v>1159</v>
      </c>
      <c r="H41" s="56">
        <v>2</v>
      </c>
      <c r="I41" s="56">
        <v>9322853147</v>
      </c>
      <c r="J41" s="60" t="s">
        <v>1193</v>
      </c>
      <c r="K41" s="60" t="s">
        <v>1057</v>
      </c>
      <c r="L41" s="64">
        <v>40459</v>
      </c>
    </row>
    <row r="42" spans="1:12" ht="15.75" thickBot="1" x14ac:dyDescent="0.3">
      <c r="A42" s="39">
        <f t="shared" si="4"/>
        <v>9764005162</v>
      </c>
      <c r="B42" s="42">
        <f t="shared" si="5"/>
        <v>2</v>
      </c>
      <c r="C42" s="42">
        <f t="shared" si="6"/>
        <v>9764005162</v>
      </c>
      <c r="D42" s="43" t="str">
        <f t="shared" si="7"/>
        <v>Atul Bhutada</v>
      </c>
      <c r="E42" s="39">
        <f>VLOOKUP(A42,DataPublished!C:C,1,FALSE)</f>
        <v>9764005162</v>
      </c>
      <c r="F42" s="29">
        <v>45668.760567129626</v>
      </c>
      <c r="G42" s="6" t="s">
        <v>1160</v>
      </c>
      <c r="H42" s="55">
        <v>2</v>
      </c>
      <c r="I42" s="55">
        <v>9764005162</v>
      </c>
      <c r="J42" s="59" t="s">
        <v>1194</v>
      </c>
      <c r="K42" s="59" t="s">
        <v>1057</v>
      </c>
      <c r="L42" s="65">
        <v>5944</v>
      </c>
    </row>
    <row r="43" spans="1:12" ht="15.75" thickBot="1" x14ac:dyDescent="0.3">
      <c r="A43" s="39">
        <f t="shared" si="4"/>
        <v>9892441866</v>
      </c>
      <c r="B43" s="42">
        <f t="shared" si="5"/>
        <v>4</v>
      </c>
      <c r="C43" s="42">
        <f t="shared" si="6"/>
        <v>9892441866</v>
      </c>
      <c r="D43" s="43" t="str">
        <f t="shared" si="7"/>
        <v>Archana Singhi</v>
      </c>
      <c r="E43" s="39" t="e">
        <f>VLOOKUP(A43,DataPublished!C:C,1,FALSE)</f>
        <v>#N/A</v>
      </c>
      <c r="F43" s="28">
        <v>45668.959687499999</v>
      </c>
      <c r="G43" s="1" t="s">
        <v>1161</v>
      </c>
      <c r="H43" s="56">
        <v>4</v>
      </c>
      <c r="I43" s="56">
        <v>9892441866</v>
      </c>
      <c r="J43" s="60" t="s">
        <v>1195</v>
      </c>
      <c r="K43" s="60" t="s">
        <v>1057</v>
      </c>
      <c r="L43" s="64">
        <v>14025</v>
      </c>
    </row>
    <row r="44" spans="1:12" ht="26.25" thickBot="1" x14ac:dyDescent="0.3">
      <c r="A44" s="39">
        <f t="shared" si="4"/>
        <v>9152292507</v>
      </c>
      <c r="B44" s="42">
        <f t="shared" si="5"/>
        <v>2</v>
      </c>
      <c r="C44" s="42">
        <f t="shared" si="6"/>
        <v>9152292507</v>
      </c>
      <c r="D44" s="43" t="str">
        <f t="shared" si="7"/>
        <v>Yogaysh Lahoti</v>
      </c>
      <c r="E44" s="39" t="e">
        <f>VLOOKUP(A44,DataPublished!C:C,1,FALSE)</f>
        <v>#N/A</v>
      </c>
      <c r="F44" s="29">
        <v>45699.028599537036</v>
      </c>
      <c r="G44" s="6" t="s">
        <v>1162</v>
      </c>
      <c r="H44" s="55">
        <v>2</v>
      </c>
      <c r="I44" s="55">
        <v>9152292507</v>
      </c>
      <c r="J44" s="59" t="s">
        <v>1196</v>
      </c>
      <c r="K44" s="59" t="s">
        <v>1057</v>
      </c>
      <c r="L44" s="63">
        <v>86001</v>
      </c>
    </row>
    <row r="45" spans="1:12" ht="15.75" thickBot="1" x14ac:dyDescent="0.3">
      <c r="A45" s="39">
        <f t="shared" si="4"/>
        <v>9004325415</v>
      </c>
      <c r="B45" s="42">
        <f t="shared" si="5"/>
        <v>4</v>
      </c>
      <c r="C45" s="42">
        <f t="shared" si="6"/>
        <v>9004325415</v>
      </c>
      <c r="D45" s="43" t="str">
        <f t="shared" si="7"/>
        <v>Jaishree Sawna</v>
      </c>
      <c r="E45" s="39" t="e">
        <f>VLOOKUP(A45,DataPublished!C:C,1,FALSE)</f>
        <v>#N/A</v>
      </c>
      <c r="F45" s="28">
        <v>45699.397199074076</v>
      </c>
      <c r="G45" s="1" t="s">
        <v>1163</v>
      </c>
      <c r="H45" s="56">
        <v>4</v>
      </c>
      <c r="I45" s="56">
        <v>9004325415</v>
      </c>
      <c r="J45" s="60" t="s">
        <v>1197</v>
      </c>
      <c r="K45" s="60" t="s">
        <v>1057</v>
      </c>
      <c r="L45" s="64">
        <v>85952</v>
      </c>
    </row>
    <row r="46" spans="1:12" ht="15.75" thickBot="1" x14ac:dyDescent="0.3">
      <c r="A46" s="39">
        <f t="shared" si="4"/>
        <v>9869064553</v>
      </c>
      <c r="B46" s="42">
        <f t="shared" si="5"/>
        <v>7</v>
      </c>
      <c r="C46" s="42">
        <f t="shared" si="6"/>
        <v>9869064553</v>
      </c>
      <c r="D46" s="43" t="str">
        <f t="shared" si="7"/>
        <v>PREM</v>
      </c>
      <c r="E46" s="39">
        <f>VLOOKUP(A46,DataPublished!C:C,1,FALSE)</f>
        <v>9869064553</v>
      </c>
      <c r="F46" s="29">
        <v>45699.45449074074</v>
      </c>
      <c r="G46" s="6" t="s">
        <v>1164</v>
      </c>
      <c r="H46" s="55">
        <v>7</v>
      </c>
      <c r="I46" s="55">
        <v>9869064553</v>
      </c>
      <c r="J46" s="59" t="s">
        <v>1198</v>
      </c>
      <c r="K46" s="59" t="s">
        <v>1057</v>
      </c>
      <c r="L46" s="63">
        <v>27182</v>
      </c>
    </row>
    <row r="47" spans="1:12" ht="15.75" thickBot="1" x14ac:dyDescent="0.3">
      <c r="A47" s="39">
        <f t="shared" si="4"/>
        <v>9833838483</v>
      </c>
      <c r="B47" s="42">
        <f t="shared" si="5"/>
        <v>5</v>
      </c>
      <c r="C47" s="42">
        <f t="shared" si="6"/>
        <v>9833838483</v>
      </c>
      <c r="D47" s="43" t="str">
        <f t="shared" si="7"/>
        <v>Deepak nawal</v>
      </c>
      <c r="E47" s="39" t="e">
        <f>VLOOKUP(A47,DataPublished!C:C,1,FALSE)</f>
        <v>#N/A</v>
      </c>
      <c r="F47" s="28">
        <v>45699.473715277774</v>
      </c>
      <c r="G47" s="1" t="s">
        <v>1165</v>
      </c>
      <c r="H47" s="56">
        <v>5</v>
      </c>
      <c r="I47" s="56">
        <v>9833838483</v>
      </c>
      <c r="J47" s="60" t="s">
        <v>1199</v>
      </c>
      <c r="K47" s="60" t="s">
        <v>1057</v>
      </c>
      <c r="L47" s="64">
        <v>23888</v>
      </c>
    </row>
    <row r="48" spans="1:12" ht="15.75" thickBot="1" x14ac:dyDescent="0.3">
      <c r="A48" s="39">
        <f t="shared" si="4"/>
        <v>9594784401</v>
      </c>
      <c r="B48" s="42">
        <f t="shared" si="5"/>
        <v>3</v>
      </c>
      <c r="C48" s="42">
        <f t="shared" si="6"/>
        <v>9594784401</v>
      </c>
      <c r="D48" s="43" t="str">
        <f t="shared" si="7"/>
        <v>Ajay Jhanwar</v>
      </c>
      <c r="E48" s="39">
        <f>VLOOKUP(A48,DataPublished!C:C,1,FALSE)</f>
        <v>9594784401</v>
      </c>
      <c r="F48" s="29">
        <v>45699.506643518522</v>
      </c>
      <c r="G48" s="6" t="s">
        <v>1166</v>
      </c>
      <c r="H48" s="55">
        <v>3</v>
      </c>
      <c r="I48" s="55">
        <v>9594784401</v>
      </c>
      <c r="J48" s="59" t="s">
        <v>1200</v>
      </c>
      <c r="K48" s="59" t="s">
        <v>1057</v>
      </c>
      <c r="L48" s="63">
        <v>32796</v>
      </c>
    </row>
    <row r="49" spans="1:12" ht="15.75" thickBot="1" x14ac:dyDescent="0.3">
      <c r="A49" s="39">
        <f t="shared" si="4"/>
        <v>9819424430</v>
      </c>
      <c r="B49" s="42">
        <f t="shared" si="5"/>
        <v>2</v>
      </c>
      <c r="C49" s="42">
        <f t="shared" si="6"/>
        <v>9819424430</v>
      </c>
      <c r="D49" s="43" t="str">
        <f t="shared" si="7"/>
        <v>Shailendra Beli</v>
      </c>
      <c r="E49" s="39">
        <f>VLOOKUP(A49,DataPublished!C:C,1,FALSE)</f>
        <v>9819424430</v>
      </c>
      <c r="F49" s="28">
        <v>45699.562708333331</v>
      </c>
      <c r="G49" s="1" t="s">
        <v>1167</v>
      </c>
      <c r="H49" s="56">
        <v>2</v>
      </c>
      <c r="I49" s="56">
        <v>9819424430</v>
      </c>
      <c r="J49" s="60" t="s">
        <v>1201</v>
      </c>
      <c r="K49" s="60" t="s">
        <v>1057</v>
      </c>
      <c r="L49" s="64">
        <v>55237</v>
      </c>
    </row>
    <row r="50" spans="1:12" ht="15.75" thickBot="1" x14ac:dyDescent="0.3">
      <c r="A50" s="39">
        <f t="shared" si="4"/>
        <v>7506940025</v>
      </c>
      <c r="B50" s="42">
        <f t="shared" si="5"/>
        <v>3</v>
      </c>
      <c r="C50" s="42">
        <f t="shared" si="6"/>
        <v>7506940025</v>
      </c>
      <c r="D50" s="43" t="str">
        <f t="shared" si="7"/>
        <v>Ujwala gattani</v>
      </c>
      <c r="E50" s="39" t="e">
        <f>VLOOKUP(A50,DataPublished!C:C,1,FALSE)</f>
        <v>#N/A</v>
      </c>
      <c r="F50" s="29">
        <v>45699.58488425926</v>
      </c>
      <c r="G50" s="6" t="s">
        <v>1168</v>
      </c>
      <c r="H50" s="55">
        <v>3</v>
      </c>
      <c r="I50" s="55">
        <v>7506940025</v>
      </c>
      <c r="J50" s="59" t="s">
        <v>1202</v>
      </c>
      <c r="K50" s="59" t="s">
        <v>1057</v>
      </c>
      <c r="L50" s="63">
        <v>44477</v>
      </c>
    </row>
    <row r="51" spans="1:12" ht="15.75" thickBot="1" x14ac:dyDescent="0.3">
      <c r="A51" s="39">
        <f t="shared" si="4"/>
        <v>9820075931</v>
      </c>
      <c r="B51" s="42">
        <f t="shared" si="5"/>
        <v>2</v>
      </c>
      <c r="C51" s="42">
        <f t="shared" si="6"/>
        <v>9820075931</v>
      </c>
      <c r="D51" s="43" t="str">
        <f t="shared" si="7"/>
        <v>Dilip Maheshwari</v>
      </c>
      <c r="E51" s="39">
        <f>VLOOKUP(A51,DataPublished!C:C,1,FALSE)</f>
        <v>9820075931</v>
      </c>
      <c r="F51" s="28">
        <v>45699.585150462961</v>
      </c>
      <c r="G51" s="1" t="s">
        <v>1169</v>
      </c>
      <c r="H51" s="56">
        <v>2</v>
      </c>
      <c r="I51" s="56">
        <v>9820075931</v>
      </c>
      <c r="J51" s="60" t="s">
        <v>1203</v>
      </c>
      <c r="K51" s="60" t="s">
        <v>1057</v>
      </c>
      <c r="L51" s="64">
        <v>50509</v>
      </c>
    </row>
    <row r="52" spans="1:12" ht="15.75" thickBot="1" x14ac:dyDescent="0.3">
      <c r="A52" s="39">
        <f t="shared" si="4"/>
        <v>9088014904</v>
      </c>
      <c r="B52" s="42">
        <f t="shared" si="5"/>
        <v>5</v>
      </c>
      <c r="C52" s="42">
        <f t="shared" si="6"/>
        <v>9088014904</v>
      </c>
      <c r="D52" s="43" t="str">
        <f t="shared" si="7"/>
        <v>Ankit Rathi</v>
      </c>
      <c r="E52" s="39">
        <f>VLOOKUP(A52,DataPublished!C:C,1,FALSE)</f>
        <v>9088014904</v>
      </c>
      <c r="F52" s="29">
        <v>45699.586875000001</v>
      </c>
      <c r="G52" s="6" t="s">
        <v>1170</v>
      </c>
      <c r="H52" s="55">
        <v>5</v>
      </c>
      <c r="I52" s="55">
        <v>9088014904</v>
      </c>
      <c r="J52" s="59" t="s">
        <v>1204</v>
      </c>
      <c r="K52" s="59" t="s">
        <v>1057</v>
      </c>
      <c r="L52" s="65">
        <v>6015</v>
      </c>
    </row>
    <row r="53" spans="1:12" ht="15.75" thickBot="1" x14ac:dyDescent="0.3">
      <c r="A53" s="39">
        <f t="shared" si="4"/>
        <v>7208998099</v>
      </c>
      <c r="B53" s="42">
        <f t="shared" si="5"/>
        <v>3</v>
      </c>
      <c r="C53" s="42">
        <f t="shared" si="6"/>
        <v>7208998099</v>
      </c>
      <c r="D53" s="43" t="str">
        <f t="shared" si="7"/>
        <v>Ankit Dhoot</v>
      </c>
      <c r="E53" s="39">
        <f>VLOOKUP(A53,DataPublished!C:C,1,FALSE)</f>
        <v>7208998099</v>
      </c>
      <c r="F53" s="28">
        <v>45699.58693287037</v>
      </c>
      <c r="G53" s="1" t="s">
        <v>1171</v>
      </c>
      <c r="H53" s="56">
        <v>3</v>
      </c>
      <c r="I53" s="56">
        <v>7208998099</v>
      </c>
      <c r="J53" s="60" t="s">
        <v>1205</v>
      </c>
      <c r="K53" s="60" t="s">
        <v>1057</v>
      </c>
      <c r="L53" s="64">
        <v>63720</v>
      </c>
    </row>
    <row r="54" spans="1:12" ht="15.75" thickBot="1" x14ac:dyDescent="0.3">
      <c r="A54" s="39">
        <f t="shared" si="4"/>
        <v>9324780543</v>
      </c>
      <c r="B54" s="42">
        <f t="shared" si="5"/>
        <v>2</v>
      </c>
      <c r="C54" s="42">
        <f t="shared" si="6"/>
        <v>9324780543</v>
      </c>
      <c r="D54" s="43" t="str">
        <f t="shared" si="7"/>
        <v>Rupali Biyani</v>
      </c>
      <c r="E54" s="39" t="e">
        <f>VLOOKUP(A54,DataPublished!C:C,1,FALSE)</f>
        <v>#N/A</v>
      </c>
      <c r="F54" s="53">
        <v>45699.733067129629</v>
      </c>
      <c r="G54" s="54" t="s">
        <v>1172</v>
      </c>
      <c r="H54" s="57">
        <v>2</v>
      </c>
      <c r="I54" s="57">
        <v>9324780543</v>
      </c>
      <c r="J54" s="61" t="s">
        <v>1206</v>
      </c>
      <c r="K54" s="61" t="s">
        <v>1057</v>
      </c>
      <c r="L54" s="66">
        <v>23307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DataPublished</vt:lpstr>
      <vt:lpstr>Sheet3</vt:lpstr>
      <vt:lpstr>Sheet2</vt:lpstr>
      <vt:lpstr>Sheet1</vt:lpstr>
      <vt:lpstr>CallLog_Latest</vt:lpstr>
      <vt:lpstr>fromNewLinkREsponses</vt:lpstr>
      <vt:lpstr>Registration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Moondra, Ratish</dc:creator>
  <cp:lastModifiedBy>Ratish Moondra</cp:lastModifiedBy>
  <dcterms:created xsi:type="dcterms:W3CDTF">2025-10-11T10:47:22Z</dcterms:created>
  <dcterms:modified xsi:type="dcterms:W3CDTF">2025-11-02T14:04:40Z</dcterms:modified>
</cp:coreProperties>
</file>